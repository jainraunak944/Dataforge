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<sst xmlns="http://schemas.openxmlformats.org/spreadsheetml/2006/main" count="106" uniqueCount="86">
  <si>
    <t xml:space="preserve">NAADI pilot — assumptions register (units: INR lakh unless stated)</t>
  </si>
  <si>
    <t xml:space="preserve">Blue+yellow cells are inputs for the team to edit and ratify. Every value is labelled Fact / Sourced range / Estimate. Nothing here is primary research.</t>
  </si>
  <si>
    <t xml:space="preserve">PLANT ARCHETYPE (representative use case — TEAM ESTIMATES)</t>
  </si>
  <si>
    <t xml:space="preserve">Plant annual revenue (INR lakh)</t>
  </si>
  <si>
    <t xml:space="preserve">Estimate</t>
  </si>
  <si>
    <t xml:space="preserve">Estimate: mid-size speciality chemicals plant, ~INR 500 Cr/yr revenue. Team to ratify.</t>
  </si>
  <si>
    <t xml:space="preserve">Contribution margin (% of revenue)</t>
  </si>
  <si>
    <t xml:space="preserve">Estimate: typical speciality-chem contribution margin used for lost-production valuation. Team to ratify.</t>
  </si>
  <si>
    <t xml:space="preserve">Operating hours per year</t>
  </si>
  <si>
    <t xml:space="preserve">Estimate: continuous plant, ~91% utilisation.</t>
  </si>
  <si>
    <t xml:space="preserve">Total pumps in plant (count)</t>
  </si>
  <si>
    <t xml:space="preserve">Estimate: typical mid-size plant pump population; context only.</t>
  </si>
  <si>
    <t xml:space="preserve">Critical 'bad-actor' pumps in pilot (count)</t>
  </si>
  <si>
    <t xml:space="preserve">Pilot scope: selected by criticality ranking per ISO 14224 taxonomy.</t>
  </si>
  <si>
    <t xml:space="preserve">Measurement points (2 bearing housings per pump)</t>
  </si>
  <si>
    <t xml:space="preserve">Formula</t>
  </si>
  <si>
    <t xml:space="preserve">Drive-end + non-drive-end bearing housing per pump. (Formula)</t>
  </si>
  <si>
    <t xml:space="preserve">BASELINE LOSSES ON THE 25 PUMPS (TEAM ESTIMATES)</t>
  </si>
  <si>
    <t xml:space="preserve">Unplanned downtime caused by these pumps (h/yr)</t>
  </si>
  <si>
    <t xml:space="preserve">Estimate: 3-4 pump-caused trips/yr with multi-hour restarts in a continuous process. Replace with the pilot plant's real 24-month history in Phase 0.</t>
  </si>
  <si>
    <t xml:space="preserve">Value of lost production (INR lakh per hour)</t>
  </si>
  <si>
    <t xml:space="preserve">Revenue x contribution margin / operating hours. (Formula)</t>
  </si>
  <si>
    <t xml:space="preserve">Pump repair events per year (count)</t>
  </si>
  <si>
    <t xml:space="preserve">Estimate: MTBR ~25 months across 25 bad actors.</t>
  </si>
  <si>
    <t xml:space="preserve">Average direct repair cost per event</t>
  </si>
  <si>
    <t xml:space="preserve">Estimate: mechanical seal/bearing cartridge replacement incl. labour.</t>
  </si>
  <si>
    <t xml:space="preserve">Catastrophic secondary-damage events avoided per year</t>
  </si>
  <si>
    <t xml:space="preserve">Estimate: bearing run-to-seizure destroying shaft/impeller, downgraded to planned repair.</t>
  </si>
  <si>
    <t xml:space="preserve">Extra cost of a catastrophic vs planned repair</t>
  </si>
  <si>
    <t xml:space="preserve">Estimate: secondary damage + emergency logistics premium.</t>
  </si>
  <si>
    <t xml:space="preserve">EFFECTIVENESS (SOURCED RANGES, APPLIED AT LOW END)</t>
  </si>
  <si>
    <t xml:space="preserve">Downtime reduction from PdM (fraction)</t>
  </si>
  <si>
    <t xml:space="preserve">Sourced range</t>
  </si>
  <si>
    <t xml:space="preserve">SOURCED range: US DOE FEMP O&amp;M Best Practices Guide R3.0 (2010) reports 35-45% downtime reduction for functioning PdM programmes; low end used. https://www.energy.gov/sites/prod/files/2020/04/f74/omguide_complete_w-eo-disclaimer.pdf</t>
  </si>
  <si>
    <t xml:space="preserve">Repair-spend reduction vs preventive-only (fraction)</t>
  </si>
  <si>
    <t xml:space="preserve">SOURCED range: DOE FEMP reports 8-12% savings of PdM over preventive maintenance alone; mid value used.</t>
  </si>
  <si>
    <t xml:space="preserve">PILOT COSTS (TEAM ESTIMATES — VENDOR QUOTES NEEDED)</t>
  </si>
  <si>
    <t xml:space="preserve">Wireless tri-axial vibration+temp sensor, Ex-rated, installed (per point)</t>
  </si>
  <si>
    <t xml:space="preserve">Estimate: market range for industrial wireless sensors incl. mounting and commissioning. No vendor quote yet — TEAM INPUT REQUIRED before final.</t>
  </si>
  <si>
    <t xml:space="preserve">Edge gateways (count)</t>
  </si>
  <si>
    <t xml:space="preserve">Estimate: 1 gateway per ~10 pumps/plant area.</t>
  </si>
  <si>
    <t xml:space="preserve">Cost per edge gateway</t>
  </si>
  <si>
    <t xml:space="preserve">Estimate.</t>
  </si>
  <si>
    <t xml:space="preserve">Historian/CMMS integration + software + commissioning</t>
  </si>
  <si>
    <t xml:space="preserve">Estimate: OPC-UA connector, dashboard, alert-to-work-order workflow.</t>
  </si>
  <si>
    <t xml:space="preserve">Operator &amp; reliability-engineer training</t>
  </si>
  <si>
    <t xml:space="preserve">Annual OpEx (connectivity, compute, batteries, model upkeep)</t>
  </si>
  <si>
    <t xml:space="preserve">Estimate: ~10%/yr sensor battery/replacement + compute + model retraining effort.</t>
  </si>
  <si>
    <t xml:space="preserve">FINANCE</t>
  </si>
  <si>
    <t xml:space="preserve">Discount rate for NPV</t>
  </si>
  <si>
    <t xml:space="preserve">Estimate: typical Indian industrial hurdle rate.</t>
  </si>
  <si>
    <t xml:space="preserve">Evaluation horizon (years)</t>
  </si>
  <si>
    <t xml:space="preserve">Per competition economic-feasibility convention.</t>
  </si>
  <si>
    <t xml:space="preserve">NAADI pilot — unit economics (all formulas; INR lakh)</t>
  </si>
  <si>
    <t xml:space="preserve">ANNUAL BENEFIT</t>
  </si>
  <si>
    <t xml:space="preserve">Avoided downtime (h/yr)</t>
  </si>
  <si>
    <t xml:space="preserve">Value of avoided downtime</t>
  </si>
  <si>
    <t xml:space="preserve">Repair-spend saving</t>
  </si>
  <si>
    <t xml:space="preserve">Avoided catastrophic secondary damage</t>
  </si>
  <si>
    <t xml:space="preserve">Total annual benefit</t>
  </si>
  <si>
    <t xml:space="preserve">CAPEX</t>
  </si>
  <si>
    <t xml:space="preserve">Sensors installed</t>
  </si>
  <si>
    <t xml:space="preserve">Edge gateways</t>
  </si>
  <si>
    <t xml:space="preserve">Integration, software, commissioning</t>
  </si>
  <si>
    <t xml:space="preserve">Training</t>
  </si>
  <si>
    <t xml:space="preserve">Total CapEx</t>
  </si>
  <si>
    <t xml:space="preserve">RETURNS</t>
  </si>
  <si>
    <t xml:space="preserve">Annual OpEx</t>
  </si>
  <si>
    <t xml:space="preserve">Net annual benefit</t>
  </si>
  <si>
    <t xml:space="preserve">Simple payback (months)</t>
  </si>
  <si>
    <t xml:space="preserve">5-year NPV @ discount rate</t>
  </si>
  <si>
    <t xml:space="preserve">Cost per avoided downtime-hour (CapEx amortised over horizon)</t>
  </si>
  <si>
    <t xml:space="preserve">Year</t>
  </si>
  <si>
    <t xml:space="preserve">Net cash flow per year (uniform, no ramp; a conservative ramp pushes payback ~2-3 months later)</t>
  </si>
  <si>
    <t xml:space="preserve">Sensitivity — simple payback (months) under single-variable swings</t>
  </si>
  <si>
    <t xml:space="preserve">Each row recomputes the full model with one input changed; all else at base.</t>
  </si>
  <si>
    <t xml:space="preserve">Scenario</t>
  </si>
  <si>
    <t xml:space="preserve">Payback (mo)</t>
  </si>
  <si>
    <t xml:space="preserve">Base case (35% downtime cut, base margin, base CapEx)</t>
  </si>
  <si>
    <t xml:space="preserve">Downtime reduction only 20% (programme underperforms DOE band)</t>
  </si>
  <si>
    <t xml:space="preserve">Downtime reduction 45% (top of DOE band)</t>
  </si>
  <si>
    <t xml:space="preserve">Lost-production value 1/3 lower</t>
  </si>
  <si>
    <t xml:space="preserve">CapEx overrun +30%</t>
  </si>
  <si>
    <t xml:space="preserve">Downside stack: 20% cut AND CapEx +30%</t>
  </si>
  <si>
    <t xml:space="preserve">Reading: payback stays under ~20 months even if the programme delivers only 20% downtime reduction (below the DOE-reported band) or CapEx overruns 30%. The model breaks only if BOTH the plant's downtime history and the DOE effectiveness band are far off — which Phase 0 baselining will test.</t>
  </si>
  <si>
    <t xml:space="preserve">LEGEND: yellow+blue = team-editable inputs; black = formulas; currency in INR lakh. Sources for DOE ranges on the Assumptions sheet.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</si>
</sst>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&quot; h&quot;"/>
    <numFmt numFmtId="168" formatCode="#,##0.00&quot; L/h&quot;"/>
    <numFmt numFmtId="169" formatCode="#,##0.0&quot; L&quot;"/>
    <numFmt numFmtId="170" formatCode="#,##0.0&quot; mo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2212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87E8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F7F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7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E8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221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8"/>
  </cols>
  <sheetData>
    <row r="1" customFormat="false" ht="16.15" hidden="false" customHeight="false" outlineLevel="0" collapsed="false">
      <c r="A1" s="1" t="s">
        <v>0</v>
      </c>
    </row>
    <row r="2" customFormat="false" ht="22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50000</v>
      </c>
      <c r="C4" s="6" t="s">
        <v>4</v>
      </c>
      <c r="D4" s="2" t="s">
        <v>5</v>
      </c>
    </row>
    <row r="5" customFormat="false" ht="15" hidden="false" customHeight="false" outlineLevel="0" collapsed="false">
      <c r="A5" s="4" t="s">
        <v>6</v>
      </c>
      <c r="B5" s="7" t="n">
        <v>0.3</v>
      </c>
      <c r="C5" s="6" t="s">
        <v>4</v>
      </c>
      <c r="D5" s="2" t="s">
        <v>7</v>
      </c>
    </row>
    <row r="6" customFormat="false" ht="15" hidden="false" customHeight="false" outlineLevel="0" collapsed="false">
      <c r="A6" s="4" t="s">
        <v>8</v>
      </c>
      <c r="B6" s="5" t="n">
        <v>8000</v>
      </c>
      <c r="C6" s="6" t="s">
        <v>4</v>
      </c>
      <c r="D6" s="2" t="s">
        <v>9</v>
      </c>
    </row>
    <row r="7" customFormat="false" ht="15" hidden="false" customHeight="false" outlineLevel="0" collapsed="false">
      <c r="A7" s="4" t="s">
        <v>10</v>
      </c>
      <c r="B7" s="5" t="n">
        <v>200</v>
      </c>
      <c r="C7" s="6" t="s">
        <v>4</v>
      </c>
      <c r="D7" s="2" t="s">
        <v>11</v>
      </c>
    </row>
    <row r="8" customFormat="false" ht="15" hidden="false" customHeight="false" outlineLevel="0" collapsed="false">
      <c r="A8" s="4" t="s">
        <v>12</v>
      </c>
      <c r="B8" s="5" t="n">
        <v>25</v>
      </c>
      <c r="C8" s="6" t="s">
        <v>4</v>
      </c>
      <c r="D8" s="2" t="s">
        <v>13</v>
      </c>
    </row>
    <row r="9" customFormat="false" ht="15" hidden="false" customHeight="false" outlineLevel="0" collapsed="false">
      <c r="A9" s="4" t="s">
        <v>14</v>
      </c>
      <c r="B9" s="8" t="n">
        <f aca="false">B8*2</f>
        <v>50</v>
      </c>
      <c r="C9" s="6" t="s">
        <v>15</v>
      </c>
      <c r="D9" s="2" t="s">
        <v>16</v>
      </c>
    </row>
    <row r="10" customFormat="false" ht="15" hidden="false" customHeight="false" outlineLevel="0" collapsed="false">
      <c r="A10" s="3" t="s">
        <v>17</v>
      </c>
    </row>
    <row r="11" customFormat="false" ht="22.35" hidden="false" customHeight="false" outlineLevel="0" collapsed="false">
      <c r="A11" s="4" t="s">
        <v>18</v>
      </c>
      <c r="B11" s="9" t="n">
        <v>60</v>
      </c>
      <c r="C11" s="6" t="s">
        <v>4</v>
      </c>
      <c r="D11" s="2" t="s">
        <v>19</v>
      </c>
    </row>
    <row r="12" customFormat="false" ht="15" hidden="false" customHeight="false" outlineLevel="0" collapsed="false">
      <c r="A12" s="4" t="s">
        <v>20</v>
      </c>
      <c r="B12" s="10" t="n">
        <f aca="false">B4*B5/B6</f>
        <v>1.875</v>
      </c>
      <c r="C12" s="6" t="s">
        <v>15</v>
      </c>
      <c r="D12" s="2" t="s">
        <v>21</v>
      </c>
    </row>
    <row r="13" customFormat="false" ht="15" hidden="false" customHeight="false" outlineLevel="0" collapsed="false">
      <c r="A13" s="4" t="s">
        <v>22</v>
      </c>
      <c r="B13" s="5" t="n">
        <v>12</v>
      </c>
      <c r="C13" s="6" t="s">
        <v>4</v>
      </c>
      <c r="D13" s="2" t="s">
        <v>23</v>
      </c>
    </row>
    <row r="14" customFormat="false" ht="15" hidden="false" customHeight="false" outlineLevel="0" collapsed="false">
      <c r="A14" s="4" t="s">
        <v>24</v>
      </c>
      <c r="B14" s="11" t="n">
        <v>2.5</v>
      </c>
      <c r="C14" s="6" t="s">
        <v>4</v>
      </c>
      <c r="D14" s="2" t="s">
        <v>25</v>
      </c>
    </row>
    <row r="15" customFormat="false" ht="15" hidden="false" customHeight="false" outlineLevel="0" collapsed="false">
      <c r="A15" s="4" t="s">
        <v>26</v>
      </c>
      <c r="B15" s="5" t="n">
        <v>2</v>
      </c>
      <c r="C15" s="6" t="s">
        <v>4</v>
      </c>
      <c r="D15" s="2" t="s">
        <v>27</v>
      </c>
    </row>
    <row r="16" customFormat="false" ht="15" hidden="false" customHeight="false" outlineLevel="0" collapsed="false">
      <c r="A16" s="4" t="s">
        <v>28</v>
      </c>
      <c r="B16" s="11" t="n">
        <v>2.5</v>
      </c>
      <c r="C16" s="6" t="s">
        <v>4</v>
      </c>
      <c r="D16" s="2" t="s">
        <v>29</v>
      </c>
    </row>
    <row r="17" customFormat="false" ht="15" hidden="false" customHeight="false" outlineLevel="0" collapsed="false">
      <c r="A17" s="3" t="s">
        <v>30</v>
      </c>
    </row>
    <row r="18" customFormat="false" ht="22.35" hidden="false" customHeight="false" outlineLevel="0" collapsed="false">
      <c r="A18" s="4" t="s">
        <v>31</v>
      </c>
      <c r="B18" s="7" t="n">
        <v>0.35</v>
      </c>
      <c r="C18" s="6" t="s">
        <v>32</v>
      </c>
      <c r="D18" s="2" t="s">
        <v>33</v>
      </c>
    </row>
    <row r="19" customFormat="false" ht="15" hidden="false" customHeight="false" outlineLevel="0" collapsed="false">
      <c r="A19" s="4" t="s">
        <v>34</v>
      </c>
      <c r="B19" s="7" t="n">
        <v>0.1</v>
      </c>
      <c r="C19" s="6" t="s">
        <v>32</v>
      </c>
      <c r="D19" s="2" t="s">
        <v>35</v>
      </c>
    </row>
    <row r="20" customFormat="false" ht="15" hidden="false" customHeight="false" outlineLevel="0" collapsed="false">
      <c r="A20" s="3" t="s">
        <v>36</v>
      </c>
    </row>
    <row r="21" customFormat="false" ht="22.35" hidden="false" customHeight="false" outlineLevel="0" collapsed="false">
      <c r="A21" s="4" t="s">
        <v>37</v>
      </c>
      <c r="B21" s="11" t="n">
        <v>0.35</v>
      </c>
      <c r="C21" s="6" t="s">
        <v>4</v>
      </c>
      <c r="D21" s="2" t="s">
        <v>38</v>
      </c>
    </row>
    <row r="22" customFormat="false" ht="15" hidden="false" customHeight="false" outlineLevel="0" collapsed="false">
      <c r="A22" s="4" t="s">
        <v>39</v>
      </c>
      <c r="B22" s="5" t="n">
        <v>5</v>
      </c>
      <c r="C22" s="6" t="s">
        <v>4</v>
      </c>
      <c r="D22" s="2" t="s">
        <v>40</v>
      </c>
    </row>
    <row r="23" customFormat="false" ht="15" hidden="false" customHeight="false" outlineLevel="0" collapsed="false">
      <c r="A23" s="4" t="s">
        <v>41</v>
      </c>
      <c r="B23" s="11" t="n">
        <v>1.5</v>
      </c>
      <c r="C23" s="6" t="s">
        <v>4</v>
      </c>
      <c r="D23" s="2" t="s">
        <v>42</v>
      </c>
    </row>
    <row r="24" customFormat="false" ht="15" hidden="false" customHeight="false" outlineLevel="0" collapsed="false">
      <c r="A24" s="4" t="s">
        <v>43</v>
      </c>
      <c r="B24" s="11" t="n">
        <v>10</v>
      </c>
      <c r="C24" s="6" t="s">
        <v>4</v>
      </c>
      <c r="D24" s="2" t="s">
        <v>44</v>
      </c>
    </row>
    <row r="25" customFormat="false" ht="15" hidden="false" customHeight="false" outlineLevel="0" collapsed="false">
      <c r="A25" s="4" t="s">
        <v>45</v>
      </c>
      <c r="B25" s="11" t="n">
        <v>2</v>
      </c>
      <c r="C25" s="6" t="s">
        <v>4</v>
      </c>
      <c r="D25" s="2" t="s">
        <v>42</v>
      </c>
    </row>
    <row r="26" customFormat="false" ht="15" hidden="false" customHeight="false" outlineLevel="0" collapsed="false">
      <c r="A26" s="4" t="s">
        <v>46</v>
      </c>
      <c r="B26" s="11" t="n">
        <v>6</v>
      </c>
      <c r="C26" s="6" t="s">
        <v>4</v>
      </c>
      <c r="D26" s="2" t="s">
        <v>47</v>
      </c>
    </row>
    <row r="27" customFormat="false" ht="15" hidden="false" customHeight="false" outlineLevel="0" collapsed="false">
      <c r="A27" s="3" t="s">
        <v>48</v>
      </c>
    </row>
    <row r="28" customFormat="false" ht="15" hidden="false" customHeight="false" outlineLevel="0" collapsed="false">
      <c r="A28" s="4" t="s">
        <v>49</v>
      </c>
      <c r="B28" s="7" t="n">
        <v>0.12</v>
      </c>
      <c r="C28" s="6" t="s">
        <v>4</v>
      </c>
      <c r="D28" s="2" t="s">
        <v>50</v>
      </c>
    </row>
    <row r="29" customFormat="false" ht="15" hidden="false" customHeight="false" outlineLevel="0" collapsed="false">
      <c r="A29" s="4" t="s">
        <v>51</v>
      </c>
      <c r="B29" s="5" t="n">
        <v>5</v>
      </c>
      <c r="C29" s="6" t="s">
        <v>4</v>
      </c>
      <c r="D29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53</v>
      </c>
    </row>
    <row r="3" customFormat="false" ht="15" hidden="false" customHeight="false" outlineLevel="0" collapsed="false">
      <c r="A3" s="3" t="s">
        <v>54</v>
      </c>
    </row>
    <row r="4" customFormat="false" ht="15" hidden="false" customHeight="false" outlineLevel="0" collapsed="false">
      <c r="A4" s="12" t="s">
        <v>55</v>
      </c>
      <c r="B4" s="13" t="n">
        <f aca="false">Assumptions!B11*Assumptions!B18</f>
        <v>21</v>
      </c>
    </row>
    <row r="5" customFormat="false" ht="15" hidden="false" customHeight="false" outlineLevel="0" collapsed="false">
      <c r="A5" s="12" t="s">
        <v>56</v>
      </c>
      <c r="B5" s="14" t="n">
        <f aca="false">B4*Assumptions!B12</f>
        <v>39.375</v>
      </c>
    </row>
    <row r="6" customFormat="false" ht="15" hidden="false" customHeight="false" outlineLevel="0" collapsed="false">
      <c r="A6" s="12" t="s">
        <v>57</v>
      </c>
      <c r="B6" s="14" t="n">
        <f aca="false">Assumptions!B13*Assumptions!B14*Assumptions!B19</f>
        <v>3</v>
      </c>
    </row>
    <row r="7" customFormat="false" ht="15" hidden="false" customHeight="false" outlineLevel="0" collapsed="false">
      <c r="A7" s="12" t="s">
        <v>58</v>
      </c>
      <c r="B7" s="14" t="n">
        <f aca="false">Assumptions!B15*Assumptions!B16</f>
        <v>5</v>
      </c>
    </row>
    <row r="8" customFormat="false" ht="15" hidden="false" customHeight="false" outlineLevel="0" collapsed="false">
      <c r="A8" s="15" t="s">
        <v>59</v>
      </c>
      <c r="B8" s="16" t="n">
        <f aca="false">SUM(B5:B7)</f>
        <v>47.375</v>
      </c>
    </row>
    <row r="10" customFormat="false" ht="15" hidden="false" customHeight="false" outlineLevel="0" collapsed="false">
      <c r="A10" s="3" t="s">
        <v>60</v>
      </c>
    </row>
    <row r="11" customFormat="false" ht="15" hidden="false" customHeight="false" outlineLevel="0" collapsed="false">
      <c r="A11" s="12" t="s">
        <v>61</v>
      </c>
      <c r="B11" s="14" t="n">
        <f aca="false">Assumptions!B9*Assumptions!B21</f>
        <v>17.5</v>
      </c>
    </row>
    <row r="12" customFormat="false" ht="15" hidden="false" customHeight="false" outlineLevel="0" collapsed="false">
      <c r="A12" s="12" t="s">
        <v>62</v>
      </c>
      <c r="B12" s="14" t="n">
        <f aca="false">Assumptions!B22*Assumptions!B23</f>
        <v>7.5</v>
      </c>
    </row>
    <row r="13" customFormat="false" ht="15" hidden="false" customHeight="false" outlineLevel="0" collapsed="false">
      <c r="A13" s="12" t="s">
        <v>63</v>
      </c>
      <c r="B13" s="14" t="n">
        <f aca="false">Assumptions!B24</f>
        <v>10</v>
      </c>
    </row>
    <row r="14" customFormat="false" ht="15" hidden="false" customHeight="false" outlineLevel="0" collapsed="false">
      <c r="A14" s="12" t="s">
        <v>64</v>
      </c>
      <c r="B14" s="14" t="n">
        <f aca="false">Assumptions!B25</f>
        <v>2</v>
      </c>
    </row>
    <row r="15" customFormat="false" ht="15" hidden="false" customHeight="false" outlineLevel="0" collapsed="false">
      <c r="A15" s="15" t="s">
        <v>65</v>
      </c>
      <c r="B15" s="16" t="n">
        <f aca="false">SUM(B11:B14)</f>
        <v>37</v>
      </c>
    </row>
    <row r="17" customFormat="false" ht="15" hidden="false" customHeight="false" outlineLevel="0" collapsed="false">
      <c r="A17" s="3" t="s">
        <v>66</v>
      </c>
    </row>
    <row r="18" customFormat="false" ht="15" hidden="false" customHeight="false" outlineLevel="0" collapsed="false">
      <c r="A18" s="12" t="s">
        <v>67</v>
      </c>
      <c r="B18" s="14" t="n">
        <f aca="false">Assumptions!B26</f>
        <v>6</v>
      </c>
    </row>
    <row r="19" customFormat="false" ht="15" hidden="false" customHeight="false" outlineLevel="0" collapsed="false">
      <c r="A19" s="15" t="s">
        <v>68</v>
      </c>
      <c r="B19" s="16" t="n">
        <f aca="false">B8-B18</f>
        <v>41.375</v>
      </c>
    </row>
    <row r="20" customFormat="false" ht="15" hidden="false" customHeight="false" outlineLevel="0" collapsed="false">
      <c r="A20" s="15" t="s">
        <v>69</v>
      </c>
      <c r="B20" s="17" t="n">
        <f aca="false">B15/B19*12</f>
        <v>10.7311178247734</v>
      </c>
    </row>
    <row r="21" customFormat="false" ht="15" hidden="false" customHeight="false" outlineLevel="0" collapsed="false">
      <c r="A21" s="15" t="s">
        <v>70</v>
      </c>
      <c r="B21" s="16" t="n">
        <f aca="false">-B15+NPV(Assumptions!B28,B24:F24)</f>
        <v>112.147615372025</v>
      </c>
    </row>
    <row r="22" customFormat="false" ht="15" hidden="false" customHeight="false" outlineLevel="0" collapsed="false">
      <c r="A22" s="12" t="s">
        <v>71</v>
      </c>
      <c r="B22" s="10" t="n">
        <f aca="false">(B15/Assumptions!B29+B18)/B4</f>
        <v>0.638095238095238</v>
      </c>
    </row>
    <row r="23" customFormat="false" ht="15" hidden="false" customHeight="false" outlineLevel="0" collapsed="false">
      <c r="A23" s="6" t="s">
        <v>72</v>
      </c>
      <c r="B23" s="18" t="n">
        <v>1</v>
      </c>
      <c r="C23" s="18" t="n">
        <v>2</v>
      </c>
      <c r="D23" s="18" t="n">
        <v>3</v>
      </c>
      <c r="E23" s="18" t="n">
        <v>4</v>
      </c>
      <c r="F23" s="18" t="n">
        <v>5</v>
      </c>
    </row>
    <row r="24" customFormat="false" ht="22.35" hidden="false" customHeight="false" outlineLevel="0" collapsed="false">
      <c r="A24" s="2" t="s">
        <v>73</v>
      </c>
      <c r="B24" s="14" t="n">
        <f aca="false">$B$19</f>
        <v>41.375</v>
      </c>
      <c r="C24" s="14" t="n">
        <f aca="false">$B$19</f>
        <v>41.375</v>
      </c>
      <c r="D24" s="14" t="n">
        <f aca="false">$B$19</f>
        <v>41.375</v>
      </c>
      <c r="E24" s="14" t="n">
        <f aca="false">$B$19</f>
        <v>41.375</v>
      </c>
      <c r="F24" s="14" t="n">
        <f aca="false">$B$19</f>
        <v>41.375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6" t="s">
        <v>75</v>
      </c>
    </row>
    <row r="4" customFormat="false" ht="15" hidden="false" customHeight="false" outlineLevel="0" collapsed="false">
      <c r="A4" s="15" t="s">
        <v>76</v>
      </c>
      <c r="B4" s="15" t="s">
        <v>77</v>
      </c>
    </row>
    <row r="5" customFormat="false" ht="15" hidden="false" customHeight="false" outlineLevel="0" collapsed="false">
      <c r="A5" s="19" t="s">
        <v>78</v>
      </c>
      <c r="B5" s="20" t="n">
        <f aca="false">Model!B15*1/((Assumptions!B11*Assumptions!B18*Assumptions!B12*1+Assumptions!B13*Assumptions!B14*Assumptions!B19+Assumptions!B15*Assumptions!B16)-Assumptions!B26)*12</f>
        <v>10.7311178247734</v>
      </c>
    </row>
    <row r="6" customFormat="false" ht="15" hidden="false" customHeight="false" outlineLevel="0" collapsed="false">
      <c r="A6" s="19" t="s">
        <v>79</v>
      </c>
      <c r="B6" s="20" t="n">
        <f aca="false">Model!B15*1/((Assumptions!B11*0.2*Assumptions!B12*1+Assumptions!B13*Assumptions!B14*Assumptions!B19+Assumptions!B15*Assumptions!B16)-Assumptions!B26)*12</f>
        <v>18.1224489795918</v>
      </c>
    </row>
    <row r="7" customFormat="false" ht="15" hidden="false" customHeight="false" outlineLevel="0" collapsed="false">
      <c r="A7" s="19" t="s">
        <v>80</v>
      </c>
      <c r="B7" s="20" t="n">
        <f aca="false">Model!B15*1/((Assumptions!B11*0.45*Assumptions!B12*1+Assumptions!B13*Assumptions!B14*Assumptions!B19+Assumptions!B15*Assumptions!B16)-Assumptions!B26)*12</f>
        <v>8.43705463182898</v>
      </c>
    </row>
    <row r="8" customFormat="false" ht="15" hidden="false" customHeight="false" outlineLevel="0" collapsed="false">
      <c r="A8" s="19" t="s">
        <v>81</v>
      </c>
      <c r="B8" s="20" t="n">
        <f aca="false">Model!B15*1/((Assumptions!B11*Assumptions!B18*Assumptions!B12*0.666666666666667+Assumptions!B13*Assumptions!B14*Assumptions!B19+Assumptions!B15*Assumptions!B16)-Assumptions!B26)*12</f>
        <v>15.716814159292</v>
      </c>
    </row>
    <row r="9" customFormat="false" ht="15" hidden="false" customHeight="false" outlineLevel="0" collapsed="false">
      <c r="A9" s="19" t="s">
        <v>82</v>
      </c>
      <c r="B9" s="20" t="n">
        <f aca="false">Model!B15*1.3/((Assumptions!B11*Assumptions!B18*Assumptions!B12*1+Assumptions!B13*Assumptions!B14*Assumptions!B19+Assumptions!B15*Assumptions!B16)-Assumptions!B26)*12</f>
        <v>13.9504531722054</v>
      </c>
    </row>
    <row r="10" customFormat="false" ht="15" hidden="false" customHeight="false" outlineLevel="0" collapsed="false">
      <c r="A10" s="19" t="s">
        <v>83</v>
      </c>
      <c r="B10" s="20" t="n">
        <f aca="false">Model!B15*1.3/((Assumptions!B11*0.2*Assumptions!B12*1+Assumptions!B13*Assumptions!B14*Assumptions!B19+Assumptions!B15*Assumptions!B16)-Assumptions!B26)*12</f>
        <v>23.5591836734694</v>
      </c>
    </row>
    <row r="12" customFormat="false" ht="43.25" hidden="false" customHeight="false" outlineLevel="0" collapsed="false">
      <c r="A12" s="2" t="s">
        <v>84</v>
      </c>
    </row>
    <row r="14" customFormat="false" ht="22.35" hidden="false" customHeight="false" outlineLevel="0" collapsed="false">
      <c r="A14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2026-09-12T06:17:32Z</dcterms:created>
  <dc:creator>openpyxl</dc:creator>
  <dc:description/>
  <dc:language>en-US</dc:language>
  <cp:lastModifiedBy/>
  <dcterms:modified xsi:type="dcterms:W3CDTF">2026-09-12T06:17:32Z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