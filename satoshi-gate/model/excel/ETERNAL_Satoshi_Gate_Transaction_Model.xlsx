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Summary" sheetId="2" state="visible" r:id="rId4"/>
    <sheet name="Inputs" sheetId="3" state="visible" r:id="rId5"/>
    <sheet name="Valuation &amp; Churn" sheetId="4" state="visible" r:id="rId6"/>
    <sheet name="Financing &amp; EPS" sheetId="5" state="visible" r:id="rId7"/>
    <sheet name="Liminal Projection" sheetId="6" state="visible" r:id="rId8"/>
    <sheet name="PAT &amp; FCF Breakeven" sheetId="7" state="visible" r:id="rId9"/>
    <sheet name="Call Option &amp; Earn-out" sheetId="8" state="visible" r:id="rId10"/>
    <sheet name="Sensitivitie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<sst xmlns="http://schemas.openxmlformats.org/spreadsheetml/2006/main" count="597" uniqueCount="419">
  <si>
    <t xml:space="preserve">PROJECT SATOSHI GATE</t>
  </si>
  <si>
    <t xml:space="preserve">Paytm × Liminal Custody Solutions — Accretion/Dilution and Transaction Model</t>
  </si>
  <si>
    <t xml:space="preserve">Board Transaction Recommendation · Team ETERNAL · September 2026</t>
  </si>
  <si>
    <t xml:space="preserve">Recommendation</t>
  </si>
  <si>
    <t xml:space="preserve">Do not acquire 100% of Liminal today. Pursue a 20–30% strategic minority investment (25% midpoint) with a commercial custody/MPC partnership, standalone governance, a pre-agreed call option for future control and retention-linked future consideration.</t>
  </si>
  <si>
    <t xml:space="preserve">Sheet</t>
  </si>
  <si>
    <t xml:space="preserve">Purpose</t>
  </si>
  <si>
    <t xml:space="preserve">1. Inputs</t>
  </si>
  <si>
    <t xml:space="preserve">Case facts (source: case document) and team assumptions. Blue cells are the only cells to edit.</t>
  </si>
  <si>
    <t xml:space="preserve">2. Valuation &amp; Churn</t>
  </si>
  <si>
    <t xml:space="preserve">Headline multiple, churn sensitivity, implied value at 18.2× and revenue recovery hurdle.</t>
  </si>
  <si>
    <t xml:space="preserve">3. Financing &amp; EPS</t>
  </si>
  <si>
    <t xml:space="preserve">Full-acquisition financing mixes (cash / debt / equity), mechanical and full EPS dilution from the ₹7.50 baseline; Phase-1 minority structure.</t>
  </si>
  <si>
    <t xml:space="preserve">4. Liminal Projection</t>
  </si>
  <si>
    <t xml:space="preserve">10-year Liminal ARR, EBITDA, PAT and FCF under team growth and margin assumptions; churned path for the full-acquisition counterfactual.</t>
  </si>
  <si>
    <t xml:space="preserve">5. PAT &amp; FCF Breakeven</t>
  </si>
  <si>
    <t xml:space="preserve">Incremental PAT and FCF by year for full acquisition, Phase-1 minority and control exercise; ₹750 Cr capital drag; ₹115 Cr UPI MDR treated as a Paytm standalone offset.</t>
  </si>
  <si>
    <t xml:space="preserve">6. Call Option &amp; Earn-out</t>
  </si>
  <si>
    <t xml:space="preserve">Retention-linked control consideration: valuation cap, upfront and earn-out tied to retained ARR.</t>
  </si>
  <si>
    <t xml:space="preserve">7. Sensitivities</t>
  </si>
  <si>
    <t xml:space="preserve">Year-1 EPS and FCF sensitivity grids across churn, growth, cash yield and capital-drag treatment; downside triggers.</t>
  </si>
  <si>
    <t xml:space="preserve">Legend</t>
  </si>
  <si>
    <t xml:space="preserve">Blue font</t>
  </si>
  <si>
    <t xml:space="preserve">Hard-coded input (case fact or team assumption)</t>
  </si>
  <si>
    <t xml:space="preserve">Black font</t>
  </si>
  <si>
    <t xml:space="preserve">Formula</t>
  </si>
  <si>
    <t xml:space="preserve">Green font</t>
  </si>
  <si>
    <t xml:space="preserve">Link to another sheet</t>
  </si>
  <si>
    <t xml:space="preserve">Light blue fill</t>
  </si>
  <si>
    <t xml:space="preserve">Section header</t>
  </si>
  <si>
    <t xml:space="preserve">Light yellow fill</t>
  </si>
  <si>
    <t xml:space="preserve">Key output</t>
  </si>
  <si>
    <t xml:space="preserve">Conventions</t>
  </si>
  <si>
    <t xml:space="preserve">1.</t>
  </si>
  <si>
    <t xml:space="preserve">All amounts in ₹ Cr unless stated; shares in Cr; EPS in ₹ per share.</t>
  </si>
  <si>
    <t xml:space="preserve">2.</t>
  </si>
  <si>
    <t xml:space="preserve">CASE FACT ≠ DERIVED CALCULATION ≠ TEAM ASSUMPTION — every input is labelled by category on the Inputs sheet.</t>
  </si>
  <si>
    <t xml:space="preserve">3.</t>
  </si>
  <si>
    <t xml:space="preserve">The ₹115 Cr/year UPI MDR benefit is Paytm standalone net revenue, not a Liminal transaction synergy; it is modelled as a separate offset.</t>
  </si>
  <si>
    <t xml:space="preserve">4.</t>
  </si>
  <si>
    <t xml:space="preserve">Negative numbers in parentheses; zero shown as "-".</t>
  </si>
  <si>
    <t xml:space="preserve">Summary of key outputs</t>
  </si>
  <si>
    <t xml:space="preserve">Live links to the model — recommendation: 25% minority + partnership + call option; control only after gates clear</t>
  </si>
  <si>
    <t xml:space="preserve">Output</t>
  </si>
  <si>
    <t xml:space="preserve">Value</t>
  </si>
  <si>
    <t xml:space="preserve">Where</t>
  </si>
  <si>
    <t xml:space="preserve">Headline multiple (deal value / ARR)</t>
  </si>
  <si>
    <t xml:space="preserve">Inputs / Valuation &amp; Churn</t>
  </si>
  <si>
    <t xml:space="preserve">Effective multiple at 45% churn</t>
  </si>
  <si>
    <t xml:space="preserve">Valuation &amp; Churn</t>
  </si>
  <si>
    <t xml:space="preserve">Implied value at 18.2× after 30% / 45% churn (₹ Cr)</t>
  </si>
  <si>
    <t xml:space="preserve">Valuation &amp; Churn (see F11 for 45%)</t>
  </si>
  <si>
    <t xml:space="preserve">Growth required to recover ₹220 Cr after 45% churn</t>
  </si>
  <si>
    <t xml:space="preserve">Mechanical EPS dilution — headline mix (share count only)</t>
  </si>
  <si>
    <t xml:space="preserve">Financing &amp; EPS</t>
  </si>
  <si>
    <t xml:space="preserve">Year-1 EPS — full acquisition, headline mix, incl. financing costs (₹)</t>
  </si>
  <si>
    <t xml:space="preserve">Year-1 EPS — Phase-1 minority, economic basis (₹)</t>
  </si>
  <si>
    <t xml:space="preserve">Cash remaining after Phase 1 (₹ Cr)</t>
  </si>
  <si>
    <t xml:space="preserve">Full acquisition — first year of PAT breakeven</t>
  </si>
  <si>
    <t xml:space="preserve">PAT &amp; FCF Breakeven</t>
  </si>
  <si>
    <t xml:space="preserve">Full acquisition — first year of FCF breakeven (after ₹750 Cr drag)</t>
  </si>
  <si>
    <t xml:space="preserve">Control exercise — first year of FCF breakeven (drag per Inputs)</t>
  </si>
  <si>
    <t xml:space="preserve">UPI MDR as % of capital drag — gross / after conversion</t>
  </si>
  <si>
    <t xml:space="preserve">Inputs (see next line)</t>
  </si>
  <si>
    <t xml:space="preserve">UPI MDR as % of capital drag — after conversion</t>
  </si>
  <si>
    <t xml:space="preserve">Inputs</t>
  </si>
  <si>
    <t xml:space="preserve">10-year NPV of capital drag at WACC (₹ Cr)</t>
  </si>
  <si>
    <t xml:space="preserve">Maximum total consideration incl. Phase 1 (₹ Cr)</t>
  </si>
  <si>
    <t xml:space="preserve">Call Option &amp; Earn-out</t>
  </si>
  <si>
    <t xml:space="preserve">Maximum unconditional consideration (₹ Cr)</t>
  </si>
  <si>
    <t xml:space="preserve">Standalone DCF value at base growth (₹ Cr) and verdict</t>
  </si>
  <si>
    <t xml:space="preserve">Blue cells are inputs. Category: CF = case fact · TA = team assumption. Source noted per line.</t>
  </si>
  <si>
    <t xml:space="preserve">Item</t>
  </si>
  <si>
    <t xml:space="preserve">Category</t>
  </si>
  <si>
    <t xml:space="preserve">Source / note</t>
  </si>
  <si>
    <t xml:space="preserve">PAYTM — baseline financials</t>
  </si>
  <si>
    <t xml:space="preserve">Market capitalisation (₹ Cr)</t>
  </si>
  <si>
    <t xml:space="preserve">CF</t>
  </si>
  <si>
    <t xml:space="preserve">Case §1: ₹1,18,750 Cr (~$14B), mid-September 2026</t>
  </si>
  <si>
    <t xml:space="preserve">Diluted shares outstanding (Cr)</t>
  </si>
  <si>
    <t xml:space="preserve">Case §1 baseline financials</t>
  </si>
  <si>
    <t xml:space="preserve">Cash (₹ Cr)</t>
  </si>
  <si>
    <t xml:space="preserve">Case §1</t>
  </si>
  <si>
    <t xml:space="preserve">Gross debt (₹ Cr)</t>
  </si>
  <si>
    <t xml:space="preserve">Trailing revenue (₹ Cr)</t>
  </si>
  <si>
    <t xml:space="preserve">EBITDA (₹ Cr)</t>
  </si>
  <si>
    <t xml:space="preserve">PAT (₹ Cr)</t>
  </si>
  <si>
    <t xml:space="preserve">Diluted EPS (₹) — starting point for all dilution</t>
  </si>
  <si>
    <t xml:space="preserve">Case §1: use as starting point for Section 5.3</t>
  </si>
  <si>
    <t xml:space="preserve">Credit rating</t>
  </si>
  <si>
    <t xml:space="preserve">CRISIL AA− (Stable)</t>
  </si>
  <si>
    <t xml:space="preserve">LIMINAL / DEAL — case terms</t>
  </si>
  <si>
    <t xml:space="preserve">Headline acquisition value (₹ Cr)</t>
  </si>
  <si>
    <t xml:space="preserve">Case §2: ₹4,000 Cr (~$470M)</t>
  </si>
  <si>
    <t xml:space="preserve">Headline cash consideration (₹ Cr)</t>
  </si>
  <si>
    <t xml:space="preserve">Case §2</t>
  </si>
  <si>
    <t xml:space="preserve">Headline equity consideration (₹ Cr)</t>
  </si>
  <si>
    <t xml:space="preserve">Liminal ARR (₹ Cr)</t>
  </si>
  <si>
    <t xml:space="preserve">Case §2: ₹220 Cr (~$26M)</t>
  </si>
  <si>
    <t xml:space="preserve">Liminal current PAT (₹ Cr)</t>
  </si>
  <si>
    <t xml:space="preserve">Case §2: approximately breakeven at net income level</t>
  </si>
  <si>
    <t xml:space="preserve">Four largest clients — share of ARR</t>
  </si>
  <si>
    <t xml:space="preserve">Case §2: HDFC Bank, Axis Bank, CoinDCX, ZebPay</t>
  </si>
  <si>
    <t xml:space="preserve">Full-acquisition ARR churn — low</t>
  </si>
  <si>
    <t xml:space="preserve">Case §3.1: 30% to 45% lost within 12 months</t>
  </si>
  <si>
    <t xml:space="preserve">Full-acquisition ARR churn — high</t>
  </si>
  <si>
    <t xml:space="preserve">Case §3.1</t>
  </si>
  <si>
    <t xml:space="preserve">Full-control capital drag — recurring annual FCF (₹ Cr)</t>
  </si>
  <si>
    <t xml:space="preserve">Case §3.2: bank-like capital reserves</t>
  </si>
  <si>
    <t xml:space="preserve">UPI MDR — incremental net revenue to Paytm (₹ Cr/yr)</t>
  </si>
  <si>
    <t xml:space="preserve">Case §3.4: real, effective 15 Oct 2026; Paytm standalone</t>
  </si>
  <si>
    <t xml:space="preserve">TEAM ASSUMPTIONS — transaction structure</t>
  </si>
  <si>
    <t xml:space="preserve">Initial minority ownership</t>
  </si>
  <si>
    <t xml:space="preserve">TA</t>
  </si>
  <si>
    <t xml:space="preserve">Midpoint of the permitted 20–30% range</t>
  </si>
  <si>
    <t xml:space="preserve">Minority priced pro-rata to headline value? (1 = yes)</t>
  </si>
  <si>
    <t xml:space="preserve">Illustrative: ₹1,000 Cr = 25% × ₹4,000 Cr</t>
  </si>
  <si>
    <t xml:space="preserve">Phase-1 funding — share from existing cash</t>
  </si>
  <si>
    <t xml:space="preserve">No new debt, no new equity issuance in Phase 1</t>
  </si>
  <si>
    <t xml:space="preserve">Phase-1 transaction fees (₹ Cr)</t>
  </si>
  <si>
    <t xml:space="preserve">One-time</t>
  </si>
  <si>
    <t xml:space="preserve">Validation period before option window (months)</t>
  </si>
  <si>
    <t xml:space="preserve">Phase 2 · 3–12 months</t>
  </si>
  <si>
    <t xml:space="preserve">Call-option window (months, after validation)</t>
  </si>
  <si>
    <t xml:space="preserve">Phase 3 · ~12 months+</t>
  </si>
  <si>
    <t xml:space="preserve">Control-tranche upfront share of cap</t>
  </si>
  <si>
    <t xml:space="preserve">Balance is retention-linked earn-out</t>
  </si>
  <si>
    <t xml:space="preserve">Earn-out floor — retained ARR at which earn-out is zero</t>
  </si>
  <si>
    <t xml:space="preserve">Mirrors case high-churn bound (45% churn)</t>
  </si>
  <si>
    <t xml:space="preserve">Earn-out paid in Paytm shares? (1 = shares, 0 = cash)</t>
  </si>
  <si>
    <t xml:space="preserve">Contingent equity, collared</t>
  </si>
  <si>
    <t xml:space="preserve">Integration cost at control (₹ Cr, one-time)</t>
  </si>
  <si>
    <t xml:space="preserve">Cash and P&amp;L, year of exercise</t>
  </si>
  <si>
    <t xml:space="preserve">Control-exercise cash portion (₹ Cr)</t>
  </si>
  <si>
    <t xml:space="preserve">Balance of upfront funded by new debt</t>
  </si>
  <si>
    <t xml:space="preserve">TEAM ASSUMPTIONS — financing, tax, returns</t>
  </si>
  <si>
    <t xml:space="preserve">Pre-tax yield on Paytm surplus cash</t>
  </si>
  <si>
    <t xml:space="preserve">Foregone treasury income on cash used</t>
  </si>
  <si>
    <t xml:space="preserve">Pre-tax cost of new debt (CRISIL AA− issuer)</t>
  </si>
  <si>
    <t xml:space="preserve">Financing cost on debt-funded consideration</t>
  </si>
  <si>
    <t xml:space="preserve">Corporate tax rate</t>
  </si>
  <si>
    <t xml:space="preserve">Applied to interest, foregone income and Liminal profits</t>
  </si>
  <si>
    <t xml:space="preserve">WACC / required return</t>
  </si>
  <si>
    <t xml:space="preserve">Discount rate for NPV of drag and DCF</t>
  </si>
  <si>
    <t xml:space="preserve">Terminal growth</t>
  </si>
  <si>
    <t xml:space="preserve">For DCF cross-check</t>
  </si>
  <si>
    <t xml:space="preserve">Minimum cash guardrail (₹ Cr)</t>
  </si>
  <si>
    <t xml:space="preserve">Liquidity floor</t>
  </si>
  <si>
    <t xml:space="preserve">Maximum gross debt / EBITDA guardrail</t>
  </si>
  <si>
    <t xml:space="preserve">Rating headroom</t>
  </si>
  <si>
    <t xml:space="preserve">TEAM ASSUMPTIONS — Liminal operating model</t>
  </si>
  <si>
    <t xml:space="preserve">Liminal ARR growth — base case</t>
  </si>
  <si>
    <t xml:space="preserve">Bear 10% / Bull 30% tested on Sensitivities</t>
  </si>
  <si>
    <t xml:space="preserve">EBITDA margin step-up per year (pp)</t>
  </si>
  <si>
    <t xml:space="preserve">From 0% today</t>
  </si>
  <si>
    <t xml:space="preserve">EBITDA margin cap</t>
  </si>
  <si>
    <t xml:space="preserve">Asset-light custody / MPC infrastructure</t>
  </si>
  <si>
    <t xml:space="preserve">PAT as % of EBITDA</t>
  </si>
  <si>
    <t xml:space="preserve">Tax at 25%; D&amp;A ≈ capex</t>
  </si>
  <si>
    <t xml:space="preserve">FCF as % of PAT</t>
  </si>
  <si>
    <t xml:space="preserve">Asset-light; working capital neutral</t>
  </si>
  <si>
    <t xml:space="preserve">Churn applied in full-acquisition counterfactual</t>
  </si>
  <si>
    <t xml:space="preserve">Midpoint of case 30–45% range</t>
  </si>
  <si>
    <t xml:space="preserve">Cost stickiness in churn year (share of lost revenue)</t>
  </si>
  <si>
    <t xml:space="preserve">Half of the lost revenue’s cost base persists one year</t>
  </si>
  <si>
    <t xml:space="preserve">Churn under minority / JV structure</t>
  </si>
  <si>
    <t xml:space="preserve">No change of control — validated through client consents</t>
  </si>
  <si>
    <t xml:space="preserve">Capital drag applied at minority level (₹ Cr/yr)</t>
  </si>
  <si>
    <t xml:space="preserve">Case does not specify; RBI treatment is a validation gate</t>
  </si>
  <si>
    <t xml:space="preserve">Capital drag applied at control (₹ Cr/yr)</t>
  </si>
  <si>
    <t xml:space="preserve">Default = case ₹750 Cr; flex to test gate</t>
  </si>
  <si>
    <t xml:space="preserve">Churn applied at control exercise</t>
  </si>
  <si>
    <t xml:space="preserve">Maximum acceptable under client-consent gate</t>
  </si>
  <si>
    <t xml:space="preserve">UPI MDR — EBITDA flow-through</t>
  </si>
  <si>
    <t xml:space="preserve">Net revenue with minimal incremental cost</t>
  </si>
  <si>
    <t xml:space="preserve">Synergies in base case (₹ Cr/yr)</t>
  </si>
  <si>
    <t xml:space="preserve">Conservative: zero in base; upside only</t>
  </si>
  <si>
    <t xml:space="preserve">DERIVED CALCULATIONS (formulas)</t>
  </si>
  <si>
    <t xml:space="preserve">Implied Paytm share price (₹)</t>
  </si>
  <si>
    <t xml:space="preserve">CALC</t>
  </si>
  <si>
    <t xml:space="preserve">Market cap ÷ diluted shares ≈ ₹1,855</t>
  </si>
  <si>
    <t xml:space="preserve">≈ 18.2× (case rounds to 18×)</t>
  </si>
  <si>
    <t xml:space="preserve">Trailing P/E</t>
  </si>
  <si>
    <t xml:space="preserve">≈ 247×</t>
  </si>
  <si>
    <t xml:space="preserve">Phase-1 investment (₹ Cr)</t>
  </si>
  <si>
    <t xml:space="preserve">25% × ₹4,000 Cr = ₹1,000 Cr</t>
  </si>
  <si>
    <t xml:space="preserve">Remaining stake after Phase 1</t>
  </si>
  <si>
    <t xml:space="preserve">75%</t>
  </si>
  <si>
    <t xml:space="preserve">Control-tranche valuation cap (₹ Cr)</t>
  </si>
  <si>
    <t xml:space="preserve">Never more than headline in total</t>
  </si>
  <si>
    <t xml:space="preserve">Control-tranche upfront (₹ Cr)</t>
  </si>
  <si>
    <t xml:space="preserve">Paid at exercise</t>
  </si>
  <si>
    <t xml:space="preserve">Control-tranche earn-out maximum (₹ Cr)</t>
  </si>
  <si>
    <t xml:space="preserve">Paid at month 18 post-control on retained ARR</t>
  </si>
  <si>
    <t xml:space="preserve">Control-exercise new debt (₹ Cr)</t>
  </si>
  <si>
    <t xml:space="preserve">Upfront less cash portion</t>
  </si>
  <si>
    <t xml:space="preserve">UPI MDR — PAT / FCF contribution (₹ Cr/yr)</t>
  </si>
  <si>
    <t xml:space="preserve">Paytm standalone offset ≈ ₹69 Cr</t>
  </si>
  <si>
    <t xml:space="preserve">MDR as % of ₹750 Cr drag — gross</t>
  </si>
  <si>
    <t xml:space="preserve">≈ 15%</t>
  </si>
  <si>
    <t xml:space="preserve">MDR as % of ₹750 Cr drag — after conversion</t>
  </si>
  <si>
    <t xml:space="preserve">≈ 9%</t>
  </si>
  <si>
    <t xml:space="preserve">NPV of capital drag — 10-year annuity at WACC (₹ Cr)</t>
  </si>
  <si>
    <t xml:space="preserve">≈ ₹4,238 Cr vs ₹4,000 Cr price</t>
  </si>
  <si>
    <t xml:space="preserve">Capital drag as % of Paytm EBITDA</t>
  </si>
  <si>
    <t xml:space="preserve">≈ 117%</t>
  </si>
  <si>
    <t xml:space="preserve">18.2× headline ARR becomes 26–33× on retained ARR under full-control churn</t>
  </si>
  <si>
    <t xml:space="preserve">Headline valuation</t>
  </si>
  <si>
    <t xml:space="preserve">÷ ARR</t>
  </si>
  <si>
    <t xml:space="preserve">→ multiple</t>
  </si>
  <si>
    <t xml:space="preserve">Full-control churn</t>
  </si>
  <si>
    <t xml:space="preserve">ARR lost (₹ Cr)</t>
  </si>
  <si>
    <t xml:space="preserve">Retained ARR (₹ Cr)</t>
  </si>
  <si>
    <t xml:space="preserve">₹4,000 Cr / retained ARR</t>
  </si>
  <si>
    <t xml:space="preserve">Implied value at headline multiple (₹ Cr)</t>
  </si>
  <si>
    <t xml:space="preserve">Value gap vs ₹4,000 Cr</t>
  </si>
  <si>
    <t xml:space="preserve">Value destroyed per 10 pts of churn at headline multiple (₹ Cr)</t>
  </si>
  <si>
    <t xml:space="preserve">Revenue recovery hurdle</t>
  </si>
  <si>
    <t xml:space="preserve">Original ARR (₹ Cr)</t>
  </si>
  <si>
    <t xml:space="preserve">Growth required to recover</t>
  </si>
  <si>
    <t xml:space="preserve">After 30% churn</t>
  </si>
  <si>
    <t xml:space="preserve">After 45% churn</t>
  </si>
  <si>
    <t xml:space="preserve">Top-4 client concentration</t>
  </si>
  <si>
    <t xml:space="preserve">ARR (₹ Cr)</t>
  </si>
  <si>
    <t xml:space="preserve">Case churn as % of top-4 ARR — low</t>
  </si>
  <si>
    <t xml:space="preserve">Case churn as % of top-4 ARR — high</t>
  </si>
  <si>
    <t xml:space="preserve">DCF cross-check — what growth does ₹4,000 Cr require? (team assumptions, standalone, no churn, no drag)</t>
  </si>
  <si>
    <t xml:space="preserve">Year</t>
  </si>
  <si>
    <t xml:space="preserve">EBITDA margin</t>
  </si>
  <si>
    <t xml:space="preserve">FCF (₹ Cr)</t>
  </si>
  <si>
    <t xml:space="preserve">Discount factor</t>
  </si>
  <si>
    <t xml:space="preserve">PV (₹ Cr)</t>
  </si>
  <si>
    <t xml:space="preserve">Terminal value at year 10</t>
  </si>
  <si>
    <t xml:space="preserve">Standalone DCF value (₹ Cr)</t>
  </si>
  <si>
    <t xml:space="preserve">Implied DCF multiple of ARR</t>
  </si>
  <si>
    <t xml:space="preserve">Headline price supported by base-case DCF?</t>
  </si>
  <si>
    <t xml:space="preserve">Note: DCF value scales with the growth input on Inputs (base 20%). The Sensitivities sheet shows the value at 10% / 30% / 40%.</t>
  </si>
  <si>
    <t xml:space="preserve">Year-1 accretion / dilution from the ₹7.50 baseline under alternative financing mixes; recommended Phase-1 structure</t>
  </si>
  <si>
    <t xml:space="preserve">A. Mechanical dilution — headline mix, share count only (as in the deck)</t>
  </si>
  <si>
    <t xml:space="preserve">₹1,900 Cr equity consideration → new shares (Cr)</t>
  </si>
  <si>
    <t xml:space="preserve">Pro-forma diluted shares (Cr)</t>
  </si>
  <si>
    <t xml:space="preserve">EPS if PAT remains ₹480 Cr (₹)</t>
  </si>
  <si>
    <t xml:space="preserve">Mechanical dilution vs ₹7.50 baseline</t>
  </si>
  <si>
    <t xml:space="preserve">Cash after ₹2,100 Cr funded from balance sheet (₹ Cr)</t>
  </si>
  <si>
    <t xml:space="preserve">B. Full-acquisition year-1 EPS — including financing costs and post-churn Liminal result</t>
  </si>
  <si>
    <t xml:space="preserve">Line item (₹ Cr unless stated)</t>
  </si>
  <si>
    <t xml:space="preserve">Case headline: ₹2,100 cash + ₹1,900 equity</t>
  </si>
  <si>
    <t xml:space="preserve">Debt-funded: ₹2,100 debt + ₹1,900 equity</t>
  </si>
  <si>
    <t xml:space="preserve">Mix: ₹1,400 cash + ₹700 debt + ₹1,900 equity</t>
  </si>
  <si>
    <t xml:space="preserve">All cash ₹4,000</t>
  </si>
  <si>
    <t xml:space="preserve">All equity ₹4,000</t>
  </si>
  <si>
    <t xml:space="preserve">Cash from balance sheet</t>
  </si>
  <si>
    <t xml:space="preserve">New debt</t>
  </si>
  <si>
    <t xml:space="preserve">Equity issued</t>
  </si>
  <si>
    <t xml:space="preserve">New shares issued (Cr)</t>
  </si>
  <si>
    <t xml:space="preserve">Foregone post-tax interest on cash used</t>
  </si>
  <si>
    <t xml:space="preserve">Post-tax interest on new debt</t>
  </si>
  <si>
    <t xml:space="preserve">Liminal year-1 PAT after churn (from Projection)</t>
  </si>
  <si>
    <t xml:space="preserve">Synergies (base)</t>
  </si>
  <si>
    <t xml:space="preserve">Incremental PAT</t>
  </si>
  <si>
    <t xml:space="preserve">Pro-forma PAT</t>
  </si>
  <si>
    <t xml:space="preserve">Year-1 EPS (₹)</t>
  </si>
  <si>
    <t xml:space="preserve">Accretion / (dilution) vs ₹7.50</t>
  </si>
  <si>
    <t xml:space="preserve">+ UPI MDR standalone offset → EPS (₹)</t>
  </si>
  <si>
    <t xml:space="preserve">Cash after transaction</t>
  </si>
  <si>
    <t xml:space="preserve">Gross debt after transaction</t>
  </si>
  <si>
    <t xml:space="preserve">Gross debt / EBITDA</t>
  </si>
  <si>
    <t xml:space="preserve">Within guardrails? (cash ≥ floor and leverage ≤ max)</t>
  </si>
  <si>
    <t xml:space="preserve">Note: Liminal year-1 PAT after churn is negative because 50% of the lost revenue’s cost base is assumed to persist for one year (Inputs). No group tax relief is assumed on Liminal losses.</t>
  </si>
  <si>
    <t xml:space="preserve">C. Recommended Phase-1 structure — 25% minority for ₹1,000 Cr, funded from existing cash</t>
  </si>
  <si>
    <t xml:space="preserve">Funded from existing cash (₹ Cr)</t>
  </si>
  <si>
    <t xml:space="preserve">New debt (₹ Cr)</t>
  </si>
  <si>
    <t xml:space="preserve">Cash remaining (₹ Cr)</t>
  </si>
  <si>
    <t xml:space="preserve">Gross debt / EBITDA after Phase 1</t>
  </si>
  <si>
    <t xml:space="preserve">Immediate share-count dilution</t>
  </si>
  <si>
    <t xml:space="preserve">Foregone post-tax interest on cash used (₹ Cr/yr)</t>
  </si>
  <si>
    <t xml:space="preserve">Paytm share of Liminal year-1 PAT (equity method, ₹ Cr)</t>
  </si>
  <si>
    <t xml:space="preserve">Year-1 EPS — Phase 1 (₹)</t>
  </si>
  <si>
    <t xml:space="preserve">Accretion / (dilution) vs ₹7.50 — economic (incl. foregone interest)</t>
  </si>
  <si>
    <t xml:space="preserve">Accretion / (dilution) vs ₹7.50 — share count only</t>
  </si>
  <si>
    <t xml:space="preserve">Year-1 EPS with UPI MDR standalone offset (₹)</t>
  </si>
  <si>
    <t xml:space="preserve">Standalone Paytm EPS with MDR, no transaction (₹)</t>
  </si>
  <si>
    <t xml:space="preserve">Standalone path (no churn) and churned path for the full-acquisition counterfactual — team assumptions</t>
  </si>
  <si>
    <t xml:space="preserve">A. Standalone path — no change of control (basis for Phase-1 minority)</t>
  </si>
  <si>
    <t xml:space="preserve">Y0</t>
  </si>
  <si>
    <t xml:space="preserve">Y1</t>
  </si>
  <si>
    <t xml:space="preserve">Y2</t>
  </si>
  <si>
    <t xml:space="preserve">Y3</t>
  </si>
  <si>
    <t xml:space="preserve">Y4</t>
  </si>
  <si>
    <t xml:space="preserve">Y5</t>
  </si>
  <si>
    <t xml:space="preserve">Y6</t>
  </si>
  <si>
    <t xml:space="preserve">Y7</t>
  </si>
  <si>
    <t xml:space="preserve">Y8</t>
  </si>
  <si>
    <t xml:space="preserve">Y9</t>
  </si>
  <si>
    <t xml:space="preserve">Y10</t>
  </si>
  <si>
    <t xml:space="preserve">ARR / revenue (₹ Cr)</t>
  </si>
  <si>
    <t xml:space="preserve">Paytm 25% share of PAT (₹ Cr)</t>
  </si>
  <si>
    <t xml:space="preserve">B. Churned path — full acquisition today; churn in Y1, then growth on the retained base</t>
  </si>
  <si>
    <t xml:space="preserve">Churn applied</t>
  </si>
  <si>
    <t xml:space="preserve">Sticky cost share</t>
  </si>
  <si>
    <t xml:space="preserve">Revenue before churn (₹ Cr)</t>
  </si>
  <si>
    <t xml:space="preserve">Revenue after churn (₹ Cr)</t>
  </si>
  <si>
    <t xml:space="preserve">Lost revenue (₹ Cr)</t>
  </si>
  <si>
    <t xml:space="preserve">EBITDA before sticky cost (₹ Cr)</t>
  </si>
  <si>
    <t xml:space="preserve">Sticky cost penalty (₹ Cr)</t>
  </si>
  <si>
    <t xml:space="preserve">PAT (₹ Cr) — no group tax relief on losses</t>
  </si>
  <si>
    <t xml:space="preserve">PAT — year 1 (₹ Cr)</t>
  </si>
  <si>
    <t xml:space="preserve">C. Control-exercise path — 25% held Y1; control at end-Y1; churn per consent gate in Y2, then growth</t>
  </si>
  <si>
    <t xml:space="preserve">Churn at control</t>
  </si>
  <si>
    <t xml:space="preserve">Two separate hurdles: accounting accretion (PAT / EPS) and cash-flow viability (FCF after the ₹750 Cr capital drag)</t>
  </si>
  <si>
    <t xml:space="preserve">A. Full acquisition today — case headline mix (₹2,100 Cr cash from balance sheet + ₹1,900 Cr equity)</t>
  </si>
  <si>
    <t xml:space="preserve">Year (₹ Cr)</t>
  </si>
  <si>
    <t xml:space="preserve">Liminal PAT (churned path)</t>
  </si>
  <si>
    <t xml:space="preserve">Foregone post-tax interest on ₹2,100 Cr cash</t>
  </si>
  <si>
    <t xml:space="preserve">Integration / one-time costs — excluded from run-rate EPS (in FCF below)</t>
  </si>
  <si>
    <t xml:space="preserve">Pro-forma EPS (₹)</t>
  </si>
  <si>
    <t xml:space="preserve">Pro-forma EPS incl. UPI MDR standalone offset (₹)</t>
  </si>
  <si>
    <t xml:space="preserve">Liminal FCF (churned path)</t>
  </si>
  <si>
    <t xml:space="preserve">Foregone post-tax interest (cash)</t>
  </si>
  <si>
    <t xml:space="preserve">Post-tax interest on new debt (cash)</t>
  </si>
  <si>
    <t xml:space="preserve">UPI MDR standalone offset (shown separately, not deal-driven)</t>
  </si>
  <si>
    <t xml:space="preserve">Capital drag — ₹750 Cr recurring annual FCF</t>
  </si>
  <si>
    <t xml:space="preserve">Integration / one-time cash costs (Y1)</t>
  </si>
  <si>
    <t xml:space="preserve">Incremental FCF (excluding MDR)</t>
  </si>
  <si>
    <t xml:space="preserve">Incremental FCF (crediting MDR)</t>
  </si>
  <si>
    <t xml:space="preserve">Cumulative incremental FCF incl. upfront cash</t>
  </si>
  <si>
    <t xml:space="preserve">PAT breakeven reached?</t>
  </si>
  <si>
    <t xml:space="preserve">FCF breakeven reached?</t>
  </si>
  <si>
    <t xml:space="preserve">First year of PAT breakeven</t>
  </si>
  <si>
    <t xml:space="preserve">First year of FCF breakeven (excluding MDR)</t>
  </si>
  <si>
    <t xml:space="preserve">Liminal FCF needed to cover the drag from its own cash flow (₹ Cr)</t>
  </si>
  <si>
    <t xml:space="preserve">→ ARR required at cap margin (₹ Cr)</t>
  </si>
  <si>
    <t xml:space="preserve">B. Phase-1 minority — 25% for ₹1,000 Cr from existing cash; no consolidation (equity method)</t>
  </si>
  <si>
    <t xml:space="preserve">Paytm 25% share of Liminal PAT (standalone path)</t>
  </si>
  <si>
    <t xml:space="preserve">Phase-1 fees — excluded from run-rate EPS (in FCF below)</t>
  </si>
  <si>
    <t xml:space="preserve">Capital drag applied at minority level (gate)</t>
  </si>
  <si>
    <t xml:space="preserve">Phase-1 fees (Y1)</t>
  </si>
  <si>
    <t xml:space="preserve">Dividends received (none assumed)</t>
  </si>
  <si>
    <t xml:space="preserve">Incremental FCF</t>
  </si>
  <si>
    <t xml:space="preserve">Cumulative incremental FCF incl. ₹1,000 Cr investment</t>
  </si>
  <si>
    <t xml:space="preserve">Associate income covers foregone interest?</t>
  </si>
  <si>
    <t xml:space="preserve">First year associate income covers foregone interest</t>
  </si>
  <si>
    <t xml:space="preserve">Note: on a cash basis the minority stake yields nothing until dividends or exit; its return is the equity value of the stake plus the option (see Call Option &amp; Earn-out).</t>
  </si>
  <si>
    <t xml:space="preserve">C. Control exercised at end of Y1 (gates cleared) — consolidated from Y2; churn per consent gate; capital drag per Inputs</t>
  </si>
  <si>
    <t xml:space="preserve">Liminal PAT (control path) / 25% share in Y1</t>
  </si>
  <si>
    <t xml:space="preserve">Foregone post-tax interest — Phase-1 cash</t>
  </si>
  <si>
    <t xml:space="preserve">Foregone post-tax interest — control cash portion (from Y2)</t>
  </si>
  <si>
    <t xml:space="preserve">Post-tax interest on control new debt (from Y2)</t>
  </si>
  <si>
    <t xml:space="preserve">Integration cost — excluded from run-rate EPS (in FCF below)</t>
  </si>
  <si>
    <t xml:space="preserve">Pro-forma diluted shares (Cr) — earn-out shares from Y3</t>
  </si>
  <si>
    <t xml:space="preserve">Liminal FCF (control path) — consolidated from Y2</t>
  </si>
  <si>
    <t xml:space="preserve">Cost of funds (cash items above)</t>
  </si>
  <si>
    <t xml:space="preserve">Capital drag at control (from Y2)</t>
  </si>
  <si>
    <t xml:space="preserve">Integration cash (Y2)</t>
  </si>
  <si>
    <t xml:space="preserve">First year of PAT breakeven after control</t>
  </si>
  <si>
    <t xml:space="preserve">First year of FCF breakeven after control</t>
  </si>
  <si>
    <t xml:space="preserve">Control-exercise rule: do not exercise unless credible PAT/EPS breakeven AND credible FCF breakeven after regulatory capital requirements. Flex "Capital drag applied at control" on Inputs to test the regulatory gate (the case default ₹750 Cr defeats FCF breakeven).</t>
  </si>
  <si>
    <t xml:space="preserve">D. UPI MDR offset vs capital drag (Paytm standalone; not created by acquiring Liminal)</t>
  </si>
  <si>
    <t xml:space="preserve">₹750 Cr capital drag (₹ Cr/yr)</t>
  </si>
  <si>
    <t xml:space="preserve">UPI MDR incremental net revenue (₹ Cr/yr)</t>
  </si>
  <si>
    <t xml:space="preserve">gross offset</t>
  </si>
  <si>
    <t xml:space="preserve">UPI MDR after PAT/FCF conversion (₹ Cr/yr)</t>
  </si>
  <si>
    <t xml:space="preserve">offset after conversion</t>
  </si>
  <si>
    <t xml:space="preserve">Net annual cash cost of full ownership after MDR (₹ Cr/yr)</t>
  </si>
  <si>
    <t xml:space="preserve">10-year NPV of the drag at WACC (₹ Cr) vs headline price</t>
  </si>
  <si>
    <t xml:space="preserve">Future-control consideration capped at the lower of headline mechanics and retained-ARR value; upfront = strategic access, contingent = retained value</t>
  </si>
  <si>
    <t xml:space="preserve">Remaining stake acquired on exercise</t>
  </si>
  <si>
    <t xml:space="preserve">Control-tranche valuation cap (₹ Cr) = remaining stake × headline</t>
  </si>
  <si>
    <t xml:space="preserve">Upfront at exercise (₹ Cr)</t>
  </si>
  <si>
    <t xml:space="preserve">Earn-out maximum (₹ Cr)</t>
  </si>
  <si>
    <t xml:space="preserve">Earn-out floor — retained ARR</t>
  </si>
  <si>
    <t xml:space="preserve">equals headline; never exceeded</t>
  </si>
  <si>
    <t xml:space="preserve">Post-control churn</t>
  </si>
  <si>
    <t xml:space="preserve">Retained ARR</t>
  </si>
  <si>
    <t xml:space="preserve">Earn-out paid (₹ Cr)</t>
  </si>
  <si>
    <t xml:space="preserve">Control total (₹ Cr)</t>
  </si>
  <si>
    <t xml:space="preserve">Grand total incl. Phase 1 (₹ Cr)</t>
  </si>
  <si>
    <t xml:space="preserve">Remaining stake × headline multiple × retained ARR (₹ Cr)</t>
  </si>
  <si>
    <t xml:space="preserve">Earn-out shares if settled in Paytm stock at current price (Cr, maximum)</t>
  </si>
  <si>
    <t xml:space="preserve">% of share count</t>
  </si>
  <si>
    <t xml:space="preserve">Earn-out per 10 points of retained ARR (₹ Cr)</t>
  </si>
  <si>
    <t xml:space="preserve">Pricing principle: consideration = lower of (1) agreed headline valuation mechanics and (2) retained-ARR / performance-based value, subject to client retention, regulatory capital treatment, financial performance, the valuation cap and customary adjustments. Column G shows the retained-ARR value; column E shows what the schedule pays.</t>
  </si>
  <si>
    <t xml:space="preserve">Phase-1 stake — illustrative return if exited at end of Y5 at a multiple of Y5 ARR (no dividends)</t>
  </si>
  <si>
    <t xml:space="preserve">Exit multiple of ARR →</t>
  </si>
  <si>
    <t xml:space="preserve">Growth ↓ (rows) · IRR vs hurdle (WACC)</t>
  </si>
  <si>
    <t xml:space="preserve">Year-1 EPS and FCF under key downside scenarios — churn and capital requirements — plus DCF value by growth</t>
  </si>
  <si>
    <t xml:space="preserve">A. Full acquisition (headline mix) — year-1 EPS by churn and cash-yield assumption</t>
  </si>
  <si>
    <t xml:space="preserve">Cash yield ↓ · Churn →</t>
  </si>
  <si>
    <t xml:space="preserve">Baseline EPS for reference (₹)</t>
  </si>
  <si>
    <t xml:space="preserve">B. Full acquisition — year-1 incremental FCF by churn and capital-drag treatment (₹ Cr)</t>
  </si>
  <si>
    <t xml:space="preserve">Capital drag ↓ · Churn →</t>
  </si>
  <si>
    <t xml:space="preserve">Reading: the ₹750 Cr row is the case assumption; ₹195 Cr ≈ pro-rata at 25%+; ₹0 = drag avoided or structured away. No cell in the ₹750 Cr row is positive at any churn level.</t>
  </si>
  <si>
    <t xml:space="preserve">C. Phase-1 minority — year-1 EPS by cash yield and minority-level capital drag (economic basis)</t>
  </si>
  <si>
    <t xml:space="preserve">Cash yield ↓ · Drag at minority (₹ Cr) → (EPS unaffected: drag is a cash item; see FCF row)</t>
  </si>
  <si>
    <t xml:space="preserve">Year-1 FCF effect of a minority-level drag (₹ Cr/yr)</t>
  </si>
  <si>
    <t xml:space="preserve">D. Standalone DCF value of Liminal by growth rate (team assumptions; no churn, no drag)</t>
  </si>
  <si>
    <t xml:space="preserve">Growth p.a. for 10 years →</t>
  </si>
  <si>
    <t xml:space="preserve">Required for ₹4,000 Cr</t>
  </si>
  <si>
    <t xml:space="preserve">DCF value (₹ Cr)</t>
  </si>
  <si>
    <t xml:space="preserve">≈ 31% p.a. (solved iteratively; enter a growth rate on Inputs and read Valuation &amp; Churn!G36)</t>
  </si>
  <si>
    <t xml:space="preserve">Multiple of ARR</t>
  </si>
  <si>
    <t xml:space="preserve">Supports ₹4,000 Cr headline?</t>
  </si>
  <si>
    <t xml:space="preserve">E. Downside playbook — triggers read from the model</t>
  </si>
  <si>
    <t xml:space="preserve">Trigger</t>
  </si>
  <si>
    <t xml:space="preserve">Model reading</t>
  </si>
  <si>
    <t xml:space="preserve">Response</t>
  </si>
  <si>
    <t xml:space="preserve">Churn &gt; 45%</t>
  </si>
  <si>
    <t xml:space="preserve">Do not exercise control / activate price protection / reassess partnership</t>
  </si>
  <si>
    <t xml:space="preserve">Capital requirement unacceptable</t>
  </si>
  <si>
    <t xml:space="preserve">Remain minority / restructure / exit</t>
  </si>
  <si>
    <t xml:space="preserve">Key clients resist</t>
  </si>
  <si>
    <t xml:space="preserve">Strengthen ring-fence; no control exercise without acceptable retention</t>
  </si>
  <si>
    <t xml:space="preserve">Paytm share price compresses</t>
  </si>
  <si>
    <t xml:space="preserve">Avoid fixed-value equity issuance that creates excessive dilution</t>
  </si>
  <si>
    <t xml:space="preserve">PAT / FCF case fails</t>
  </si>
  <si>
    <t xml:space="preserve">Do not escalate capital because of sunk cost</t>
  </si>
  <si>
    <t xml:space="preserve">Regulatory / security conditions fail</t>
  </si>
  <si>
    <t xml:space="preserve">Gate (qualitative)</t>
  </si>
  <si>
    <t xml:space="preserve">Suspend exercise / terminate where contractual rights permit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</si>
</sst>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\x"/>
    <numFmt numFmtId="166" formatCode="#,##0;\(#,##0\);\-"/>
    <numFmt numFmtId="167" formatCode="0.0%;\(0.0%\);\-"/>
    <numFmt numFmtId="168" formatCode="#,##0.00;\(#,##0.00\);\-"/>
    <numFmt numFmtId="169" formatCode="General"/>
    <numFmt numFmtId="170" formatCode="#,##0.0;\(#,##0.0\);\-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Times New Roman"/>
      <family val="0"/>
      <charset val="1"/>
    </font>
    <font>
      <b val="true"/>
      <sz val="18"/>
      <name val="Times New Roman"/>
      <family val="0"/>
      <charset val="1"/>
    </font>
    <font>
      <sz val="12"/>
      <name val="Times New Roman"/>
      <family val="0"/>
      <charset val="1"/>
    </font>
    <font>
      <i val="true"/>
      <sz val="10"/>
      <color rgb="FF595959"/>
      <name val="Times New Roman"/>
      <family val="0"/>
      <charset val="1"/>
    </font>
    <font>
      <b val="true"/>
      <sz val="11"/>
      <name val="Times New Roman"/>
      <family val="0"/>
      <charset val="1"/>
    </font>
    <font>
      <sz val="11"/>
      <name val="Times New Roman"/>
      <family val="0"/>
      <charset val="1"/>
    </font>
    <font>
      <sz val="11"/>
      <color rgb="FF0000FF"/>
      <name val="Times New Roman"/>
      <family val="0"/>
      <charset val="1"/>
    </font>
    <font>
      <sz val="11"/>
      <color rgb="FF008000"/>
      <name val="Times New Roman"/>
      <family val="0"/>
      <charset val="1"/>
    </font>
    <font>
      <b val="true"/>
      <sz val="14"/>
      <name val="Times New Roman"/>
      <family val="0"/>
      <charset val="1"/>
    </font>
    <font>
      <sz val="9"/>
      <color rgb="FF595959"/>
      <name val="Times New Roman"/>
      <family val="0"/>
      <charset val="1"/>
    </font>
    <font>
      <i val="true"/>
      <sz val="9"/>
      <color rgb="FF595959"/>
      <name val="Times New Roman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7E6E6"/>
        <bgColor rgb="FFDDEBF7"/>
      </patternFill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80"/>
  </cols>
  <sheetData>
    <row r="1" customFormat="false" ht="15" hidden="false" customHeight="false" outlineLevel="0" collapsed="false">
      <c r="A1" s="1"/>
      <c r="B1" s="1"/>
      <c r="C1" s="1"/>
    </row>
    <row r="2" customFormat="false" ht="22.05" hidden="false" customHeight="false" outlineLevel="0" collapsed="false">
      <c r="A2" s="1"/>
      <c r="B2" s="2" t="s">
        <v>0</v>
      </c>
      <c r="C2" s="1"/>
    </row>
    <row r="3" customFormat="false" ht="15" hidden="false" customHeight="false" outlineLevel="0" collapsed="false">
      <c r="A3" s="1"/>
      <c r="B3" s="3" t="s">
        <v>1</v>
      </c>
      <c r="C3" s="1"/>
    </row>
    <row r="4" customFormat="false" ht="15" hidden="false" customHeight="false" outlineLevel="0" collapsed="false">
      <c r="A4" s="1"/>
      <c r="B4" s="4" t="s">
        <v>2</v>
      </c>
      <c r="C4" s="1"/>
    </row>
    <row r="5" customFormat="false" ht="15" hidden="false" customHeight="false" outlineLevel="0" collapsed="false">
      <c r="A5" s="1"/>
      <c r="B5" s="1"/>
      <c r="C5" s="1"/>
    </row>
    <row r="6" customFormat="false" ht="48" hidden="false" customHeight="true" outlineLevel="0" collapsed="false">
      <c r="A6" s="1"/>
      <c r="B6" s="5" t="s">
        <v>3</v>
      </c>
      <c r="C6" s="6" t="s">
        <v>4</v>
      </c>
    </row>
    <row r="7" customFormat="false" ht="15" hidden="false" customHeight="false" outlineLevel="0" collapsed="false">
      <c r="A7" s="1"/>
      <c r="B7" s="1"/>
      <c r="C7" s="1"/>
    </row>
    <row r="8" customFormat="false" ht="15" hidden="false" customHeight="false" outlineLevel="0" collapsed="false">
      <c r="A8" s="1"/>
      <c r="B8" s="7" t="s">
        <v>5</v>
      </c>
      <c r="C8" s="7" t="s">
        <v>6</v>
      </c>
    </row>
    <row r="9" customFormat="false" ht="15" hidden="false" customHeight="false" outlineLevel="0" collapsed="false">
      <c r="A9" s="1"/>
      <c r="B9" s="8" t="s">
        <v>7</v>
      </c>
      <c r="C9" s="9" t="s">
        <v>8</v>
      </c>
    </row>
    <row r="10" customFormat="false" ht="15" hidden="false" customHeight="false" outlineLevel="0" collapsed="false">
      <c r="A10" s="1"/>
      <c r="B10" s="8" t="s">
        <v>9</v>
      </c>
      <c r="C10" s="9" t="s">
        <v>10</v>
      </c>
    </row>
    <row r="11" customFormat="false" ht="25.35" hidden="false" customHeight="false" outlineLevel="0" collapsed="false">
      <c r="A11" s="1"/>
      <c r="B11" s="8" t="s">
        <v>11</v>
      </c>
      <c r="C11" s="9" t="s">
        <v>12</v>
      </c>
    </row>
    <row r="12" customFormat="false" ht="25.35" hidden="false" customHeight="false" outlineLevel="0" collapsed="false">
      <c r="A12" s="1"/>
      <c r="B12" s="8" t="s">
        <v>13</v>
      </c>
      <c r="C12" s="9" t="s">
        <v>14</v>
      </c>
    </row>
    <row r="13" customFormat="false" ht="25.35" hidden="false" customHeight="false" outlineLevel="0" collapsed="false">
      <c r="A13" s="1"/>
      <c r="B13" s="8" t="s">
        <v>15</v>
      </c>
      <c r="C13" s="9" t="s">
        <v>16</v>
      </c>
    </row>
    <row r="14" customFormat="false" ht="15" hidden="false" customHeight="false" outlineLevel="0" collapsed="false">
      <c r="A14" s="1"/>
      <c r="B14" s="8" t="s">
        <v>17</v>
      </c>
      <c r="C14" s="9" t="s">
        <v>18</v>
      </c>
    </row>
    <row r="15" customFormat="false" ht="15" hidden="false" customHeight="false" outlineLevel="0" collapsed="false">
      <c r="A15" s="1"/>
      <c r="B15" s="8" t="s">
        <v>19</v>
      </c>
      <c r="C15" s="9" t="s">
        <v>20</v>
      </c>
    </row>
    <row r="16" customFormat="false" ht="15" hidden="false" customHeight="false" outlineLevel="0" collapsed="false">
      <c r="A16" s="1"/>
      <c r="B16" s="1"/>
      <c r="C16" s="1"/>
    </row>
    <row r="17" customFormat="false" ht="15" hidden="false" customHeight="false" outlineLevel="0" collapsed="false">
      <c r="A17" s="1"/>
      <c r="B17" s="5" t="s">
        <v>21</v>
      </c>
      <c r="C17" s="1"/>
    </row>
    <row r="18" customFormat="false" ht="15" hidden="false" customHeight="false" outlineLevel="0" collapsed="false">
      <c r="A18" s="1"/>
      <c r="B18" s="10" t="s">
        <v>22</v>
      </c>
      <c r="C18" s="11" t="s">
        <v>23</v>
      </c>
    </row>
    <row r="19" customFormat="false" ht="15" hidden="false" customHeight="false" outlineLevel="0" collapsed="false">
      <c r="A19" s="1"/>
      <c r="B19" s="11" t="s">
        <v>24</v>
      </c>
      <c r="C19" s="11" t="s">
        <v>25</v>
      </c>
    </row>
    <row r="20" customFormat="false" ht="15" hidden="false" customHeight="false" outlineLevel="0" collapsed="false">
      <c r="A20" s="1"/>
      <c r="B20" s="12" t="s">
        <v>26</v>
      </c>
      <c r="C20" s="11" t="s">
        <v>27</v>
      </c>
    </row>
    <row r="21" customFormat="false" ht="15" hidden="false" customHeight="false" outlineLevel="0" collapsed="false">
      <c r="A21" s="1"/>
      <c r="B21" s="13" t="s">
        <v>28</v>
      </c>
      <c r="C21" s="11" t="s">
        <v>29</v>
      </c>
    </row>
    <row r="22" customFormat="false" ht="15" hidden="false" customHeight="false" outlineLevel="0" collapsed="false">
      <c r="A22" s="1"/>
      <c r="B22" s="14" t="s">
        <v>30</v>
      </c>
      <c r="C22" s="11" t="s">
        <v>31</v>
      </c>
    </row>
    <row r="23" customFormat="false" ht="15" hidden="false" customHeight="false" outlineLevel="0" collapsed="false">
      <c r="A23" s="1"/>
      <c r="B23" s="1"/>
      <c r="C23" s="1"/>
    </row>
    <row r="24" customFormat="false" ht="15" hidden="false" customHeight="false" outlineLevel="0" collapsed="false">
      <c r="A24" s="1"/>
      <c r="B24" s="5" t="s">
        <v>32</v>
      </c>
      <c r="C24" s="1"/>
    </row>
    <row r="25" customFormat="false" ht="15" hidden="false" customHeight="false" outlineLevel="0" collapsed="false">
      <c r="A25" s="1"/>
      <c r="B25" s="11" t="s">
        <v>33</v>
      </c>
      <c r="C25" s="11" t="s">
        <v>34</v>
      </c>
    </row>
    <row r="26" customFormat="false" ht="15" hidden="false" customHeight="false" outlineLevel="0" collapsed="false">
      <c r="A26" s="1"/>
      <c r="B26" s="11" t="s">
        <v>35</v>
      </c>
      <c r="C26" s="11" t="s">
        <v>36</v>
      </c>
    </row>
    <row r="27" customFormat="false" ht="15" hidden="false" customHeight="false" outlineLevel="0" collapsed="false">
      <c r="A27" s="1"/>
      <c r="B27" s="11" t="s">
        <v>37</v>
      </c>
      <c r="C27" s="11" t="s">
        <v>38</v>
      </c>
    </row>
    <row r="28" customFormat="false" ht="15" hidden="false" customHeight="false" outlineLevel="0" collapsed="false">
      <c r="A28" s="1"/>
      <c r="B28" s="11" t="s">
        <v>39</v>
      </c>
      <c r="C28" s="11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8"/>
    <col collapsed="false" customWidth="true" hidden="false" outlineLevel="0" max="3" min="3" style="0" width="18"/>
    <col collapsed="false" customWidth="true" hidden="false" outlineLevel="0" max="4" min="4" style="0" width="50"/>
  </cols>
  <sheetData>
    <row r="1" customFormat="false" ht="15" hidden="false" customHeight="false" outlineLevel="0" collapsed="false">
      <c r="A1" s="1"/>
      <c r="B1" s="1"/>
      <c r="C1" s="1"/>
      <c r="D1" s="1"/>
    </row>
    <row r="2" customFormat="false" ht="17.35" hidden="false" customHeight="false" outlineLevel="0" collapsed="false">
      <c r="A2" s="1"/>
      <c r="B2" s="15" t="s">
        <v>41</v>
      </c>
      <c r="C2" s="1"/>
      <c r="D2" s="1"/>
    </row>
    <row r="3" customFormat="false" ht="15" hidden="false" customHeight="false" outlineLevel="0" collapsed="false">
      <c r="A3" s="1"/>
      <c r="B3" s="4" t="s">
        <v>42</v>
      </c>
      <c r="C3" s="1"/>
      <c r="D3" s="1"/>
    </row>
    <row r="4" customFormat="false" ht="15" hidden="false" customHeight="false" outlineLevel="0" collapsed="false">
      <c r="A4" s="1"/>
      <c r="B4" s="1"/>
      <c r="C4" s="1"/>
      <c r="D4" s="1"/>
    </row>
    <row r="5" customFormat="false" ht="15" hidden="false" customHeight="false" outlineLevel="0" collapsed="false">
      <c r="A5" s="1"/>
      <c r="B5" s="16" t="s">
        <v>43</v>
      </c>
      <c r="C5" s="16" t="s">
        <v>44</v>
      </c>
      <c r="D5" s="16" t="s">
        <v>45</v>
      </c>
    </row>
    <row r="6" customFormat="false" ht="15" hidden="false" customHeight="false" outlineLevel="0" collapsed="false">
      <c r="A6" s="1"/>
      <c r="B6" s="8" t="s">
        <v>46</v>
      </c>
      <c r="C6" s="17" t="n">
        <f aca="false">Inputs!$C$68</f>
        <v>18.1818181818182</v>
      </c>
      <c r="D6" s="18" t="s">
        <v>47</v>
      </c>
    </row>
    <row r="7" customFormat="false" ht="15" hidden="false" customHeight="false" outlineLevel="0" collapsed="false">
      <c r="A7" s="1"/>
      <c r="B7" s="8" t="s">
        <v>48</v>
      </c>
      <c r="C7" s="17" t="n">
        <f aca="false">'Valuation &amp; Churn'!E11</f>
        <v>33.0578512396694</v>
      </c>
      <c r="D7" s="18" t="s">
        <v>49</v>
      </c>
    </row>
    <row r="8" customFormat="false" ht="15" hidden="false" customHeight="false" outlineLevel="0" collapsed="false">
      <c r="A8" s="1"/>
      <c r="B8" s="8" t="s">
        <v>50</v>
      </c>
      <c r="C8" s="19" t="n">
        <f aca="false">'Valuation &amp; Churn'!F9</f>
        <v>2800</v>
      </c>
      <c r="D8" s="18" t="s">
        <v>51</v>
      </c>
    </row>
    <row r="9" customFormat="false" ht="15" hidden="false" customHeight="false" outlineLevel="0" collapsed="false">
      <c r="A9" s="1"/>
      <c r="B9" s="8" t="s">
        <v>52</v>
      </c>
      <c r="C9" s="20" t="n">
        <f aca="false">'Valuation &amp; Churn'!E17</f>
        <v>0.818181818181818</v>
      </c>
      <c r="D9" s="18" t="s">
        <v>49</v>
      </c>
    </row>
    <row r="10" customFormat="false" ht="15" hidden="false" customHeight="false" outlineLevel="0" collapsed="false">
      <c r="A10" s="1"/>
      <c r="B10" s="8" t="s">
        <v>53</v>
      </c>
      <c r="C10" s="20" t="n">
        <f aca="false">'Financing &amp; EPS'!C10</f>
        <v>-0.015748031496063</v>
      </c>
      <c r="D10" s="18" t="s">
        <v>54</v>
      </c>
    </row>
    <row r="11" customFormat="false" ht="15" hidden="false" customHeight="false" outlineLevel="0" collapsed="false">
      <c r="A11" s="1"/>
      <c r="B11" s="8" t="s">
        <v>55</v>
      </c>
      <c r="C11" s="21" t="n">
        <f aca="false">'Financing &amp; EPS'!C26</f>
        <v>5.29419906496063</v>
      </c>
      <c r="D11" s="18" t="s">
        <v>54</v>
      </c>
    </row>
    <row r="12" customFormat="false" ht="15" hidden="false" customHeight="false" outlineLevel="0" collapsed="false">
      <c r="A12" s="1"/>
      <c r="B12" s="8" t="s">
        <v>56</v>
      </c>
      <c r="C12" s="21" t="n">
        <f aca="false">'Financing &amp; EPS'!C46</f>
        <v>6.835546875</v>
      </c>
      <c r="D12" s="18" t="s">
        <v>54</v>
      </c>
    </row>
    <row r="13" customFormat="false" ht="15" hidden="false" customHeight="false" outlineLevel="0" collapsed="false">
      <c r="A13" s="1"/>
      <c r="B13" s="8" t="s">
        <v>57</v>
      </c>
      <c r="C13" s="19" t="n">
        <f aca="false">'Financing &amp; EPS'!C41</f>
        <v>7885</v>
      </c>
      <c r="D13" s="18" t="s">
        <v>54</v>
      </c>
    </row>
    <row r="14" customFormat="false" ht="15" hidden="false" customHeight="false" outlineLevel="0" collapsed="false">
      <c r="A14" s="1"/>
      <c r="B14" s="8" t="s">
        <v>58</v>
      </c>
      <c r="C14" s="22" t="n">
        <f aca="false">'PAT &amp; FCF Breakeven'!C31</f>
        <v>8</v>
      </c>
      <c r="D14" s="18" t="s">
        <v>59</v>
      </c>
    </row>
    <row r="15" customFormat="false" ht="15" hidden="false" customHeight="false" outlineLevel="0" collapsed="false">
      <c r="A15" s="1"/>
      <c r="B15" s="8" t="s">
        <v>60</v>
      </c>
      <c r="C15" s="23" t="str">
        <f aca="false">'PAT &amp; FCF Breakeven'!C32</f>
        <v>Not within 10 years</v>
      </c>
      <c r="D15" s="18" t="s">
        <v>59</v>
      </c>
    </row>
    <row r="16" customFormat="false" ht="15" hidden="false" customHeight="false" outlineLevel="0" collapsed="false">
      <c r="A16" s="1"/>
      <c r="B16" s="8" t="s">
        <v>61</v>
      </c>
      <c r="C16" s="22" t="str">
        <f aca="false">'PAT &amp; FCF Breakeven'!C76</f>
        <v>Not within 10 years</v>
      </c>
      <c r="D16" s="18" t="s">
        <v>59</v>
      </c>
    </row>
    <row r="17" customFormat="false" ht="15" hidden="false" customHeight="false" outlineLevel="0" collapsed="false">
      <c r="A17" s="1"/>
      <c r="B17" s="8" t="s">
        <v>62</v>
      </c>
      <c r="C17" s="20" t="n">
        <f aca="false">Inputs!$C$77</f>
        <v>0.153333333333333</v>
      </c>
      <c r="D17" s="18" t="s">
        <v>63</v>
      </c>
    </row>
    <row r="18" customFormat="false" ht="15" hidden="false" customHeight="false" outlineLevel="0" collapsed="false">
      <c r="A18" s="1"/>
      <c r="B18" s="8" t="s">
        <v>64</v>
      </c>
      <c r="C18" s="20" t="n">
        <f aca="false">Inputs!$C$78</f>
        <v>0.092</v>
      </c>
      <c r="D18" s="18" t="s">
        <v>65</v>
      </c>
    </row>
    <row r="19" customFormat="false" ht="15" hidden="false" customHeight="false" outlineLevel="0" collapsed="false">
      <c r="A19" s="1"/>
      <c r="B19" s="8" t="s">
        <v>66</v>
      </c>
      <c r="C19" s="19" t="n">
        <f aca="false">Inputs!$C$79</f>
        <v>4237.66727130815</v>
      </c>
      <c r="D19" s="18" t="s">
        <v>65</v>
      </c>
    </row>
    <row r="20" customFormat="false" ht="15" hidden="false" customHeight="false" outlineLevel="0" collapsed="false">
      <c r="A20" s="1"/>
      <c r="B20" s="8" t="s">
        <v>67</v>
      </c>
      <c r="C20" s="19" t="n">
        <f aca="false">'Call Option &amp; Earn-out'!C10</f>
        <v>4000</v>
      </c>
      <c r="D20" s="18" t="s">
        <v>68</v>
      </c>
    </row>
    <row r="21" customFormat="false" ht="15" hidden="false" customHeight="false" outlineLevel="0" collapsed="false">
      <c r="A21" s="1"/>
      <c r="B21" s="8" t="s">
        <v>69</v>
      </c>
      <c r="C21" s="19" t="n">
        <f aca="false">'Call Option &amp; Earn-out'!C11</f>
        <v>1000</v>
      </c>
      <c r="D21" s="18" t="s">
        <v>68</v>
      </c>
    </row>
    <row r="22" customFormat="false" ht="15" hidden="false" customHeight="false" outlineLevel="0" collapsed="false">
      <c r="A22" s="1"/>
      <c r="B22" s="8" t="s">
        <v>70</v>
      </c>
      <c r="C22" s="19" t="n">
        <f aca="false">'Valuation &amp; Churn'!G36</f>
        <v>1753.36175639572</v>
      </c>
      <c r="D22" s="18" t="s"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4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50"/>
  </cols>
  <sheetData>
    <row r="1" customFormat="false" ht="15" hidden="false" customHeight="false" outlineLevel="0" collapsed="false">
      <c r="A1" s="1"/>
      <c r="B1" s="1"/>
      <c r="C1" s="1"/>
      <c r="D1" s="1"/>
      <c r="E1" s="1"/>
    </row>
    <row r="2" customFormat="false" ht="17.35" hidden="false" customHeight="false" outlineLevel="0" collapsed="false">
      <c r="A2" s="1"/>
      <c r="B2" s="15" t="s">
        <v>7</v>
      </c>
      <c r="C2" s="1"/>
      <c r="D2" s="1"/>
      <c r="E2" s="1"/>
    </row>
    <row r="3" customFormat="false" ht="15" hidden="false" customHeight="false" outlineLevel="0" collapsed="false">
      <c r="A3" s="1"/>
      <c r="B3" s="4" t="s">
        <v>71</v>
      </c>
      <c r="C3" s="1"/>
      <c r="D3" s="1"/>
      <c r="E3" s="1"/>
    </row>
    <row r="4" customFormat="false" ht="15" hidden="false" customHeight="false" outlineLevel="0" collapsed="false">
      <c r="A4" s="1"/>
      <c r="B4" s="1"/>
      <c r="C4" s="1"/>
      <c r="D4" s="1"/>
      <c r="E4" s="1"/>
    </row>
    <row r="5" customFormat="false" ht="15" hidden="false" customHeight="false" outlineLevel="0" collapsed="false">
      <c r="A5" s="1"/>
      <c r="B5" s="16" t="s">
        <v>72</v>
      </c>
      <c r="C5" s="16" t="s">
        <v>44</v>
      </c>
      <c r="D5" s="16" t="s">
        <v>73</v>
      </c>
      <c r="E5" s="16" t="s">
        <v>74</v>
      </c>
    </row>
    <row r="6" customFormat="false" ht="15" hidden="false" customHeight="false" outlineLevel="0" collapsed="false">
      <c r="A6" s="1"/>
      <c r="B6" s="24" t="s">
        <v>75</v>
      </c>
      <c r="C6" s="25"/>
      <c r="D6" s="25"/>
      <c r="E6" s="25"/>
    </row>
    <row r="7" customFormat="false" ht="15" hidden="false" customHeight="false" outlineLevel="0" collapsed="false">
      <c r="A7" s="1"/>
      <c r="B7" s="8" t="s">
        <v>76</v>
      </c>
      <c r="C7" s="26" t="n">
        <v>118750</v>
      </c>
      <c r="D7" s="27" t="s">
        <v>77</v>
      </c>
      <c r="E7" s="18" t="s">
        <v>78</v>
      </c>
    </row>
    <row r="8" customFormat="false" ht="15" hidden="false" customHeight="false" outlineLevel="0" collapsed="false">
      <c r="A8" s="1"/>
      <c r="B8" s="8" t="s">
        <v>79</v>
      </c>
      <c r="C8" s="26" t="n">
        <v>64</v>
      </c>
      <c r="D8" s="27" t="s">
        <v>77</v>
      </c>
      <c r="E8" s="18" t="s">
        <v>80</v>
      </c>
    </row>
    <row r="9" customFormat="false" ht="15" hidden="false" customHeight="false" outlineLevel="0" collapsed="false">
      <c r="A9" s="1"/>
      <c r="B9" s="8" t="s">
        <v>81</v>
      </c>
      <c r="C9" s="26" t="n">
        <v>8900</v>
      </c>
      <c r="D9" s="27" t="s">
        <v>77</v>
      </c>
      <c r="E9" s="18" t="s">
        <v>82</v>
      </c>
    </row>
    <row r="10" customFormat="false" ht="15" hidden="false" customHeight="false" outlineLevel="0" collapsed="false">
      <c r="A10" s="1"/>
      <c r="B10" s="8" t="s">
        <v>83</v>
      </c>
      <c r="C10" s="26" t="n">
        <v>350</v>
      </c>
      <c r="D10" s="27" t="s">
        <v>77</v>
      </c>
      <c r="E10" s="18" t="s">
        <v>82</v>
      </c>
    </row>
    <row r="11" customFormat="false" ht="15" hidden="false" customHeight="false" outlineLevel="0" collapsed="false">
      <c r="A11" s="1"/>
      <c r="B11" s="8" t="s">
        <v>84</v>
      </c>
      <c r="C11" s="26" t="n">
        <v>8450</v>
      </c>
      <c r="D11" s="27" t="s">
        <v>77</v>
      </c>
      <c r="E11" s="18" t="s">
        <v>82</v>
      </c>
    </row>
    <row r="12" customFormat="false" ht="15" hidden="false" customHeight="false" outlineLevel="0" collapsed="false">
      <c r="A12" s="1"/>
      <c r="B12" s="8" t="s">
        <v>85</v>
      </c>
      <c r="C12" s="26" t="n">
        <v>640</v>
      </c>
      <c r="D12" s="27" t="s">
        <v>77</v>
      </c>
      <c r="E12" s="18" t="s">
        <v>82</v>
      </c>
    </row>
    <row r="13" customFormat="false" ht="15" hidden="false" customHeight="false" outlineLevel="0" collapsed="false">
      <c r="A13" s="1"/>
      <c r="B13" s="8" t="s">
        <v>86</v>
      </c>
      <c r="C13" s="26" t="n">
        <v>480</v>
      </c>
      <c r="D13" s="27" t="s">
        <v>77</v>
      </c>
      <c r="E13" s="18" t="s">
        <v>82</v>
      </c>
    </row>
    <row r="14" customFormat="false" ht="15" hidden="false" customHeight="false" outlineLevel="0" collapsed="false">
      <c r="A14" s="1"/>
      <c r="B14" s="8" t="s">
        <v>87</v>
      </c>
      <c r="C14" s="28" t="n">
        <v>7.5</v>
      </c>
      <c r="D14" s="27" t="s">
        <v>77</v>
      </c>
      <c r="E14" s="18" t="s">
        <v>88</v>
      </c>
    </row>
    <row r="15" customFormat="false" ht="15" hidden="false" customHeight="false" outlineLevel="0" collapsed="false">
      <c r="A15" s="1"/>
      <c r="B15" s="8" t="s">
        <v>89</v>
      </c>
      <c r="C15" s="29" t="s">
        <v>90</v>
      </c>
      <c r="D15" s="27" t="s">
        <v>77</v>
      </c>
      <c r="E15" s="18" t="s">
        <v>82</v>
      </c>
    </row>
    <row r="16" customFormat="false" ht="15" hidden="false" customHeight="false" outlineLevel="0" collapsed="false">
      <c r="A16" s="1"/>
      <c r="B16" s="1"/>
      <c r="C16" s="1"/>
      <c r="D16" s="1"/>
      <c r="E16" s="1"/>
    </row>
    <row r="17" customFormat="false" ht="15" hidden="false" customHeight="false" outlineLevel="0" collapsed="false">
      <c r="A17" s="1"/>
      <c r="B17" s="24" t="s">
        <v>91</v>
      </c>
      <c r="C17" s="25"/>
      <c r="D17" s="25"/>
      <c r="E17" s="25"/>
    </row>
    <row r="18" customFormat="false" ht="15" hidden="false" customHeight="false" outlineLevel="0" collapsed="false">
      <c r="A18" s="1"/>
      <c r="B18" s="8" t="s">
        <v>92</v>
      </c>
      <c r="C18" s="26" t="n">
        <v>4000</v>
      </c>
      <c r="D18" s="27" t="s">
        <v>77</v>
      </c>
      <c r="E18" s="18" t="s">
        <v>93</v>
      </c>
    </row>
    <row r="19" customFormat="false" ht="15" hidden="false" customHeight="false" outlineLevel="0" collapsed="false">
      <c r="A19" s="1"/>
      <c r="B19" s="8" t="s">
        <v>94</v>
      </c>
      <c r="C19" s="26" t="n">
        <v>2100</v>
      </c>
      <c r="D19" s="27" t="s">
        <v>77</v>
      </c>
      <c r="E19" s="18" t="s">
        <v>95</v>
      </c>
    </row>
    <row r="20" customFormat="false" ht="15" hidden="false" customHeight="false" outlineLevel="0" collapsed="false">
      <c r="A20" s="1"/>
      <c r="B20" s="8" t="s">
        <v>96</v>
      </c>
      <c r="C20" s="26" t="n">
        <v>1900</v>
      </c>
      <c r="D20" s="27" t="s">
        <v>77</v>
      </c>
      <c r="E20" s="18" t="s">
        <v>95</v>
      </c>
    </row>
    <row r="21" customFormat="false" ht="15" hidden="false" customHeight="false" outlineLevel="0" collapsed="false">
      <c r="A21" s="1"/>
      <c r="B21" s="8" t="s">
        <v>97</v>
      </c>
      <c r="C21" s="26" t="n">
        <v>220</v>
      </c>
      <c r="D21" s="27" t="s">
        <v>77</v>
      </c>
      <c r="E21" s="18" t="s">
        <v>98</v>
      </c>
    </row>
    <row r="22" customFormat="false" ht="15" hidden="false" customHeight="false" outlineLevel="0" collapsed="false">
      <c r="A22" s="1"/>
      <c r="B22" s="8" t="s">
        <v>99</v>
      </c>
      <c r="C22" s="26" t="n">
        <v>0</v>
      </c>
      <c r="D22" s="27" t="s">
        <v>77</v>
      </c>
      <c r="E22" s="18" t="s">
        <v>100</v>
      </c>
    </row>
    <row r="23" customFormat="false" ht="15" hidden="false" customHeight="false" outlineLevel="0" collapsed="false">
      <c r="A23" s="1"/>
      <c r="B23" s="8" t="s">
        <v>101</v>
      </c>
      <c r="C23" s="30" t="n">
        <v>0.6</v>
      </c>
      <c r="D23" s="27" t="s">
        <v>77</v>
      </c>
      <c r="E23" s="18" t="s">
        <v>102</v>
      </c>
    </row>
    <row r="24" customFormat="false" ht="15" hidden="false" customHeight="false" outlineLevel="0" collapsed="false">
      <c r="A24" s="1"/>
      <c r="B24" s="8" t="s">
        <v>103</v>
      </c>
      <c r="C24" s="30" t="n">
        <v>0.3</v>
      </c>
      <c r="D24" s="27" t="s">
        <v>77</v>
      </c>
      <c r="E24" s="18" t="s">
        <v>104</v>
      </c>
    </row>
    <row r="25" customFormat="false" ht="15" hidden="false" customHeight="false" outlineLevel="0" collapsed="false">
      <c r="A25" s="1"/>
      <c r="B25" s="8" t="s">
        <v>105</v>
      </c>
      <c r="C25" s="30" t="n">
        <v>0.45</v>
      </c>
      <c r="D25" s="27" t="s">
        <v>77</v>
      </c>
      <c r="E25" s="18" t="s">
        <v>106</v>
      </c>
    </row>
    <row r="26" customFormat="false" ht="15" hidden="false" customHeight="false" outlineLevel="0" collapsed="false">
      <c r="A26" s="1"/>
      <c r="B26" s="8" t="s">
        <v>107</v>
      </c>
      <c r="C26" s="26" t="n">
        <v>750</v>
      </c>
      <c r="D26" s="27" t="s">
        <v>77</v>
      </c>
      <c r="E26" s="18" t="s">
        <v>108</v>
      </c>
    </row>
    <row r="27" customFormat="false" ht="15" hidden="false" customHeight="false" outlineLevel="0" collapsed="false">
      <c r="A27" s="1"/>
      <c r="B27" s="8" t="s">
        <v>109</v>
      </c>
      <c r="C27" s="26" t="n">
        <v>115</v>
      </c>
      <c r="D27" s="27" t="s">
        <v>77</v>
      </c>
      <c r="E27" s="18" t="s">
        <v>110</v>
      </c>
    </row>
    <row r="28" customFormat="false" ht="15" hidden="false" customHeight="false" outlineLevel="0" collapsed="false">
      <c r="A28" s="1"/>
      <c r="B28" s="1"/>
      <c r="C28" s="1"/>
      <c r="D28" s="1"/>
      <c r="E28" s="1"/>
    </row>
    <row r="29" customFormat="false" ht="15" hidden="false" customHeight="false" outlineLevel="0" collapsed="false">
      <c r="A29" s="1"/>
      <c r="B29" s="24" t="s">
        <v>111</v>
      </c>
      <c r="C29" s="25"/>
      <c r="D29" s="25"/>
      <c r="E29" s="25"/>
    </row>
    <row r="30" customFormat="false" ht="15" hidden="false" customHeight="false" outlineLevel="0" collapsed="false">
      <c r="A30" s="1"/>
      <c r="B30" s="8" t="s">
        <v>112</v>
      </c>
      <c r="C30" s="30" t="n">
        <v>0.25</v>
      </c>
      <c r="D30" s="27" t="s">
        <v>113</v>
      </c>
      <c r="E30" s="18" t="s">
        <v>114</v>
      </c>
    </row>
    <row r="31" customFormat="false" ht="15" hidden="false" customHeight="false" outlineLevel="0" collapsed="false">
      <c r="A31" s="1"/>
      <c r="B31" s="8" t="s">
        <v>115</v>
      </c>
      <c r="C31" s="26" t="n">
        <v>1</v>
      </c>
      <c r="D31" s="27" t="s">
        <v>113</v>
      </c>
      <c r="E31" s="18" t="s">
        <v>116</v>
      </c>
    </row>
    <row r="32" customFormat="false" ht="15" hidden="false" customHeight="false" outlineLevel="0" collapsed="false">
      <c r="A32" s="1"/>
      <c r="B32" s="8" t="s">
        <v>117</v>
      </c>
      <c r="C32" s="30" t="n">
        <v>1</v>
      </c>
      <c r="D32" s="27" t="s">
        <v>113</v>
      </c>
      <c r="E32" s="18" t="s">
        <v>118</v>
      </c>
    </row>
    <row r="33" customFormat="false" ht="15" hidden="false" customHeight="false" outlineLevel="0" collapsed="false">
      <c r="A33" s="1"/>
      <c r="B33" s="8" t="s">
        <v>119</v>
      </c>
      <c r="C33" s="26" t="n">
        <v>15</v>
      </c>
      <c r="D33" s="27" t="s">
        <v>113</v>
      </c>
      <c r="E33" s="18" t="s">
        <v>120</v>
      </c>
    </row>
    <row r="34" customFormat="false" ht="15" hidden="false" customHeight="false" outlineLevel="0" collapsed="false">
      <c r="A34" s="1"/>
      <c r="B34" s="8" t="s">
        <v>121</v>
      </c>
      <c r="C34" s="26" t="n">
        <v>12</v>
      </c>
      <c r="D34" s="27" t="s">
        <v>113</v>
      </c>
      <c r="E34" s="18" t="s">
        <v>122</v>
      </c>
    </row>
    <row r="35" customFormat="false" ht="15" hidden="false" customHeight="false" outlineLevel="0" collapsed="false">
      <c r="A35" s="1"/>
      <c r="B35" s="8" t="s">
        <v>123</v>
      </c>
      <c r="C35" s="26" t="n">
        <v>12</v>
      </c>
      <c r="D35" s="27" t="s">
        <v>113</v>
      </c>
      <c r="E35" s="18" t="s">
        <v>124</v>
      </c>
    </row>
    <row r="36" customFormat="false" ht="15" hidden="false" customHeight="false" outlineLevel="0" collapsed="false">
      <c r="A36" s="1"/>
      <c r="B36" s="8" t="s">
        <v>125</v>
      </c>
      <c r="C36" s="30" t="n">
        <v>0.55</v>
      </c>
      <c r="D36" s="27" t="s">
        <v>113</v>
      </c>
      <c r="E36" s="18" t="s">
        <v>126</v>
      </c>
    </row>
    <row r="37" customFormat="false" ht="15" hidden="false" customHeight="false" outlineLevel="0" collapsed="false">
      <c r="A37" s="1"/>
      <c r="B37" s="8" t="s">
        <v>127</v>
      </c>
      <c r="C37" s="30" t="n">
        <v>0.55</v>
      </c>
      <c r="D37" s="27" t="s">
        <v>113</v>
      </c>
      <c r="E37" s="18" t="s">
        <v>128</v>
      </c>
    </row>
    <row r="38" customFormat="false" ht="15" hidden="false" customHeight="false" outlineLevel="0" collapsed="false">
      <c r="A38" s="1"/>
      <c r="B38" s="8" t="s">
        <v>129</v>
      </c>
      <c r="C38" s="26" t="n">
        <v>1</v>
      </c>
      <c r="D38" s="27" t="s">
        <v>113</v>
      </c>
      <c r="E38" s="18" t="s">
        <v>130</v>
      </c>
    </row>
    <row r="39" customFormat="false" ht="15" hidden="false" customHeight="false" outlineLevel="0" collapsed="false">
      <c r="A39" s="1"/>
      <c r="B39" s="8" t="s">
        <v>131</v>
      </c>
      <c r="C39" s="26" t="n">
        <v>100</v>
      </c>
      <c r="D39" s="27" t="s">
        <v>113</v>
      </c>
      <c r="E39" s="18" t="s">
        <v>132</v>
      </c>
    </row>
    <row r="40" customFormat="false" ht="15" hidden="false" customHeight="false" outlineLevel="0" collapsed="false">
      <c r="A40" s="1"/>
      <c r="B40" s="8" t="s">
        <v>133</v>
      </c>
      <c r="C40" s="26" t="n">
        <v>1200</v>
      </c>
      <c r="D40" s="27" t="s">
        <v>113</v>
      </c>
      <c r="E40" s="18" t="s">
        <v>134</v>
      </c>
    </row>
    <row r="41" customFormat="false" ht="15" hidden="false" customHeight="false" outlineLevel="0" collapsed="false">
      <c r="A41" s="1"/>
      <c r="B41" s="1"/>
      <c r="C41" s="1"/>
      <c r="D41" s="1"/>
      <c r="E41" s="1"/>
    </row>
    <row r="42" customFormat="false" ht="15" hidden="false" customHeight="false" outlineLevel="0" collapsed="false">
      <c r="A42" s="1"/>
      <c r="B42" s="24" t="s">
        <v>135</v>
      </c>
      <c r="C42" s="25"/>
      <c r="D42" s="25"/>
      <c r="E42" s="25"/>
    </row>
    <row r="43" customFormat="false" ht="15" hidden="false" customHeight="false" outlineLevel="0" collapsed="false">
      <c r="A43" s="1"/>
      <c r="B43" s="8" t="s">
        <v>136</v>
      </c>
      <c r="C43" s="30" t="n">
        <v>0.06</v>
      </c>
      <c r="D43" s="27" t="s">
        <v>113</v>
      </c>
      <c r="E43" s="18" t="s">
        <v>137</v>
      </c>
    </row>
    <row r="44" customFormat="false" ht="15" hidden="false" customHeight="false" outlineLevel="0" collapsed="false">
      <c r="A44" s="1"/>
      <c r="B44" s="8" t="s">
        <v>138</v>
      </c>
      <c r="C44" s="30" t="n">
        <v>0.085</v>
      </c>
      <c r="D44" s="27" t="s">
        <v>113</v>
      </c>
      <c r="E44" s="18" t="s">
        <v>139</v>
      </c>
    </row>
    <row r="45" customFormat="false" ht="15" hidden="false" customHeight="false" outlineLevel="0" collapsed="false">
      <c r="A45" s="1"/>
      <c r="B45" s="8" t="s">
        <v>140</v>
      </c>
      <c r="C45" s="30" t="n">
        <v>0.25</v>
      </c>
      <c r="D45" s="27" t="s">
        <v>113</v>
      </c>
      <c r="E45" s="18" t="s">
        <v>141</v>
      </c>
    </row>
    <row r="46" customFormat="false" ht="15" hidden="false" customHeight="false" outlineLevel="0" collapsed="false">
      <c r="A46" s="1"/>
      <c r="B46" s="8" t="s">
        <v>142</v>
      </c>
      <c r="C46" s="30" t="n">
        <v>0.12</v>
      </c>
      <c r="D46" s="27" t="s">
        <v>113</v>
      </c>
      <c r="E46" s="18" t="s">
        <v>143</v>
      </c>
    </row>
    <row r="47" customFormat="false" ht="15" hidden="false" customHeight="false" outlineLevel="0" collapsed="false">
      <c r="A47" s="1"/>
      <c r="B47" s="8" t="s">
        <v>144</v>
      </c>
      <c r="C47" s="30" t="n">
        <v>0.05</v>
      </c>
      <c r="D47" s="27" t="s">
        <v>113</v>
      </c>
      <c r="E47" s="18" t="s">
        <v>145</v>
      </c>
    </row>
    <row r="48" customFormat="false" ht="15" hidden="false" customHeight="false" outlineLevel="0" collapsed="false">
      <c r="A48" s="1"/>
      <c r="B48" s="8" t="s">
        <v>146</v>
      </c>
      <c r="C48" s="26" t="n">
        <v>5000</v>
      </c>
      <c r="D48" s="27" t="s">
        <v>113</v>
      </c>
      <c r="E48" s="18" t="s">
        <v>147</v>
      </c>
    </row>
    <row r="49" customFormat="false" ht="15" hidden="false" customHeight="false" outlineLevel="0" collapsed="false">
      <c r="A49" s="1"/>
      <c r="B49" s="8" t="s">
        <v>148</v>
      </c>
      <c r="C49" s="31" t="n">
        <v>1.5</v>
      </c>
      <c r="D49" s="27" t="s">
        <v>113</v>
      </c>
      <c r="E49" s="18" t="s">
        <v>149</v>
      </c>
    </row>
    <row r="50" customFormat="false" ht="15" hidden="false" customHeight="false" outlineLevel="0" collapsed="false">
      <c r="A50" s="1"/>
      <c r="B50" s="1"/>
      <c r="C50" s="1"/>
      <c r="D50" s="1"/>
      <c r="E50" s="1"/>
    </row>
    <row r="51" customFormat="false" ht="15" hidden="false" customHeight="false" outlineLevel="0" collapsed="false">
      <c r="A51" s="1"/>
      <c r="B51" s="24" t="s">
        <v>150</v>
      </c>
      <c r="C51" s="25"/>
      <c r="D51" s="25"/>
      <c r="E51" s="25"/>
    </row>
    <row r="52" customFormat="false" ht="15" hidden="false" customHeight="false" outlineLevel="0" collapsed="false">
      <c r="A52" s="1"/>
      <c r="B52" s="8" t="s">
        <v>151</v>
      </c>
      <c r="C52" s="30" t="n">
        <v>0.2</v>
      </c>
      <c r="D52" s="27" t="s">
        <v>113</v>
      </c>
      <c r="E52" s="18" t="s">
        <v>152</v>
      </c>
    </row>
    <row r="53" customFormat="false" ht="15" hidden="false" customHeight="false" outlineLevel="0" collapsed="false">
      <c r="A53" s="1"/>
      <c r="B53" s="8" t="s">
        <v>153</v>
      </c>
      <c r="C53" s="30" t="n">
        <v>0.05</v>
      </c>
      <c r="D53" s="27" t="s">
        <v>113</v>
      </c>
      <c r="E53" s="18" t="s">
        <v>154</v>
      </c>
    </row>
    <row r="54" customFormat="false" ht="15" hidden="false" customHeight="false" outlineLevel="0" collapsed="false">
      <c r="A54" s="1"/>
      <c r="B54" s="8" t="s">
        <v>155</v>
      </c>
      <c r="C54" s="30" t="n">
        <v>0.25</v>
      </c>
      <c r="D54" s="27" t="s">
        <v>113</v>
      </c>
      <c r="E54" s="18" t="s">
        <v>156</v>
      </c>
    </row>
    <row r="55" customFormat="false" ht="15" hidden="false" customHeight="false" outlineLevel="0" collapsed="false">
      <c r="A55" s="1"/>
      <c r="B55" s="8" t="s">
        <v>157</v>
      </c>
      <c r="C55" s="30" t="n">
        <v>0.75</v>
      </c>
      <c r="D55" s="27" t="s">
        <v>113</v>
      </c>
      <c r="E55" s="18" t="s">
        <v>158</v>
      </c>
    </row>
    <row r="56" customFormat="false" ht="15" hidden="false" customHeight="false" outlineLevel="0" collapsed="false">
      <c r="A56" s="1"/>
      <c r="B56" s="8" t="s">
        <v>159</v>
      </c>
      <c r="C56" s="30" t="n">
        <v>1</v>
      </c>
      <c r="D56" s="27" t="s">
        <v>113</v>
      </c>
      <c r="E56" s="18" t="s">
        <v>160</v>
      </c>
    </row>
    <row r="57" customFormat="false" ht="15" hidden="false" customHeight="false" outlineLevel="0" collapsed="false">
      <c r="A57" s="1"/>
      <c r="B57" s="8" t="s">
        <v>161</v>
      </c>
      <c r="C57" s="30" t="n">
        <v>0.375</v>
      </c>
      <c r="D57" s="27" t="s">
        <v>113</v>
      </c>
      <c r="E57" s="18" t="s">
        <v>162</v>
      </c>
    </row>
    <row r="58" customFormat="false" ht="15" hidden="false" customHeight="false" outlineLevel="0" collapsed="false">
      <c r="A58" s="1"/>
      <c r="B58" s="8" t="s">
        <v>163</v>
      </c>
      <c r="C58" s="30" t="n">
        <v>0.5</v>
      </c>
      <c r="D58" s="27" t="s">
        <v>113</v>
      </c>
      <c r="E58" s="18" t="s">
        <v>164</v>
      </c>
    </row>
    <row r="59" customFormat="false" ht="15" hidden="false" customHeight="false" outlineLevel="0" collapsed="false">
      <c r="A59" s="1"/>
      <c r="B59" s="8" t="s">
        <v>165</v>
      </c>
      <c r="C59" s="30" t="n">
        <v>0</v>
      </c>
      <c r="D59" s="27" t="s">
        <v>113</v>
      </c>
      <c r="E59" s="18" t="s">
        <v>166</v>
      </c>
    </row>
    <row r="60" customFormat="false" ht="15" hidden="false" customHeight="false" outlineLevel="0" collapsed="false">
      <c r="A60" s="1"/>
      <c r="B60" s="8" t="s">
        <v>167</v>
      </c>
      <c r="C60" s="26" t="n">
        <v>0</v>
      </c>
      <c r="D60" s="27" t="s">
        <v>113</v>
      </c>
      <c r="E60" s="18" t="s">
        <v>168</v>
      </c>
    </row>
    <row r="61" customFormat="false" ht="15" hidden="false" customHeight="false" outlineLevel="0" collapsed="false">
      <c r="A61" s="1"/>
      <c r="B61" s="8" t="s">
        <v>169</v>
      </c>
      <c r="C61" s="26" t="n">
        <v>750</v>
      </c>
      <c r="D61" s="27" t="s">
        <v>113</v>
      </c>
      <c r="E61" s="18" t="s">
        <v>170</v>
      </c>
    </row>
    <row r="62" customFormat="false" ht="15" hidden="false" customHeight="false" outlineLevel="0" collapsed="false">
      <c r="A62" s="1"/>
      <c r="B62" s="8" t="s">
        <v>171</v>
      </c>
      <c r="C62" s="30" t="n">
        <v>0.2</v>
      </c>
      <c r="D62" s="27" t="s">
        <v>113</v>
      </c>
      <c r="E62" s="18" t="s">
        <v>172</v>
      </c>
    </row>
    <row r="63" customFormat="false" ht="15" hidden="false" customHeight="false" outlineLevel="0" collapsed="false">
      <c r="A63" s="1"/>
      <c r="B63" s="8" t="s">
        <v>173</v>
      </c>
      <c r="C63" s="30" t="n">
        <v>0.8</v>
      </c>
      <c r="D63" s="27" t="s">
        <v>113</v>
      </c>
      <c r="E63" s="18" t="s">
        <v>174</v>
      </c>
    </row>
    <row r="64" customFormat="false" ht="15" hidden="false" customHeight="false" outlineLevel="0" collapsed="false">
      <c r="A64" s="1"/>
      <c r="B64" s="8" t="s">
        <v>175</v>
      </c>
      <c r="C64" s="26" t="n">
        <v>0</v>
      </c>
      <c r="D64" s="27" t="s">
        <v>113</v>
      </c>
      <c r="E64" s="18" t="s">
        <v>176</v>
      </c>
    </row>
    <row r="65" customFormat="false" ht="15" hidden="false" customHeight="false" outlineLevel="0" collapsed="false">
      <c r="A65" s="1"/>
      <c r="B65" s="1"/>
      <c r="C65" s="1"/>
      <c r="D65" s="1"/>
      <c r="E65" s="1"/>
    </row>
    <row r="66" customFormat="false" ht="15" hidden="false" customHeight="false" outlineLevel="0" collapsed="false">
      <c r="A66" s="1"/>
      <c r="B66" s="24" t="s">
        <v>177</v>
      </c>
      <c r="C66" s="25"/>
      <c r="D66" s="25"/>
      <c r="E66" s="25"/>
    </row>
    <row r="67" customFormat="false" ht="15" hidden="false" customHeight="false" outlineLevel="0" collapsed="false">
      <c r="A67" s="1"/>
      <c r="B67" s="8" t="s">
        <v>178</v>
      </c>
      <c r="C67" s="32" t="n">
        <f aca="false">Inputs!$C$7/Inputs!$C$8</f>
        <v>1855.46875</v>
      </c>
      <c r="D67" s="27" t="s">
        <v>179</v>
      </c>
      <c r="E67" s="18" t="s">
        <v>180</v>
      </c>
    </row>
    <row r="68" customFormat="false" ht="15" hidden="false" customHeight="false" outlineLevel="0" collapsed="false">
      <c r="A68" s="1"/>
      <c r="B68" s="8" t="s">
        <v>46</v>
      </c>
      <c r="C68" s="33" t="n">
        <f aca="false">Inputs!$C$18/Inputs!$C$21</f>
        <v>18.1818181818182</v>
      </c>
      <c r="D68" s="27" t="s">
        <v>179</v>
      </c>
      <c r="E68" s="18" t="s">
        <v>181</v>
      </c>
    </row>
    <row r="69" customFormat="false" ht="15" hidden="false" customHeight="false" outlineLevel="0" collapsed="false">
      <c r="A69" s="1"/>
      <c r="B69" s="8" t="s">
        <v>182</v>
      </c>
      <c r="C69" s="33" t="n">
        <f aca="false">Inputs!$C$7/Inputs!$C$13</f>
        <v>247.395833333333</v>
      </c>
      <c r="D69" s="27" t="s">
        <v>179</v>
      </c>
      <c r="E69" s="18" t="s">
        <v>183</v>
      </c>
    </row>
    <row r="70" customFormat="false" ht="15" hidden="false" customHeight="false" outlineLevel="0" collapsed="false">
      <c r="A70" s="1"/>
      <c r="B70" s="8" t="s">
        <v>184</v>
      </c>
      <c r="C70" s="32" t="n">
        <f aca="false">IF(Inputs!$C$31=1,Inputs!$C$30*Inputs!$C$18,0)</f>
        <v>1000</v>
      </c>
      <c r="D70" s="27" t="s">
        <v>179</v>
      </c>
      <c r="E70" s="18" t="s">
        <v>185</v>
      </c>
    </row>
    <row r="71" customFormat="false" ht="15" hidden="false" customHeight="false" outlineLevel="0" collapsed="false">
      <c r="A71" s="1"/>
      <c r="B71" s="8" t="s">
        <v>186</v>
      </c>
      <c r="C71" s="34" t="n">
        <f aca="false">1-Inputs!$C$30</f>
        <v>0.75</v>
      </c>
      <c r="D71" s="27" t="s">
        <v>179</v>
      </c>
      <c r="E71" s="18" t="s">
        <v>187</v>
      </c>
    </row>
    <row r="72" customFormat="false" ht="15" hidden="false" customHeight="false" outlineLevel="0" collapsed="false">
      <c r="A72" s="1"/>
      <c r="B72" s="8" t="s">
        <v>188</v>
      </c>
      <c r="C72" s="32" t="n">
        <f aca="false">Inputs!$C$71*Inputs!$C$18</f>
        <v>3000</v>
      </c>
      <c r="D72" s="27" t="s">
        <v>179</v>
      </c>
      <c r="E72" s="18" t="s">
        <v>189</v>
      </c>
    </row>
    <row r="73" customFormat="false" ht="15" hidden="false" customHeight="false" outlineLevel="0" collapsed="false">
      <c r="A73" s="1"/>
      <c r="B73" s="8" t="s">
        <v>190</v>
      </c>
      <c r="C73" s="32" t="n">
        <f aca="false">Inputs!$C$72*Inputs!$C$36</f>
        <v>1650</v>
      </c>
      <c r="D73" s="27" t="s">
        <v>179</v>
      </c>
      <c r="E73" s="18" t="s">
        <v>191</v>
      </c>
    </row>
    <row r="74" customFormat="false" ht="15" hidden="false" customHeight="false" outlineLevel="0" collapsed="false">
      <c r="A74" s="1"/>
      <c r="B74" s="8" t="s">
        <v>192</v>
      </c>
      <c r="C74" s="32" t="n">
        <f aca="false">Inputs!$C$72-Inputs!$C$73</f>
        <v>1350</v>
      </c>
      <c r="D74" s="27" t="s">
        <v>179</v>
      </c>
      <c r="E74" s="18" t="s">
        <v>193</v>
      </c>
    </row>
    <row r="75" customFormat="false" ht="15" hidden="false" customHeight="false" outlineLevel="0" collapsed="false">
      <c r="A75" s="1"/>
      <c r="B75" s="8" t="s">
        <v>194</v>
      </c>
      <c r="C75" s="32" t="n">
        <f aca="false">MAX(Inputs!$C$73-Inputs!$C$40,0)</f>
        <v>450</v>
      </c>
      <c r="D75" s="27" t="s">
        <v>179</v>
      </c>
      <c r="E75" s="18" t="s">
        <v>195</v>
      </c>
    </row>
    <row r="76" customFormat="false" ht="15" hidden="false" customHeight="false" outlineLevel="0" collapsed="false">
      <c r="A76" s="1"/>
      <c r="B76" s="8" t="s">
        <v>196</v>
      </c>
      <c r="C76" s="32" t="n">
        <f aca="false">Inputs!$C$27*Inputs!$C$63*(1-Inputs!$C$45)</f>
        <v>69</v>
      </c>
      <c r="D76" s="27" t="s">
        <v>179</v>
      </c>
      <c r="E76" s="18" t="s">
        <v>197</v>
      </c>
    </row>
    <row r="77" customFormat="false" ht="15" hidden="false" customHeight="false" outlineLevel="0" collapsed="false">
      <c r="A77" s="1"/>
      <c r="B77" s="8" t="s">
        <v>198</v>
      </c>
      <c r="C77" s="34" t="n">
        <f aca="false">Inputs!$C$27/Inputs!$C$26</f>
        <v>0.153333333333333</v>
      </c>
      <c r="D77" s="27" t="s">
        <v>179</v>
      </c>
      <c r="E77" s="18" t="s">
        <v>199</v>
      </c>
    </row>
    <row r="78" customFormat="false" ht="15" hidden="false" customHeight="false" outlineLevel="0" collapsed="false">
      <c r="A78" s="1"/>
      <c r="B78" s="8" t="s">
        <v>200</v>
      </c>
      <c r="C78" s="34" t="n">
        <f aca="false">Inputs!$C$76/Inputs!$C$26</f>
        <v>0.092</v>
      </c>
      <c r="D78" s="27" t="s">
        <v>179</v>
      </c>
      <c r="E78" s="18" t="s">
        <v>201</v>
      </c>
    </row>
    <row r="79" customFormat="false" ht="15" hidden="false" customHeight="false" outlineLevel="0" collapsed="false">
      <c r="A79" s="1"/>
      <c r="B79" s="8" t="s">
        <v>202</v>
      </c>
      <c r="C79" s="32" t="n">
        <f aca="false">Inputs!$C$26*(1-(1+Inputs!$C$46)^-10)/Inputs!$C$46</f>
        <v>4237.66727130815</v>
      </c>
      <c r="D79" s="27" t="s">
        <v>179</v>
      </c>
      <c r="E79" s="18" t="s">
        <v>203</v>
      </c>
    </row>
    <row r="80" customFormat="false" ht="15" hidden="false" customHeight="false" outlineLevel="0" collapsed="false">
      <c r="A80" s="1"/>
      <c r="B80" s="8" t="s">
        <v>204</v>
      </c>
      <c r="C80" s="34" t="n">
        <f aca="false">Inputs!$C$26/Inputs!$C$12</f>
        <v>1.171875</v>
      </c>
      <c r="D80" s="27" t="s">
        <v>179</v>
      </c>
      <c r="E80" s="18" t="s">
        <v>205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4" min="3" style="0" width="16"/>
    <col collapsed="false" customWidth="true" hidden="false" outlineLevel="0" max="6" min="5" style="0" width="18"/>
    <col collapsed="false" customWidth="true" hidden="false" outlineLevel="0" max="7" min="7" style="0" width="20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</row>
    <row r="2" customFormat="false" ht="17.35" hidden="false" customHeight="false" outlineLevel="0" collapsed="false">
      <c r="A2" s="1"/>
      <c r="B2" s="15" t="s">
        <v>9</v>
      </c>
      <c r="C2" s="1"/>
      <c r="D2" s="1"/>
      <c r="E2" s="1"/>
      <c r="F2" s="1"/>
      <c r="G2" s="1"/>
    </row>
    <row r="3" customFormat="false" ht="15" hidden="false" customHeight="false" outlineLevel="0" collapsed="false">
      <c r="A3" s="1"/>
      <c r="B3" s="4" t="s">
        <v>206</v>
      </c>
      <c r="C3" s="1"/>
      <c r="D3" s="1"/>
      <c r="E3" s="1"/>
      <c r="F3" s="1"/>
      <c r="G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</row>
    <row r="5" customFormat="false" ht="15" hidden="false" customHeight="false" outlineLevel="0" collapsed="false">
      <c r="A5" s="1"/>
      <c r="B5" s="8" t="s">
        <v>207</v>
      </c>
      <c r="C5" s="19" t="n">
        <f aca="false">Inputs!$C$18</f>
        <v>4000</v>
      </c>
      <c r="D5" s="8" t="s">
        <v>208</v>
      </c>
      <c r="E5" s="19" t="n">
        <f aca="false">Inputs!$C$21</f>
        <v>220</v>
      </c>
      <c r="F5" s="8" t="s">
        <v>209</v>
      </c>
      <c r="G5" s="35" t="n">
        <f aca="false">Inputs!$C$68</f>
        <v>18.1818181818182</v>
      </c>
    </row>
    <row r="6" customFormat="false" ht="15" hidden="false" customHeight="false" outlineLevel="0" collapsed="false">
      <c r="A6" s="1"/>
      <c r="B6" s="1"/>
      <c r="C6" s="1"/>
      <c r="D6" s="1"/>
      <c r="E6" s="1"/>
      <c r="F6" s="1"/>
      <c r="G6" s="1"/>
    </row>
    <row r="7" customFormat="false" ht="25.35" hidden="false" customHeight="false" outlineLevel="0" collapsed="false">
      <c r="A7" s="1"/>
      <c r="B7" s="16" t="s">
        <v>210</v>
      </c>
      <c r="C7" s="16" t="s">
        <v>211</v>
      </c>
      <c r="D7" s="16" t="s">
        <v>212</v>
      </c>
      <c r="E7" s="16" t="s">
        <v>213</v>
      </c>
      <c r="F7" s="16" t="s">
        <v>214</v>
      </c>
      <c r="G7" s="16" t="s">
        <v>215</v>
      </c>
    </row>
    <row r="8" customFormat="false" ht="15" hidden="false" customHeight="false" outlineLevel="0" collapsed="false">
      <c r="A8" s="1"/>
      <c r="B8" s="30" t="n">
        <v>0</v>
      </c>
      <c r="C8" s="36" t="n">
        <f aca="false">Inputs!$C$21*B8</f>
        <v>0</v>
      </c>
      <c r="D8" s="36" t="n">
        <f aca="false">Inputs!$C$21-C8</f>
        <v>220</v>
      </c>
      <c r="E8" s="37" t="n">
        <f aca="false">Inputs!$C$18/D8</f>
        <v>18.1818181818182</v>
      </c>
      <c r="F8" s="32" t="n">
        <f aca="false">Inputs!$C$68*D8</f>
        <v>4000</v>
      </c>
      <c r="G8" s="32" t="n">
        <f aca="false">Inputs!$C$18-F8</f>
        <v>0</v>
      </c>
    </row>
    <row r="9" customFormat="false" ht="15" hidden="false" customHeight="false" outlineLevel="0" collapsed="false">
      <c r="A9" s="1"/>
      <c r="B9" s="20" t="n">
        <f aca="false">Inputs!$C$24</f>
        <v>0.3</v>
      </c>
      <c r="C9" s="36" t="n">
        <f aca="false">Inputs!$C$21*B9</f>
        <v>66</v>
      </c>
      <c r="D9" s="36" t="n">
        <f aca="false">Inputs!$C$21-C9</f>
        <v>154</v>
      </c>
      <c r="E9" s="37" t="n">
        <f aca="false">Inputs!$C$18/D9</f>
        <v>25.974025974026</v>
      </c>
      <c r="F9" s="32" t="n">
        <f aca="false">Inputs!$C$68*D9</f>
        <v>2800</v>
      </c>
      <c r="G9" s="32" t="n">
        <f aca="false">Inputs!$C$18-F9</f>
        <v>1200</v>
      </c>
    </row>
    <row r="10" customFormat="false" ht="15" hidden="false" customHeight="false" outlineLevel="0" collapsed="false">
      <c r="A10" s="1"/>
      <c r="B10" s="20" t="n">
        <f aca="false">Inputs!$C$57</f>
        <v>0.375</v>
      </c>
      <c r="C10" s="36" t="n">
        <f aca="false">Inputs!$C$21*B10</f>
        <v>82.5</v>
      </c>
      <c r="D10" s="36" t="n">
        <f aca="false">Inputs!$C$21-C10</f>
        <v>137.5</v>
      </c>
      <c r="E10" s="37" t="n">
        <f aca="false">Inputs!$C$18/D10</f>
        <v>29.0909090909091</v>
      </c>
      <c r="F10" s="32" t="n">
        <f aca="false">Inputs!$C$68*D10</f>
        <v>2500</v>
      </c>
      <c r="G10" s="32" t="n">
        <f aca="false">Inputs!$C$18-F10</f>
        <v>1500</v>
      </c>
    </row>
    <row r="11" customFormat="false" ht="15" hidden="false" customHeight="false" outlineLevel="0" collapsed="false">
      <c r="A11" s="1"/>
      <c r="B11" s="20" t="n">
        <f aca="false">Inputs!$C$25</f>
        <v>0.45</v>
      </c>
      <c r="C11" s="36" t="n">
        <f aca="false">Inputs!$C$21*B11</f>
        <v>99</v>
      </c>
      <c r="D11" s="36" t="n">
        <f aca="false">Inputs!$C$21-C11</f>
        <v>121</v>
      </c>
      <c r="E11" s="37" t="n">
        <f aca="false">Inputs!$C$18/D11</f>
        <v>33.0578512396694</v>
      </c>
      <c r="F11" s="32" t="n">
        <f aca="false">Inputs!$C$68*D11</f>
        <v>2200</v>
      </c>
      <c r="G11" s="32" t="n">
        <f aca="false">Inputs!$C$18-F11</f>
        <v>1800</v>
      </c>
    </row>
    <row r="12" customFormat="false" ht="15" hidden="false" customHeight="false" outlineLevel="0" collapsed="false">
      <c r="A12" s="1"/>
      <c r="B12" s="1"/>
      <c r="C12" s="1"/>
      <c r="D12" s="1"/>
      <c r="E12" s="1"/>
      <c r="F12" s="1"/>
      <c r="G12" s="1"/>
    </row>
    <row r="13" customFormat="false" ht="15" hidden="false" customHeight="false" outlineLevel="0" collapsed="false">
      <c r="A13" s="1"/>
      <c r="B13" s="8" t="s">
        <v>216</v>
      </c>
      <c r="C13" s="1"/>
      <c r="D13" s="1"/>
      <c r="E13" s="38" t="n">
        <f aca="false">Inputs!$C$68*Inputs!$C$21*0.1</f>
        <v>400</v>
      </c>
      <c r="F13" s="1"/>
      <c r="G13" s="1"/>
    </row>
    <row r="14" customFormat="false" ht="15" hidden="false" customHeight="false" outlineLevel="0" collapsed="false">
      <c r="A14" s="1"/>
      <c r="B14" s="1"/>
      <c r="C14" s="1"/>
      <c r="D14" s="1"/>
      <c r="E14" s="1"/>
      <c r="F14" s="1"/>
      <c r="G14" s="1"/>
    </row>
    <row r="15" customFormat="false" ht="25.35" hidden="false" customHeight="false" outlineLevel="0" collapsed="false">
      <c r="A15" s="1"/>
      <c r="B15" s="16" t="s">
        <v>217</v>
      </c>
      <c r="C15" s="16" t="s">
        <v>212</v>
      </c>
      <c r="D15" s="16" t="s">
        <v>218</v>
      </c>
      <c r="E15" s="16" t="s">
        <v>219</v>
      </c>
      <c r="F15" s="1"/>
      <c r="G15" s="1"/>
    </row>
    <row r="16" customFormat="false" ht="15" hidden="false" customHeight="false" outlineLevel="0" collapsed="false">
      <c r="A16" s="1"/>
      <c r="B16" s="8" t="s">
        <v>220</v>
      </c>
      <c r="C16" s="36" t="n">
        <f aca="false">D9</f>
        <v>154</v>
      </c>
      <c r="D16" s="19" t="n">
        <f aca="false">Inputs!$C$21</f>
        <v>220</v>
      </c>
      <c r="E16" s="39" t="n">
        <f aca="false">D16/C16-1</f>
        <v>0.428571428571429</v>
      </c>
      <c r="F16" s="1"/>
      <c r="G16" s="1"/>
    </row>
    <row r="17" customFormat="false" ht="15" hidden="false" customHeight="false" outlineLevel="0" collapsed="false">
      <c r="A17" s="1"/>
      <c r="B17" s="8" t="s">
        <v>221</v>
      </c>
      <c r="C17" s="36" t="n">
        <f aca="false">D11</f>
        <v>121</v>
      </c>
      <c r="D17" s="19" t="n">
        <f aca="false">Inputs!$C$21</f>
        <v>220</v>
      </c>
      <c r="E17" s="39" t="n">
        <f aca="false">D17/C17-1</f>
        <v>0.818181818181818</v>
      </c>
      <c r="F17" s="1"/>
      <c r="G17" s="1"/>
    </row>
    <row r="18" customFormat="false" ht="15" hidden="false" customHeight="false" outlineLevel="0" collapsed="false">
      <c r="A18" s="1"/>
      <c r="B18" s="1"/>
      <c r="C18" s="1"/>
      <c r="D18" s="1"/>
      <c r="E18" s="1"/>
      <c r="F18" s="1"/>
      <c r="G18" s="1"/>
    </row>
    <row r="19" customFormat="false" ht="15" hidden="false" customHeight="false" outlineLevel="0" collapsed="false">
      <c r="A19" s="1"/>
      <c r="B19" s="8" t="s">
        <v>222</v>
      </c>
      <c r="C19" s="20" t="n">
        <f aca="false">Inputs!$C$23</f>
        <v>0.6</v>
      </c>
      <c r="D19" s="8" t="s">
        <v>223</v>
      </c>
      <c r="E19" s="32" t="n">
        <f aca="false">Inputs!$C$21*C19</f>
        <v>132</v>
      </c>
      <c r="F19" s="1"/>
      <c r="G19" s="1"/>
    </row>
    <row r="20" customFormat="false" ht="15" hidden="false" customHeight="false" outlineLevel="0" collapsed="false">
      <c r="A20" s="1"/>
      <c r="B20" s="8" t="s">
        <v>224</v>
      </c>
      <c r="C20" s="1"/>
      <c r="D20" s="1"/>
      <c r="E20" s="34" t="n">
        <f aca="false">Inputs!$C$24*Inputs!$C$21/E19</f>
        <v>0.5</v>
      </c>
      <c r="F20" s="1"/>
      <c r="G20" s="1"/>
    </row>
    <row r="21" customFormat="false" ht="15" hidden="false" customHeight="false" outlineLevel="0" collapsed="false">
      <c r="A21" s="1"/>
      <c r="B21" s="8" t="s">
        <v>225</v>
      </c>
      <c r="C21" s="1"/>
      <c r="D21" s="1"/>
      <c r="E21" s="34" t="n">
        <f aca="false">Inputs!$C$25*Inputs!$C$21/E19</f>
        <v>0.75</v>
      </c>
      <c r="F21" s="1"/>
      <c r="G21" s="1"/>
    </row>
    <row r="22" customFormat="false" ht="15" hidden="false" customHeight="false" outlineLevel="0" collapsed="false">
      <c r="A22" s="1"/>
      <c r="B22" s="1"/>
      <c r="C22" s="1"/>
      <c r="D22" s="1"/>
      <c r="E22" s="1"/>
      <c r="F22" s="1"/>
      <c r="G22" s="1"/>
    </row>
    <row r="23" customFormat="false" ht="15" hidden="false" customHeight="false" outlineLevel="0" collapsed="false">
      <c r="A23" s="1"/>
      <c r="B23" s="24" t="s">
        <v>226</v>
      </c>
      <c r="C23" s="25"/>
      <c r="D23" s="25"/>
      <c r="E23" s="25"/>
      <c r="F23" s="25"/>
      <c r="G23" s="25"/>
    </row>
    <row r="24" customFormat="false" ht="15" hidden="false" customHeight="false" outlineLevel="0" collapsed="false">
      <c r="A24" s="1"/>
      <c r="B24" s="16" t="s">
        <v>227</v>
      </c>
      <c r="C24" s="16" t="s">
        <v>223</v>
      </c>
      <c r="D24" s="16" t="s">
        <v>228</v>
      </c>
      <c r="E24" s="16" t="s">
        <v>229</v>
      </c>
      <c r="F24" s="16" t="s">
        <v>230</v>
      </c>
      <c r="G24" s="16" t="s">
        <v>231</v>
      </c>
    </row>
    <row r="25" customFormat="false" ht="15" hidden="false" customHeight="false" outlineLevel="0" collapsed="false">
      <c r="A25" s="1"/>
      <c r="B25" s="32" t="n">
        <v>1</v>
      </c>
      <c r="C25" s="36" t="n">
        <f aca="false">Inputs!$C$21*(1+Inputs!$C$52)^B25</f>
        <v>264</v>
      </c>
      <c r="D25" s="34" t="n">
        <f aca="false">MIN(Inputs!$C$53*B25,Inputs!$C$54)</f>
        <v>0.05</v>
      </c>
      <c r="E25" s="36" t="n">
        <f aca="false">C25*D25*Inputs!$C$55*Inputs!$C$56</f>
        <v>9.9</v>
      </c>
      <c r="F25" s="40" t="n">
        <f aca="false">1/(1+Inputs!$C$46)^B25</f>
        <v>0.892857142857143</v>
      </c>
      <c r="G25" s="36" t="n">
        <f aca="false">E25*F25</f>
        <v>8.83928571428571</v>
      </c>
    </row>
    <row r="26" customFormat="false" ht="15" hidden="false" customHeight="false" outlineLevel="0" collapsed="false">
      <c r="A26" s="1"/>
      <c r="B26" s="32" t="n">
        <v>2</v>
      </c>
      <c r="C26" s="36" t="n">
        <f aca="false">Inputs!$C$21*(1+Inputs!$C$52)^B26</f>
        <v>316.8</v>
      </c>
      <c r="D26" s="34" t="n">
        <f aca="false">MIN(Inputs!$C$53*B26,Inputs!$C$54)</f>
        <v>0.1</v>
      </c>
      <c r="E26" s="36" t="n">
        <f aca="false">C26*D26*Inputs!$C$55*Inputs!$C$56</f>
        <v>23.76</v>
      </c>
      <c r="F26" s="40" t="n">
        <f aca="false">1/(1+Inputs!$C$46)^B26</f>
        <v>0.79719387755102</v>
      </c>
      <c r="G26" s="36" t="n">
        <f aca="false">E26*F26</f>
        <v>18.9413265306122</v>
      </c>
    </row>
    <row r="27" customFormat="false" ht="15" hidden="false" customHeight="false" outlineLevel="0" collapsed="false">
      <c r="A27" s="1"/>
      <c r="B27" s="32" t="n">
        <v>3</v>
      </c>
      <c r="C27" s="36" t="n">
        <f aca="false">Inputs!$C$21*(1+Inputs!$C$52)^B27</f>
        <v>380.16</v>
      </c>
      <c r="D27" s="34" t="n">
        <f aca="false">MIN(Inputs!$C$53*B27,Inputs!$C$54)</f>
        <v>0.15</v>
      </c>
      <c r="E27" s="36" t="n">
        <f aca="false">C27*D27*Inputs!$C$55*Inputs!$C$56</f>
        <v>42.768</v>
      </c>
      <c r="F27" s="40" t="n">
        <f aca="false">1/(1+Inputs!$C$46)^B27</f>
        <v>0.711780247813411</v>
      </c>
      <c r="G27" s="36" t="n">
        <f aca="false">E27*F27</f>
        <v>30.441417638484</v>
      </c>
    </row>
    <row r="28" customFormat="false" ht="15" hidden="false" customHeight="false" outlineLevel="0" collapsed="false">
      <c r="A28" s="1"/>
      <c r="B28" s="32" t="n">
        <v>4</v>
      </c>
      <c r="C28" s="36" t="n">
        <f aca="false">Inputs!$C$21*(1+Inputs!$C$52)^B28</f>
        <v>456.192</v>
      </c>
      <c r="D28" s="34" t="n">
        <f aca="false">MIN(Inputs!$C$53*B28,Inputs!$C$54)</f>
        <v>0.2</v>
      </c>
      <c r="E28" s="36" t="n">
        <f aca="false">C28*D28*Inputs!$C$55*Inputs!$C$56</f>
        <v>68.4288</v>
      </c>
      <c r="F28" s="40" t="n">
        <f aca="false">1/(1+Inputs!$C$46)^B28</f>
        <v>0.635518078404831</v>
      </c>
      <c r="G28" s="36" t="n">
        <f aca="false">E28*F28</f>
        <v>43.4877394835485</v>
      </c>
    </row>
    <row r="29" customFormat="false" ht="15" hidden="false" customHeight="false" outlineLevel="0" collapsed="false">
      <c r="A29" s="1"/>
      <c r="B29" s="32" t="n">
        <v>5</v>
      </c>
      <c r="C29" s="36" t="n">
        <f aca="false">Inputs!$C$21*(1+Inputs!$C$52)^B29</f>
        <v>547.4304</v>
      </c>
      <c r="D29" s="34" t="n">
        <f aca="false">MIN(Inputs!$C$53*B29,Inputs!$C$54)</f>
        <v>0.25</v>
      </c>
      <c r="E29" s="36" t="n">
        <f aca="false">C29*D29*Inputs!$C$55*Inputs!$C$56</f>
        <v>102.6432</v>
      </c>
      <c r="F29" s="40" t="n">
        <f aca="false">1/(1+Inputs!$C$46)^B29</f>
        <v>0.567426855718599</v>
      </c>
      <c r="G29" s="36" t="n">
        <f aca="false">E29*F29</f>
        <v>58.2425082368953</v>
      </c>
    </row>
    <row r="30" customFormat="false" ht="15" hidden="false" customHeight="false" outlineLevel="0" collapsed="false">
      <c r="A30" s="1"/>
      <c r="B30" s="32" t="n">
        <v>6</v>
      </c>
      <c r="C30" s="36" t="n">
        <f aca="false">Inputs!$C$21*(1+Inputs!$C$52)^B30</f>
        <v>656.91648</v>
      </c>
      <c r="D30" s="34" t="n">
        <f aca="false">MIN(Inputs!$C$53*B30,Inputs!$C$54)</f>
        <v>0.25</v>
      </c>
      <c r="E30" s="36" t="n">
        <f aca="false">C30*D30*Inputs!$C$55*Inputs!$C$56</f>
        <v>123.17184</v>
      </c>
      <c r="F30" s="40" t="n">
        <f aca="false">1/(1+Inputs!$C$46)^B30</f>
        <v>0.506631121177321</v>
      </c>
      <c r="G30" s="36" t="n">
        <f aca="false">E30*F30</f>
        <v>62.4026873966735</v>
      </c>
    </row>
    <row r="31" customFormat="false" ht="15" hidden="false" customHeight="false" outlineLevel="0" collapsed="false">
      <c r="A31" s="1"/>
      <c r="B31" s="32" t="n">
        <v>7</v>
      </c>
      <c r="C31" s="36" t="n">
        <f aca="false">Inputs!$C$21*(1+Inputs!$C$52)^B31</f>
        <v>788.299776</v>
      </c>
      <c r="D31" s="34" t="n">
        <f aca="false">MIN(Inputs!$C$53*B31,Inputs!$C$54)</f>
        <v>0.25</v>
      </c>
      <c r="E31" s="36" t="n">
        <f aca="false">C31*D31*Inputs!$C$55*Inputs!$C$56</f>
        <v>147.806208</v>
      </c>
      <c r="F31" s="40" t="n">
        <f aca="false">1/(1+Inputs!$C$46)^B31</f>
        <v>0.452349215336893</v>
      </c>
      <c r="G31" s="36" t="n">
        <f aca="false">E31*F31</f>
        <v>66.8600222107216</v>
      </c>
    </row>
    <row r="32" customFormat="false" ht="15" hidden="false" customHeight="false" outlineLevel="0" collapsed="false">
      <c r="A32" s="1"/>
      <c r="B32" s="32" t="n">
        <v>8</v>
      </c>
      <c r="C32" s="36" t="n">
        <f aca="false">Inputs!$C$21*(1+Inputs!$C$52)^B32</f>
        <v>945.9597312</v>
      </c>
      <c r="D32" s="34" t="n">
        <f aca="false">MIN(Inputs!$C$53*B32,Inputs!$C$54)</f>
        <v>0.25</v>
      </c>
      <c r="E32" s="36" t="n">
        <f aca="false">C32*D32*Inputs!$C$55*Inputs!$C$56</f>
        <v>177.3674496</v>
      </c>
      <c r="F32" s="40" t="n">
        <f aca="false">1/(1+Inputs!$C$46)^B32</f>
        <v>0.403883227979369</v>
      </c>
      <c r="G32" s="36" t="n">
        <f aca="false">E32*F32</f>
        <v>71.635738082916</v>
      </c>
    </row>
    <row r="33" customFormat="false" ht="15" hidden="false" customHeight="false" outlineLevel="0" collapsed="false">
      <c r="A33" s="1"/>
      <c r="B33" s="32" t="n">
        <v>9</v>
      </c>
      <c r="C33" s="36" t="n">
        <f aca="false">Inputs!$C$21*(1+Inputs!$C$52)^B33</f>
        <v>1135.15167744</v>
      </c>
      <c r="D33" s="34" t="n">
        <f aca="false">MIN(Inputs!$C$53*B33,Inputs!$C$54)</f>
        <v>0.25</v>
      </c>
      <c r="E33" s="36" t="n">
        <f aca="false">C33*D33*Inputs!$C$55*Inputs!$C$56</f>
        <v>212.84093952</v>
      </c>
      <c r="F33" s="40" t="n">
        <f aca="false">1/(1+Inputs!$C$46)^B33</f>
        <v>0.360610024981579</v>
      </c>
      <c r="G33" s="36" t="n">
        <f aca="false">E33*F33</f>
        <v>76.75257651741</v>
      </c>
    </row>
    <row r="34" customFormat="false" ht="15" hidden="false" customHeight="false" outlineLevel="0" collapsed="false">
      <c r="A34" s="1"/>
      <c r="B34" s="32" t="n">
        <v>10</v>
      </c>
      <c r="C34" s="36" t="n">
        <f aca="false">Inputs!$C$21*(1+Inputs!$C$52)^B34</f>
        <v>1362.182012928</v>
      </c>
      <c r="D34" s="34" t="n">
        <f aca="false">MIN(Inputs!$C$53*B34,Inputs!$C$54)</f>
        <v>0.25</v>
      </c>
      <c r="E34" s="36" t="n">
        <f aca="false">C34*D34*Inputs!$C$55*Inputs!$C$56</f>
        <v>255.409127424</v>
      </c>
      <c r="F34" s="40" t="n">
        <f aca="false">1/(1+Inputs!$C$46)^B34</f>
        <v>0.321973236590696</v>
      </c>
      <c r="G34" s="36" t="n">
        <f aca="false">E34*F34</f>
        <v>82.2349034115107</v>
      </c>
    </row>
    <row r="35" customFormat="false" ht="15" hidden="false" customHeight="false" outlineLevel="0" collapsed="false">
      <c r="A35" s="1"/>
      <c r="B35" s="8" t="s">
        <v>232</v>
      </c>
      <c r="C35" s="1"/>
      <c r="D35" s="1"/>
      <c r="E35" s="32" t="n">
        <f aca="false">E34*(1+Inputs!$C$47)/(Inputs!$C$46-Inputs!$C$47)</f>
        <v>3831.13691136</v>
      </c>
      <c r="F35" s="40" t="n">
        <f aca="false">F34</f>
        <v>0.321973236590696</v>
      </c>
      <c r="G35" s="32" t="n">
        <f aca="false">E35*F35</f>
        <v>1233.52355117266</v>
      </c>
    </row>
    <row r="36" customFormat="false" ht="15" hidden="false" customHeight="false" outlineLevel="0" collapsed="false">
      <c r="A36" s="1"/>
      <c r="B36" s="8" t="s">
        <v>233</v>
      </c>
      <c r="C36" s="1"/>
      <c r="D36" s="1"/>
      <c r="E36" s="1"/>
      <c r="F36" s="1"/>
      <c r="G36" s="38" t="n">
        <f aca="false">SUM(G25:G35)</f>
        <v>1753.36175639572</v>
      </c>
    </row>
    <row r="37" customFormat="false" ht="15" hidden="false" customHeight="false" outlineLevel="0" collapsed="false">
      <c r="A37" s="1"/>
      <c r="B37" s="8" t="s">
        <v>234</v>
      </c>
      <c r="C37" s="1"/>
      <c r="D37" s="1"/>
      <c r="E37" s="1"/>
      <c r="F37" s="1"/>
      <c r="G37" s="33" t="n">
        <f aca="false">G36/Inputs!$C$21</f>
        <v>7.96982616543509</v>
      </c>
    </row>
    <row r="38" customFormat="false" ht="15" hidden="false" customHeight="false" outlineLevel="0" collapsed="false">
      <c r="A38" s="1"/>
      <c r="B38" s="8" t="s">
        <v>235</v>
      </c>
      <c r="C38" s="1"/>
      <c r="D38" s="1"/>
      <c r="E38" s="1"/>
      <c r="F38" s="1"/>
      <c r="G38" s="41" t="str">
        <f aca="false">IF(G36&gt;=Inputs!$C$18,"Supported","Not supported")</f>
        <v>Not supported</v>
      </c>
    </row>
    <row r="39" customFormat="false" ht="15" hidden="false" customHeight="false" outlineLevel="0" collapsed="false">
      <c r="A39" s="1"/>
      <c r="B39" s="42" t="s">
        <v>236</v>
      </c>
      <c r="C39" s="1"/>
      <c r="D39" s="1"/>
      <c r="E39" s="1"/>
      <c r="F39" s="1"/>
      <c r="G39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4"/>
    <col collapsed="false" customWidth="true" hidden="false" outlineLevel="0" max="7" min="3" style="0" width="16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</row>
    <row r="2" customFormat="false" ht="17.35" hidden="false" customHeight="false" outlineLevel="0" collapsed="false">
      <c r="A2" s="1"/>
      <c r="B2" s="15" t="s">
        <v>11</v>
      </c>
      <c r="C2" s="1"/>
      <c r="D2" s="1"/>
      <c r="E2" s="1"/>
      <c r="F2" s="1"/>
      <c r="G2" s="1"/>
    </row>
    <row r="3" customFormat="false" ht="15" hidden="false" customHeight="false" outlineLevel="0" collapsed="false">
      <c r="A3" s="1"/>
      <c r="B3" s="4" t="s">
        <v>237</v>
      </c>
      <c r="C3" s="1"/>
      <c r="D3" s="1"/>
      <c r="E3" s="1"/>
      <c r="F3" s="1"/>
      <c r="G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</row>
    <row r="5" customFormat="false" ht="15" hidden="false" customHeight="false" outlineLevel="0" collapsed="false">
      <c r="A5" s="1"/>
      <c r="B5" s="24" t="s">
        <v>238</v>
      </c>
      <c r="C5" s="25"/>
      <c r="D5" s="25"/>
      <c r="E5" s="25"/>
      <c r="F5" s="25"/>
      <c r="G5" s="1"/>
    </row>
    <row r="6" customFormat="false" ht="15" hidden="false" customHeight="false" outlineLevel="0" collapsed="false">
      <c r="A6" s="1"/>
      <c r="B6" s="8" t="s">
        <v>178</v>
      </c>
      <c r="C6" s="19" t="n">
        <f aca="false">Inputs!$C$67</f>
        <v>1855.46875</v>
      </c>
      <c r="D6" s="1"/>
      <c r="E6" s="1"/>
      <c r="F6" s="1"/>
      <c r="G6" s="1"/>
    </row>
    <row r="7" customFormat="false" ht="15" hidden="false" customHeight="false" outlineLevel="0" collapsed="false">
      <c r="A7" s="1"/>
      <c r="B7" s="8" t="s">
        <v>239</v>
      </c>
      <c r="C7" s="40" t="n">
        <f aca="false">Inputs!$C$20/C6</f>
        <v>1.024</v>
      </c>
      <c r="D7" s="1"/>
      <c r="E7" s="1"/>
      <c r="F7" s="1"/>
      <c r="G7" s="1"/>
    </row>
    <row r="8" customFormat="false" ht="15" hidden="false" customHeight="false" outlineLevel="0" collapsed="false">
      <c r="A8" s="1"/>
      <c r="B8" s="8" t="s">
        <v>240</v>
      </c>
      <c r="C8" s="40" t="n">
        <f aca="false">Inputs!$C$8+C7</f>
        <v>65.024</v>
      </c>
      <c r="D8" s="1"/>
      <c r="E8" s="1"/>
      <c r="F8" s="1"/>
      <c r="G8" s="1"/>
    </row>
    <row r="9" customFormat="false" ht="15" hidden="false" customHeight="false" outlineLevel="0" collapsed="false">
      <c r="A9" s="1"/>
      <c r="B9" s="8" t="s">
        <v>241</v>
      </c>
      <c r="C9" s="43" t="n">
        <f aca="false">Inputs!$C$13/C8</f>
        <v>7.38188976377953</v>
      </c>
      <c r="D9" s="1"/>
      <c r="E9" s="1"/>
      <c r="F9" s="1"/>
      <c r="G9" s="1"/>
    </row>
    <row r="10" customFormat="false" ht="15" hidden="false" customHeight="false" outlineLevel="0" collapsed="false">
      <c r="A10" s="1"/>
      <c r="B10" s="8" t="s">
        <v>242</v>
      </c>
      <c r="C10" s="39" t="n">
        <f aca="false">C9/Inputs!$C$14-1</f>
        <v>-0.015748031496063</v>
      </c>
      <c r="D10" s="1"/>
      <c r="E10" s="1"/>
      <c r="F10" s="1"/>
      <c r="G10" s="1"/>
    </row>
    <row r="11" customFormat="false" ht="15" hidden="false" customHeight="false" outlineLevel="0" collapsed="false">
      <c r="A11" s="1"/>
      <c r="B11" s="8" t="s">
        <v>243</v>
      </c>
      <c r="C11" s="32" t="n">
        <f aca="false">Inputs!$C$9-Inputs!$C$19</f>
        <v>6800</v>
      </c>
      <c r="D11" s="1"/>
      <c r="E11" s="1"/>
      <c r="F11" s="1"/>
      <c r="G11" s="1"/>
    </row>
    <row r="12" customFormat="false" ht="15" hidden="false" customHeight="false" outlineLevel="0" collapsed="false">
      <c r="A12" s="1"/>
      <c r="B12" s="1"/>
      <c r="C12" s="1"/>
      <c r="D12" s="1"/>
      <c r="E12" s="1"/>
      <c r="F12" s="1"/>
      <c r="G12" s="1"/>
    </row>
    <row r="13" customFormat="false" ht="15" hidden="false" customHeight="false" outlineLevel="0" collapsed="false">
      <c r="A13" s="1"/>
      <c r="B13" s="24" t="s">
        <v>244</v>
      </c>
      <c r="C13" s="25"/>
      <c r="D13" s="25"/>
      <c r="E13" s="25"/>
      <c r="F13" s="25"/>
      <c r="G13" s="1"/>
    </row>
    <row r="14" customFormat="false" ht="37.3" hidden="false" customHeight="false" outlineLevel="0" collapsed="false">
      <c r="A14" s="1"/>
      <c r="B14" s="16" t="s">
        <v>245</v>
      </c>
      <c r="C14" s="16" t="s">
        <v>246</v>
      </c>
      <c r="D14" s="16" t="s">
        <v>247</v>
      </c>
      <c r="E14" s="16" t="s">
        <v>248</v>
      </c>
      <c r="F14" s="16" t="s">
        <v>249</v>
      </c>
      <c r="G14" s="16" t="s">
        <v>250</v>
      </c>
    </row>
    <row r="15" customFormat="false" ht="15" hidden="false" customHeight="false" outlineLevel="0" collapsed="false">
      <c r="A15" s="1"/>
      <c r="B15" s="8" t="s">
        <v>251</v>
      </c>
      <c r="C15" s="26" t="n">
        <v>2100</v>
      </c>
      <c r="D15" s="26" t="n">
        <v>0</v>
      </c>
      <c r="E15" s="26" t="n">
        <v>1400</v>
      </c>
      <c r="F15" s="26" t="n">
        <v>4000</v>
      </c>
      <c r="G15" s="26" t="n">
        <v>0</v>
      </c>
    </row>
    <row r="16" customFormat="false" ht="15" hidden="false" customHeight="false" outlineLevel="0" collapsed="false">
      <c r="A16" s="1"/>
      <c r="B16" s="8" t="s">
        <v>252</v>
      </c>
      <c r="C16" s="26" t="n">
        <v>0</v>
      </c>
      <c r="D16" s="26" t="n">
        <v>2100</v>
      </c>
      <c r="E16" s="26" t="n">
        <v>700</v>
      </c>
      <c r="F16" s="26" t="n">
        <v>0</v>
      </c>
      <c r="G16" s="26" t="n">
        <v>0</v>
      </c>
    </row>
    <row r="17" customFormat="false" ht="15" hidden="false" customHeight="false" outlineLevel="0" collapsed="false">
      <c r="A17" s="1"/>
      <c r="B17" s="8" t="s">
        <v>253</v>
      </c>
      <c r="C17" s="26" t="n">
        <v>1900</v>
      </c>
      <c r="D17" s="26" t="n">
        <v>1900</v>
      </c>
      <c r="E17" s="26" t="n">
        <v>1900</v>
      </c>
      <c r="F17" s="26" t="n">
        <v>0</v>
      </c>
      <c r="G17" s="26" t="n">
        <v>4000</v>
      </c>
    </row>
    <row r="18" customFormat="false" ht="15" hidden="false" customHeight="false" outlineLevel="0" collapsed="false">
      <c r="A18" s="1"/>
      <c r="B18" s="8" t="s">
        <v>254</v>
      </c>
      <c r="C18" s="40" t="n">
        <f aca="false">C17/Inputs!$C$67</f>
        <v>1.024</v>
      </c>
      <c r="D18" s="40" t="n">
        <f aca="false">D17/Inputs!$C$67</f>
        <v>1.024</v>
      </c>
      <c r="E18" s="40" t="n">
        <f aca="false">E17/Inputs!$C$67</f>
        <v>1.024</v>
      </c>
      <c r="F18" s="40" t="n">
        <f aca="false">F17/Inputs!$C$67</f>
        <v>0</v>
      </c>
      <c r="G18" s="40" t="n">
        <f aca="false">G17/Inputs!$C$67</f>
        <v>2.15578947368421</v>
      </c>
    </row>
    <row r="19" customFormat="false" ht="15" hidden="false" customHeight="false" outlineLevel="0" collapsed="false">
      <c r="A19" s="1"/>
      <c r="B19" s="8" t="s">
        <v>240</v>
      </c>
      <c r="C19" s="40" t="n">
        <f aca="false">Inputs!$C$8+C18</f>
        <v>65.024</v>
      </c>
      <c r="D19" s="40" t="n">
        <f aca="false">Inputs!$C$8+D18</f>
        <v>65.024</v>
      </c>
      <c r="E19" s="40" t="n">
        <f aca="false">Inputs!$C$8+E18</f>
        <v>65.024</v>
      </c>
      <c r="F19" s="40" t="n">
        <f aca="false">Inputs!$C$8+F18</f>
        <v>64</v>
      </c>
      <c r="G19" s="40" t="n">
        <f aca="false">Inputs!$C$8+G18</f>
        <v>66.1557894736842</v>
      </c>
    </row>
    <row r="20" customFormat="false" ht="15" hidden="false" customHeight="false" outlineLevel="0" collapsed="false">
      <c r="A20" s="1"/>
      <c r="B20" s="8" t="s">
        <v>255</v>
      </c>
      <c r="C20" s="36" t="n">
        <f aca="false">-C15*Inputs!$C$43*(1-Inputs!$C$45)</f>
        <v>-94.5</v>
      </c>
      <c r="D20" s="36" t="n">
        <f aca="false">-D15*Inputs!$C$43*(1-Inputs!$C$45)</f>
        <v>-0</v>
      </c>
      <c r="E20" s="36" t="n">
        <f aca="false">-E15*Inputs!$C$43*(1-Inputs!$C$45)</f>
        <v>-63</v>
      </c>
      <c r="F20" s="36" t="n">
        <f aca="false">-F15*Inputs!$C$43*(1-Inputs!$C$45)</f>
        <v>-180</v>
      </c>
      <c r="G20" s="36" t="n">
        <f aca="false">-G15*Inputs!$C$43*(1-Inputs!$C$45)</f>
        <v>-0</v>
      </c>
    </row>
    <row r="21" customFormat="false" ht="15" hidden="false" customHeight="false" outlineLevel="0" collapsed="false">
      <c r="A21" s="1"/>
      <c r="B21" s="8" t="s">
        <v>256</v>
      </c>
      <c r="C21" s="36" t="n">
        <f aca="false">-C16*Inputs!$C$44*(1-Inputs!$C$45)</f>
        <v>-0</v>
      </c>
      <c r="D21" s="36" t="n">
        <f aca="false">-D16*Inputs!$C$44*(1-Inputs!$C$45)</f>
        <v>-133.875</v>
      </c>
      <c r="E21" s="36" t="n">
        <f aca="false">-E16*Inputs!$C$44*(1-Inputs!$C$45)</f>
        <v>-44.625</v>
      </c>
      <c r="F21" s="36" t="n">
        <f aca="false">-F16*Inputs!$C$44*(1-Inputs!$C$45)</f>
        <v>-0</v>
      </c>
      <c r="G21" s="36" t="n">
        <f aca="false">-G16*Inputs!$C$44*(1-Inputs!$C$45)</f>
        <v>-0</v>
      </c>
    </row>
    <row r="22" customFormat="false" ht="15" hidden="false" customHeight="false" outlineLevel="0" collapsed="false">
      <c r="A22" s="1"/>
      <c r="B22" s="8" t="s">
        <v>257</v>
      </c>
      <c r="C22" s="44" t="n">
        <f aca="false">'Liminal Projection'!$D$25</f>
        <v>-41.25</v>
      </c>
      <c r="D22" s="44" t="n">
        <f aca="false">'Liminal Projection'!$D$25</f>
        <v>-41.25</v>
      </c>
      <c r="E22" s="44" t="n">
        <f aca="false">'Liminal Projection'!$D$25</f>
        <v>-41.25</v>
      </c>
      <c r="F22" s="44" t="n">
        <f aca="false">'Liminal Projection'!$D$25</f>
        <v>-41.25</v>
      </c>
      <c r="G22" s="44" t="n">
        <f aca="false">'Liminal Projection'!$D$25</f>
        <v>-41.25</v>
      </c>
    </row>
    <row r="23" customFormat="false" ht="15" hidden="false" customHeight="false" outlineLevel="0" collapsed="false">
      <c r="A23" s="1"/>
      <c r="B23" s="8" t="s">
        <v>258</v>
      </c>
      <c r="C23" s="19" t="n">
        <f aca="false">Inputs!$C$64</f>
        <v>0</v>
      </c>
      <c r="D23" s="19" t="n">
        <f aca="false">Inputs!$C$64</f>
        <v>0</v>
      </c>
      <c r="E23" s="19" t="n">
        <f aca="false">Inputs!$C$64</f>
        <v>0</v>
      </c>
      <c r="F23" s="19" t="n">
        <f aca="false">Inputs!$C$64</f>
        <v>0</v>
      </c>
      <c r="G23" s="19" t="n">
        <f aca="false">Inputs!$C$64</f>
        <v>0</v>
      </c>
    </row>
    <row r="24" customFormat="false" ht="15" hidden="false" customHeight="false" outlineLevel="0" collapsed="false">
      <c r="A24" s="1"/>
      <c r="B24" s="8" t="s">
        <v>259</v>
      </c>
      <c r="C24" s="36" t="n">
        <f aca="false">SUM(C20:C23)</f>
        <v>-135.75</v>
      </c>
      <c r="D24" s="36" t="n">
        <f aca="false">SUM(D20:D23)</f>
        <v>-175.125</v>
      </c>
      <c r="E24" s="36" t="n">
        <f aca="false">SUM(E20:E23)</f>
        <v>-148.875</v>
      </c>
      <c r="F24" s="36" t="n">
        <f aca="false">SUM(F20:F23)</f>
        <v>-221.25</v>
      </c>
      <c r="G24" s="36" t="n">
        <f aca="false">SUM(G20:G23)</f>
        <v>-41.25</v>
      </c>
    </row>
    <row r="25" customFormat="false" ht="15" hidden="false" customHeight="false" outlineLevel="0" collapsed="false">
      <c r="A25" s="1"/>
      <c r="B25" s="8" t="s">
        <v>260</v>
      </c>
      <c r="C25" s="36" t="n">
        <f aca="false">Inputs!$C$13+C24</f>
        <v>344.25</v>
      </c>
      <c r="D25" s="36" t="n">
        <f aca="false">Inputs!$C$13+D24</f>
        <v>304.875</v>
      </c>
      <c r="E25" s="36" t="n">
        <f aca="false">Inputs!$C$13+E24</f>
        <v>331.125</v>
      </c>
      <c r="F25" s="36" t="n">
        <f aca="false">Inputs!$C$13+F24</f>
        <v>258.75</v>
      </c>
      <c r="G25" s="36" t="n">
        <f aca="false">Inputs!$C$13+G24</f>
        <v>438.75</v>
      </c>
    </row>
    <row r="26" customFormat="false" ht="15" hidden="false" customHeight="false" outlineLevel="0" collapsed="false">
      <c r="A26" s="1"/>
      <c r="B26" s="41" t="s">
        <v>261</v>
      </c>
      <c r="C26" s="43" t="n">
        <f aca="false">C25/C19</f>
        <v>5.29419906496063</v>
      </c>
      <c r="D26" s="43" t="n">
        <f aca="false">D25/D19</f>
        <v>4.68865342027559</v>
      </c>
      <c r="E26" s="43" t="n">
        <f aca="false">E25/E19</f>
        <v>5.09235051673228</v>
      </c>
      <c r="F26" s="43" t="n">
        <f aca="false">F25/F19</f>
        <v>4.04296875</v>
      </c>
      <c r="G26" s="43" t="n">
        <f aca="false">G25/G19</f>
        <v>6.63207261965377</v>
      </c>
    </row>
    <row r="27" customFormat="false" ht="15" hidden="false" customHeight="false" outlineLevel="0" collapsed="false">
      <c r="A27" s="1"/>
      <c r="B27" s="41" t="s">
        <v>262</v>
      </c>
      <c r="C27" s="39" t="n">
        <f aca="false">C26/Inputs!$C$14-1</f>
        <v>-0.294106791338583</v>
      </c>
      <c r="D27" s="39" t="n">
        <f aca="false">D26/Inputs!$C$14-1</f>
        <v>-0.374846210629921</v>
      </c>
      <c r="E27" s="39" t="n">
        <f aca="false">E26/Inputs!$C$14-1</f>
        <v>-0.321019931102362</v>
      </c>
      <c r="F27" s="39" t="n">
        <f aca="false">F26/Inputs!$C$14-1</f>
        <v>-0.4609375</v>
      </c>
      <c r="G27" s="39" t="n">
        <f aca="false">G26/Inputs!$C$14-1</f>
        <v>-0.115723650712831</v>
      </c>
    </row>
    <row r="28" customFormat="false" ht="15" hidden="false" customHeight="false" outlineLevel="0" collapsed="false">
      <c r="A28" s="1"/>
      <c r="B28" s="8" t="s">
        <v>263</v>
      </c>
      <c r="C28" s="40" t="n">
        <f aca="false">(C25+Inputs!$C$76)/C19</f>
        <v>6.35534571850394</v>
      </c>
      <c r="D28" s="40" t="n">
        <f aca="false">(D25+Inputs!$C$76)/D19</f>
        <v>5.7498000738189</v>
      </c>
      <c r="E28" s="40" t="n">
        <f aca="false">(E25+Inputs!$C$76)/E19</f>
        <v>6.15349717027559</v>
      </c>
      <c r="F28" s="40" t="n">
        <f aca="false">(F25+Inputs!$C$76)/F19</f>
        <v>5.12109375</v>
      </c>
      <c r="G28" s="40" t="n">
        <f aca="false">(G25+Inputs!$C$76)/G19</f>
        <v>7.67506523676171</v>
      </c>
    </row>
    <row r="29" customFormat="false" ht="15" hidden="false" customHeight="false" outlineLevel="0" collapsed="false">
      <c r="A29" s="1"/>
      <c r="B29" s="8" t="s">
        <v>264</v>
      </c>
      <c r="C29" s="32" t="n">
        <f aca="false">Inputs!$C$9-C15</f>
        <v>6800</v>
      </c>
      <c r="D29" s="32" t="n">
        <f aca="false">Inputs!$C$9-D15</f>
        <v>8900</v>
      </c>
      <c r="E29" s="32" t="n">
        <f aca="false">Inputs!$C$9-E15</f>
        <v>7500</v>
      </c>
      <c r="F29" s="32" t="n">
        <f aca="false">Inputs!$C$9-F15</f>
        <v>4900</v>
      </c>
      <c r="G29" s="32" t="n">
        <f aca="false">Inputs!$C$9-G15</f>
        <v>8900</v>
      </c>
    </row>
    <row r="30" customFormat="false" ht="15" hidden="false" customHeight="false" outlineLevel="0" collapsed="false">
      <c r="A30" s="1"/>
      <c r="B30" s="8" t="s">
        <v>265</v>
      </c>
      <c r="C30" s="32" t="n">
        <f aca="false">Inputs!$C$10+C16</f>
        <v>350</v>
      </c>
      <c r="D30" s="32" t="n">
        <f aca="false">Inputs!$C$10+D16</f>
        <v>2450</v>
      </c>
      <c r="E30" s="32" t="n">
        <f aca="false">Inputs!$C$10+E16</f>
        <v>1050</v>
      </c>
      <c r="F30" s="32" t="n">
        <f aca="false">Inputs!$C$10+F16</f>
        <v>350</v>
      </c>
      <c r="G30" s="32" t="n">
        <f aca="false">Inputs!$C$10+G16</f>
        <v>350</v>
      </c>
    </row>
    <row r="31" customFormat="false" ht="15" hidden="false" customHeight="false" outlineLevel="0" collapsed="false">
      <c r="A31" s="1"/>
      <c r="B31" s="8" t="s">
        <v>266</v>
      </c>
      <c r="C31" s="33" t="n">
        <f aca="false">C30/Inputs!$C$12</f>
        <v>0.546875</v>
      </c>
      <c r="D31" s="33" t="n">
        <f aca="false">D30/Inputs!$C$12</f>
        <v>3.828125</v>
      </c>
      <c r="E31" s="33" t="n">
        <f aca="false">E30/Inputs!$C$12</f>
        <v>1.640625</v>
      </c>
      <c r="F31" s="33" t="n">
        <f aca="false">F30/Inputs!$C$12</f>
        <v>0.546875</v>
      </c>
      <c r="G31" s="33" t="n">
        <f aca="false">G30/Inputs!$C$12</f>
        <v>0.546875</v>
      </c>
    </row>
    <row r="32" customFormat="false" ht="15" hidden="false" customHeight="false" outlineLevel="0" collapsed="false">
      <c r="A32" s="1"/>
      <c r="B32" s="8" t="s">
        <v>267</v>
      </c>
      <c r="C32" s="27" t="str">
        <f aca="false">IF(AND(C29&gt;=Inputs!$C$48,C31&lt;=Inputs!$C$49),"Yes","No")</f>
        <v>Yes</v>
      </c>
      <c r="D32" s="27" t="str">
        <f aca="false">IF(AND(D29&gt;=Inputs!$C$48,D31&lt;=Inputs!$C$49),"Yes","No")</f>
        <v>No</v>
      </c>
      <c r="E32" s="27" t="str">
        <f aca="false">IF(AND(E29&gt;=Inputs!$C$48,E31&lt;=Inputs!$C$49),"Yes","No")</f>
        <v>No</v>
      </c>
      <c r="F32" s="27" t="str">
        <f aca="false">IF(AND(F29&gt;=Inputs!$C$48,F31&lt;=Inputs!$C$49),"Yes","No")</f>
        <v>No</v>
      </c>
      <c r="G32" s="27" t="str">
        <f aca="false">IF(AND(G29&gt;=Inputs!$C$48,G31&lt;=Inputs!$C$49),"Yes","No")</f>
        <v>Yes</v>
      </c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</row>
    <row r="34" customFormat="false" ht="15" hidden="false" customHeight="false" outlineLevel="0" collapsed="false">
      <c r="A34" s="1"/>
      <c r="B34" s="42" t="s">
        <v>268</v>
      </c>
      <c r="C34" s="1"/>
      <c r="D34" s="1"/>
      <c r="E34" s="1"/>
      <c r="F34" s="1"/>
      <c r="G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</row>
    <row r="36" customFormat="false" ht="15" hidden="false" customHeight="false" outlineLevel="0" collapsed="false">
      <c r="A36" s="1"/>
      <c r="B36" s="24" t="s">
        <v>269</v>
      </c>
      <c r="C36" s="25"/>
      <c r="D36" s="25"/>
      <c r="E36" s="25"/>
      <c r="F36" s="25"/>
      <c r="G36" s="1"/>
    </row>
    <row r="37" customFormat="false" ht="15" hidden="false" customHeight="false" outlineLevel="0" collapsed="false">
      <c r="A37" s="1"/>
      <c r="B37" s="8" t="s">
        <v>184</v>
      </c>
      <c r="C37" s="19" t="n">
        <f aca="false">Inputs!$C$70</f>
        <v>1000</v>
      </c>
      <c r="D37" s="1"/>
      <c r="E37" s="1"/>
      <c r="F37" s="1"/>
      <c r="G37" s="1"/>
    </row>
    <row r="38" customFormat="false" ht="15" hidden="false" customHeight="false" outlineLevel="0" collapsed="false">
      <c r="A38" s="1"/>
      <c r="B38" s="8" t="s">
        <v>270</v>
      </c>
      <c r="C38" s="32" t="n">
        <f aca="false">C37*Inputs!$C$32</f>
        <v>1000</v>
      </c>
      <c r="D38" s="1"/>
      <c r="E38" s="1"/>
      <c r="F38" s="1"/>
      <c r="G38" s="1"/>
    </row>
    <row r="39" customFormat="false" ht="15" hidden="false" customHeight="false" outlineLevel="0" collapsed="false">
      <c r="A39" s="1"/>
      <c r="B39" s="8" t="s">
        <v>271</v>
      </c>
      <c r="C39" s="32" t="n">
        <f aca="false">C37-C38</f>
        <v>0</v>
      </c>
      <c r="D39" s="1"/>
      <c r="E39" s="1"/>
      <c r="F39" s="1"/>
      <c r="G39" s="1"/>
    </row>
    <row r="40" customFormat="false" ht="15" hidden="false" customHeight="false" outlineLevel="0" collapsed="false">
      <c r="A40" s="1"/>
      <c r="B40" s="8" t="s">
        <v>254</v>
      </c>
      <c r="C40" s="26" t="n">
        <v>0</v>
      </c>
      <c r="D40" s="1"/>
      <c r="E40" s="1"/>
      <c r="F40" s="1"/>
      <c r="G40" s="1"/>
    </row>
    <row r="41" customFormat="false" ht="15" hidden="false" customHeight="false" outlineLevel="0" collapsed="false">
      <c r="A41" s="1"/>
      <c r="B41" s="8" t="s">
        <v>272</v>
      </c>
      <c r="C41" s="38" t="n">
        <f aca="false">Inputs!$C$9-C38-Inputs!$C$33</f>
        <v>7885</v>
      </c>
      <c r="D41" s="1"/>
      <c r="E41" s="1"/>
      <c r="F41" s="1"/>
      <c r="G41" s="1"/>
    </row>
    <row r="42" customFormat="false" ht="15" hidden="false" customHeight="false" outlineLevel="0" collapsed="false">
      <c r="A42" s="1"/>
      <c r="B42" s="8" t="s">
        <v>273</v>
      </c>
      <c r="C42" s="33" t="n">
        <f aca="false">(Inputs!$C$10+C39)/Inputs!$C$12</f>
        <v>0.546875</v>
      </c>
      <c r="D42" s="1"/>
      <c r="E42" s="1"/>
      <c r="F42" s="1"/>
      <c r="G42" s="1"/>
    </row>
    <row r="43" customFormat="false" ht="15" hidden="false" customHeight="false" outlineLevel="0" collapsed="false">
      <c r="A43" s="1"/>
      <c r="B43" s="8" t="s">
        <v>274</v>
      </c>
      <c r="C43" s="34" t="n">
        <f aca="false">C40/Inputs!$C$8</f>
        <v>0</v>
      </c>
      <c r="D43" s="1"/>
      <c r="E43" s="1"/>
      <c r="F43" s="1"/>
      <c r="G43" s="1"/>
    </row>
    <row r="44" customFormat="false" ht="15" hidden="false" customHeight="false" outlineLevel="0" collapsed="false">
      <c r="A44" s="1"/>
      <c r="B44" s="8" t="s">
        <v>275</v>
      </c>
      <c r="C44" s="36" t="n">
        <f aca="false">-C38*Inputs!$C$43*(1-Inputs!$C$45)</f>
        <v>-45</v>
      </c>
      <c r="D44" s="1"/>
      <c r="E44" s="1"/>
      <c r="F44" s="1"/>
      <c r="G44" s="1"/>
    </row>
    <row r="45" customFormat="false" ht="15" hidden="false" customHeight="false" outlineLevel="0" collapsed="false">
      <c r="A45" s="1"/>
      <c r="B45" s="8" t="s">
        <v>276</v>
      </c>
      <c r="C45" s="44" t="n">
        <f aca="false">Inputs!$C$30*'Liminal Projection'!$D$8</f>
        <v>2.475</v>
      </c>
      <c r="D45" s="1"/>
      <c r="E45" s="1"/>
      <c r="F45" s="1"/>
      <c r="G45" s="1"/>
    </row>
    <row r="46" customFormat="false" ht="15" hidden="false" customHeight="false" outlineLevel="0" collapsed="false">
      <c r="A46" s="1"/>
      <c r="B46" s="8" t="s">
        <v>277</v>
      </c>
      <c r="C46" s="43" t="n">
        <f aca="false">(Inputs!$C$13+C44+C45)/(Inputs!$C$8+C40)</f>
        <v>6.835546875</v>
      </c>
      <c r="D46" s="1"/>
      <c r="E46" s="1"/>
      <c r="F46" s="1"/>
      <c r="G46" s="1"/>
    </row>
    <row r="47" customFormat="false" ht="15" hidden="false" customHeight="false" outlineLevel="0" collapsed="false">
      <c r="A47" s="1"/>
      <c r="B47" s="8" t="s">
        <v>278</v>
      </c>
      <c r="C47" s="39" t="n">
        <f aca="false">C46/Inputs!$C$14-1</f>
        <v>-0.0885937499999999</v>
      </c>
      <c r="D47" s="1"/>
      <c r="E47" s="1"/>
      <c r="F47" s="1"/>
      <c r="G47" s="1"/>
    </row>
    <row r="48" customFormat="false" ht="15" hidden="false" customHeight="false" outlineLevel="0" collapsed="false">
      <c r="A48" s="1"/>
      <c r="B48" s="8" t="s">
        <v>279</v>
      </c>
      <c r="C48" s="34" t="n">
        <f aca="false">(Inputs!$C$13/(Inputs!$C$8+C40))/Inputs!$C$14-1</f>
        <v>0</v>
      </c>
      <c r="D48" s="1"/>
      <c r="E48" s="1"/>
      <c r="F48" s="1"/>
      <c r="G48" s="1"/>
    </row>
    <row r="49" customFormat="false" ht="15" hidden="false" customHeight="false" outlineLevel="0" collapsed="false">
      <c r="A49" s="1"/>
      <c r="B49" s="8" t="s">
        <v>280</v>
      </c>
      <c r="C49" s="40" t="n">
        <f aca="false">(Inputs!$C$13+C44+C45+Inputs!$C$76)/(Inputs!$C$8+C40)</f>
        <v>7.913671875</v>
      </c>
      <c r="D49" s="1"/>
      <c r="E49" s="1"/>
      <c r="F49" s="1"/>
      <c r="G49" s="1"/>
    </row>
    <row r="50" customFormat="false" ht="15" hidden="false" customHeight="false" outlineLevel="0" collapsed="false">
      <c r="A50" s="1"/>
      <c r="B50" s="8" t="s">
        <v>281</v>
      </c>
      <c r="C50" s="40" t="n">
        <f aca="false">(Inputs!$C$13+Inputs!$C$76)/Inputs!$C$8</f>
        <v>8.578125</v>
      </c>
      <c r="D50" s="1"/>
      <c r="E50" s="1"/>
      <c r="F50" s="1"/>
      <c r="G50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13" min="3" style="0" width="12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7.35" hidden="false" customHeight="false" outlineLevel="0" collapsed="false">
      <c r="A2" s="1"/>
      <c r="B2" s="15" t="s">
        <v>13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customFormat="false" ht="15" hidden="false" customHeight="false" outlineLevel="0" collapsed="false">
      <c r="A3" s="1"/>
      <c r="B3" s="4" t="s">
        <v>282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customFormat="false" ht="15" hidden="false" customHeight="false" outlineLevel="0" collapsed="false">
      <c r="A5" s="1"/>
      <c r="B5" s="24" t="s">
        <v>283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</row>
    <row r="6" customFormat="false" ht="15" hidden="false" customHeight="false" outlineLevel="0" collapsed="false">
      <c r="A6" s="1"/>
      <c r="B6" s="16" t="s">
        <v>227</v>
      </c>
      <c r="C6" s="16" t="s">
        <v>284</v>
      </c>
      <c r="D6" s="16" t="s">
        <v>285</v>
      </c>
      <c r="E6" s="16" t="s">
        <v>286</v>
      </c>
      <c r="F6" s="16" t="s">
        <v>287</v>
      </c>
      <c r="G6" s="16" t="s">
        <v>288</v>
      </c>
      <c r="H6" s="16" t="s">
        <v>289</v>
      </c>
      <c r="I6" s="16" t="s">
        <v>290</v>
      </c>
      <c r="J6" s="16" t="s">
        <v>291</v>
      </c>
      <c r="K6" s="16" t="s">
        <v>292</v>
      </c>
      <c r="L6" s="16" t="s">
        <v>293</v>
      </c>
      <c r="M6" s="16" t="s">
        <v>294</v>
      </c>
    </row>
    <row r="7" customFormat="false" ht="15" hidden="false" customHeight="false" outlineLevel="0" collapsed="false">
      <c r="A7" s="1"/>
      <c r="B7" s="8" t="s">
        <v>295</v>
      </c>
      <c r="C7" s="36" t="n">
        <f aca="false">Inputs!$C$21*(1+Inputs!$C$52)^0</f>
        <v>220</v>
      </c>
      <c r="D7" s="36" t="n">
        <f aca="false">Inputs!$C$21*(1+Inputs!$C$52)^1</f>
        <v>264</v>
      </c>
      <c r="E7" s="36" t="n">
        <f aca="false">Inputs!$C$21*(1+Inputs!$C$52)^2</f>
        <v>316.8</v>
      </c>
      <c r="F7" s="36" t="n">
        <f aca="false">Inputs!$C$21*(1+Inputs!$C$52)^3</f>
        <v>380.16</v>
      </c>
      <c r="G7" s="36" t="n">
        <f aca="false">Inputs!$C$21*(1+Inputs!$C$52)^4</f>
        <v>456.192</v>
      </c>
      <c r="H7" s="36" t="n">
        <f aca="false">Inputs!$C$21*(1+Inputs!$C$52)^5</f>
        <v>547.4304</v>
      </c>
      <c r="I7" s="36" t="n">
        <f aca="false">Inputs!$C$21*(1+Inputs!$C$52)^6</f>
        <v>656.91648</v>
      </c>
      <c r="J7" s="36" t="n">
        <f aca="false">Inputs!$C$21*(1+Inputs!$C$52)^7</f>
        <v>788.299776</v>
      </c>
      <c r="K7" s="36" t="n">
        <f aca="false">Inputs!$C$21*(1+Inputs!$C$52)^8</f>
        <v>945.9597312</v>
      </c>
      <c r="L7" s="36" t="n">
        <f aca="false">Inputs!$C$21*(1+Inputs!$C$52)^9</f>
        <v>1135.15167744</v>
      </c>
      <c r="M7" s="36" t="n">
        <f aca="false">Inputs!$C$21*(1+Inputs!$C$52)^10</f>
        <v>1362.182012928</v>
      </c>
    </row>
    <row r="8" customFormat="false" ht="15" hidden="false" customHeight="false" outlineLevel="0" collapsed="false">
      <c r="A8" s="1"/>
      <c r="B8" s="8" t="s">
        <v>86</v>
      </c>
      <c r="C8" s="36" t="n">
        <f aca="false">IF(C10&gt;0,C10*Inputs!$C$55,C10)</f>
        <v>0</v>
      </c>
      <c r="D8" s="36" t="n">
        <f aca="false">IF(D10&gt;0,D10*Inputs!$C$55,D10)</f>
        <v>9.9</v>
      </c>
      <c r="E8" s="36" t="n">
        <f aca="false">IF(E10&gt;0,E10*Inputs!$C$55,E10)</f>
        <v>23.76</v>
      </c>
      <c r="F8" s="36" t="n">
        <f aca="false">IF(F10&gt;0,F10*Inputs!$C$55,F10)</f>
        <v>42.768</v>
      </c>
      <c r="G8" s="36" t="n">
        <f aca="false">IF(G10&gt;0,G10*Inputs!$C$55,G10)</f>
        <v>68.4288</v>
      </c>
      <c r="H8" s="36" t="n">
        <f aca="false">IF(H10&gt;0,H10*Inputs!$C$55,H10)</f>
        <v>102.6432</v>
      </c>
      <c r="I8" s="36" t="n">
        <f aca="false">IF(I10&gt;0,I10*Inputs!$C$55,I10)</f>
        <v>123.17184</v>
      </c>
      <c r="J8" s="36" t="n">
        <f aca="false">IF(J10&gt;0,J10*Inputs!$C$55,J10)</f>
        <v>147.806208</v>
      </c>
      <c r="K8" s="36" t="n">
        <f aca="false">IF(K10&gt;0,K10*Inputs!$C$55,K10)</f>
        <v>177.3674496</v>
      </c>
      <c r="L8" s="36" t="n">
        <f aca="false">IF(L10&gt;0,L10*Inputs!$C$55,L10)</f>
        <v>212.84093952</v>
      </c>
      <c r="M8" s="36" t="n">
        <f aca="false">IF(M10&gt;0,M10*Inputs!$C$55,M10)</f>
        <v>255.409127424</v>
      </c>
    </row>
    <row r="9" customFormat="false" ht="15" hidden="false" customHeight="false" outlineLevel="0" collapsed="false">
      <c r="A9" s="1"/>
      <c r="B9" s="8" t="s">
        <v>228</v>
      </c>
      <c r="C9" s="34" t="n">
        <f aca="false">MIN(Inputs!$C$53*0,Inputs!$C$54)</f>
        <v>0</v>
      </c>
      <c r="D9" s="34" t="n">
        <f aca="false">MIN(Inputs!$C$53*1,Inputs!$C$54)</f>
        <v>0.05</v>
      </c>
      <c r="E9" s="34" t="n">
        <f aca="false">MIN(Inputs!$C$53*2,Inputs!$C$54)</f>
        <v>0.1</v>
      </c>
      <c r="F9" s="34" t="n">
        <f aca="false">MIN(Inputs!$C$53*3,Inputs!$C$54)</f>
        <v>0.15</v>
      </c>
      <c r="G9" s="34" t="n">
        <f aca="false">MIN(Inputs!$C$53*4,Inputs!$C$54)</f>
        <v>0.2</v>
      </c>
      <c r="H9" s="34" t="n">
        <f aca="false">MIN(Inputs!$C$53*5,Inputs!$C$54)</f>
        <v>0.25</v>
      </c>
      <c r="I9" s="34" t="n">
        <f aca="false">MIN(Inputs!$C$53*6,Inputs!$C$54)</f>
        <v>0.25</v>
      </c>
      <c r="J9" s="34" t="n">
        <f aca="false">MIN(Inputs!$C$53*7,Inputs!$C$54)</f>
        <v>0.25</v>
      </c>
      <c r="K9" s="34" t="n">
        <f aca="false">MIN(Inputs!$C$53*8,Inputs!$C$54)</f>
        <v>0.25</v>
      </c>
      <c r="L9" s="34" t="n">
        <f aca="false">MIN(Inputs!$C$53*9,Inputs!$C$54)</f>
        <v>0.25</v>
      </c>
      <c r="M9" s="34" t="n">
        <f aca="false">MIN(Inputs!$C$53*10,Inputs!$C$54)</f>
        <v>0.25</v>
      </c>
    </row>
    <row r="10" customFormat="false" ht="15" hidden="false" customHeight="false" outlineLevel="0" collapsed="false">
      <c r="A10" s="1"/>
      <c r="B10" s="8" t="s">
        <v>85</v>
      </c>
      <c r="C10" s="36" t="n">
        <f aca="false">C7*C9</f>
        <v>0</v>
      </c>
      <c r="D10" s="36" t="n">
        <f aca="false">D7*D9</f>
        <v>13.2</v>
      </c>
      <c r="E10" s="36" t="n">
        <f aca="false">E7*E9</f>
        <v>31.68</v>
      </c>
      <c r="F10" s="36" t="n">
        <f aca="false">F7*F9</f>
        <v>57.024</v>
      </c>
      <c r="G10" s="36" t="n">
        <f aca="false">G7*G9</f>
        <v>91.2384</v>
      </c>
      <c r="H10" s="36" t="n">
        <f aca="false">H7*H9</f>
        <v>136.8576</v>
      </c>
      <c r="I10" s="36" t="n">
        <f aca="false">I7*I9</f>
        <v>164.22912</v>
      </c>
      <c r="J10" s="36" t="n">
        <f aca="false">J7*J9</f>
        <v>197.074944</v>
      </c>
      <c r="K10" s="36" t="n">
        <f aca="false">K7*K9</f>
        <v>236.4899328</v>
      </c>
      <c r="L10" s="36" t="n">
        <f aca="false">L7*L9</f>
        <v>283.78791936</v>
      </c>
      <c r="M10" s="36" t="n">
        <f aca="false">M7*M9</f>
        <v>340.545503232</v>
      </c>
    </row>
    <row r="11" customFormat="false" ht="15" hidden="false" customHeight="false" outlineLevel="0" collapsed="false">
      <c r="A11" s="1"/>
      <c r="B11" s="8" t="s">
        <v>229</v>
      </c>
      <c r="C11" s="36" t="n">
        <f aca="false">C8*Inputs!$C$56</f>
        <v>0</v>
      </c>
      <c r="D11" s="36" t="n">
        <f aca="false">D8*Inputs!$C$56</f>
        <v>9.9</v>
      </c>
      <c r="E11" s="36" t="n">
        <f aca="false">E8*Inputs!$C$56</f>
        <v>23.76</v>
      </c>
      <c r="F11" s="36" t="n">
        <f aca="false">F8*Inputs!$C$56</f>
        <v>42.768</v>
      </c>
      <c r="G11" s="36" t="n">
        <f aca="false">G8*Inputs!$C$56</f>
        <v>68.4288</v>
      </c>
      <c r="H11" s="36" t="n">
        <f aca="false">H8*Inputs!$C$56</f>
        <v>102.6432</v>
      </c>
      <c r="I11" s="36" t="n">
        <f aca="false">I8*Inputs!$C$56</f>
        <v>123.17184</v>
      </c>
      <c r="J11" s="36" t="n">
        <f aca="false">J8*Inputs!$C$56</f>
        <v>147.806208</v>
      </c>
      <c r="K11" s="36" t="n">
        <f aca="false">K8*Inputs!$C$56</f>
        <v>177.3674496</v>
      </c>
      <c r="L11" s="36" t="n">
        <f aca="false">L8*Inputs!$C$56</f>
        <v>212.84093952</v>
      </c>
      <c r="M11" s="36" t="n">
        <f aca="false">M8*Inputs!$C$56</f>
        <v>255.409127424</v>
      </c>
    </row>
    <row r="12" customFormat="false" ht="15" hidden="false" customHeight="false" outlineLevel="0" collapsed="false">
      <c r="A12" s="1"/>
      <c r="B12" s="8" t="s">
        <v>296</v>
      </c>
      <c r="C12" s="36" t="n">
        <f aca="false">Inputs!$C$30*C8</f>
        <v>0</v>
      </c>
      <c r="D12" s="36" t="n">
        <f aca="false">Inputs!$C$30*D8</f>
        <v>2.475</v>
      </c>
      <c r="E12" s="36" t="n">
        <f aca="false">Inputs!$C$30*E8</f>
        <v>5.94</v>
      </c>
      <c r="F12" s="36" t="n">
        <f aca="false">Inputs!$C$30*F8</f>
        <v>10.692</v>
      </c>
      <c r="G12" s="36" t="n">
        <f aca="false">Inputs!$C$30*G8</f>
        <v>17.1072</v>
      </c>
      <c r="H12" s="36" t="n">
        <f aca="false">Inputs!$C$30*H8</f>
        <v>25.6608</v>
      </c>
      <c r="I12" s="36" t="n">
        <f aca="false">Inputs!$C$30*I8</f>
        <v>30.79296</v>
      </c>
      <c r="J12" s="36" t="n">
        <f aca="false">Inputs!$C$30*J8</f>
        <v>36.951552</v>
      </c>
      <c r="K12" s="36" t="n">
        <f aca="false">Inputs!$C$30*K8</f>
        <v>44.3418624</v>
      </c>
      <c r="L12" s="36" t="n">
        <f aca="false">Inputs!$C$30*L8</f>
        <v>53.21023488</v>
      </c>
      <c r="M12" s="36" t="n">
        <f aca="false">Inputs!$C$30*M8</f>
        <v>63.852281856</v>
      </c>
    </row>
    <row r="13" customFormat="false" ht="15" hidden="false" customHeight="fals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customFormat="false" ht="15" hidden="false" customHeight="false" outlineLevel="0" collapsed="false">
      <c r="A14" s="1"/>
      <c r="B14" s="24" t="s">
        <v>297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</row>
    <row r="15" customFormat="false" ht="15" hidden="false" customHeight="false" outlineLevel="0" collapsed="false">
      <c r="A15" s="1"/>
      <c r="B15" s="8" t="s">
        <v>298</v>
      </c>
      <c r="C15" s="20" t="n">
        <f aca="false">Inputs!$C$57</f>
        <v>0.375</v>
      </c>
      <c r="D15" s="8" t="s">
        <v>299</v>
      </c>
      <c r="E15" s="20" t="n">
        <f aca="false">Inputs!$C$58</f>
        <v>0.5</v>
      </c>
      <c r="F15" s="1"/>
      <c r="G15" s="1"/>
      <c r="H15" s="1"/>
      <c r="I15" s="1"/>
      <c r="J15" s="1"/>
      <c r="K15" s="1"/>
      <c r="L15" s="1"/>
      <c r="M15" s="1"/>
    </row>
    <row r="16" customFormat="false" ht="15" hidden="false" customHeight="false" outlineLevel="0" collapsed="false">
      <c r="A16" s="1"/>
      <c r="B16" s="16" t="s">
        <v>227</v>
      </c>
      <c r="C16" s="16" t="s">
        <v>284</v>
      </c>
      <c r="D16" s="16" t="s">
        <v>285</v>
      </c>
      <c r="E16" s="16" t="s">
        <v>286</v>
      </c>
      <c r="F16" s="16" t="s">
        <v>287</v>
      </c>
      <c r="G16" s="16" t="s">
        <v>288</v>
      </c>
      <c r="H16" s="16" t="s">
        <v>289</v>
      </c>
      <c r="I16" s="16" t="s">
        <v>290</v>
      </c>
      <c r="J16" s="16" t="s">
        <v>291</v>
      </c>
      <c r="K16" s="16" t="s">
        <v>292</v>
      </c>
      <c r="L16" s="16" t="s">
        <v>293</v>
      </c>
      <c r="M16" s="16" t="s">
        <v>294</v>
      </c>
    </row>
    <row r="17" customFormat="false" ht="15" hidden="false" customHeight="false" outlineLevel="0" collapsed="false">
      <c r="A17" s="1"/>
      <c r="B17" s="8" t="s">
        <v>300</v>
      </c>
      <c r="C17" s="36" t="n">
        <f aca="false">C7</f>
        <v>220</v>
      </c>
      <c r="D17" s="36" t="n">
        <f aca="false">D7</f>
        <v>264</v>
      </c>
      <c r="E17" s="36" t="n">
        <f aca="false">E7</f>
        <v>316.8</v>
      </c>
      <c r="F17" s="36" t="n">
        <f aca="false">F7</f>
        <v>380.16</v>
      </c>
      <c r="G17" s="36" t="n">
        <f aca="false">G7</f>
        <v>456.192</v>
      </c>
      <c r="H17" s="36" t="n">
        <f aca="false">H7</f>
        <v>547.4304</v>
      </c>
      <c r="I17" s="36" t="n">
        <f aca="false">I7</f>
        <v>656.91648</v>
      </c>
      <c r="J17" s="36" t="n">
        <f aca="false">J7</f>
        <v>788.299776</v>
      </c>
      <c r="K17" s="36" t="n">
        <f aca="false">K7</f>
        <v>945.9597312</v>
      </c>
      <c r="L17" s="36" t="n">
        <f aca="false">L7</f>
        <v>1135.15167744</v>
      </c>
      <c r="M17" s="36" t="n">
        <f aca="false">M7</f>
        <v>1362.182012928</v>
      </c>
    </row>
    <row r="18" customFormat="false" ht="15" hidden="false" customHeight="false" outlineLevel="0" collapsed="false">
      <c r="A18" s="1"/>
      <c r="B18" s="8" t="s">
        <v>301</v>
      </c>
      <c r="C18" s="36" t="n">
        <f aca="false">C17*(1-IF(0&gt;=1,$C$15,0))</f>
        <v>220</v>
      </c>
      <c r="D18" s="36" t="n">
        <f aca="false">D17*(1-IF(1&gt;=1,$C$15,0))</f>
        <v>165</v>
      </c>
      <c r="E18" s="36" t="n">
        <f aca="false">E17*(1-IF(2&gt;=1,$C$15,0))</f>
        <v>198</v>
      </c>
      <c r="F18" s="36" t="n">
        <f aca="false">F17*(1-IF(3&gt;=1,$C$15,0))</f>
        <v>237.6</v>
      </c>
      <c r="G18" s="36" t="n">
        <f aca="false">G17*(1-IF(4&gt;=1,$C$15,0))</f>
        <v>285.12</v>
      </c>
      <c r="H18" s="36" t="n">
        <f aca="false">H17*(1-IF(5&gt;=1,$C$15,0))</f>
        <v>342.144</v>
      </c>
      <c r="I18" s="36" t="n">
        <f aca="false">I17*(1-IF(6&gt;=1,$C$15,0))</f>
        <v>410.5728</v>
      </c>
      <c r="J18" s="36" t="n">
        <f aca="false">J17*(1-IF(7&gt;=1,$C$15,0))</f>
        <v>492.68736</v>
      </c>
      <c r="K18" s="36" t="n">
        <f aca="false">K17*(1-IF(8&gt;=1,$C$15,0))</f>
        <v>591.224832</v>
      </c>
      <c r="L18" s="36" t="n">
        <f aca="false">L17*(1-IF(9&gt;=1,$C$15,0))</f>
        <v>709.4697984</v>
      </c>
      <c r="M18" s="36" t="n">
        <f aca="false">M17*(1-IF(10&gt;=1,$C$15,0))</f>
        <v>851.36375808</v>
      </c>
    </row>
    <row r="19" customFormat="false" ht="15" hidden="false" customHeight="false" outlineLevel="0" collapsed="false">
      <c r="A19" s="1"/>
      <c r="B19" s="8" t="s">
        <v>302</v>
      </c>
      <c r="C19" s="36" t="n">
        <f aca="false">C17-C18</f>
        <v>0</v>
      </c>
      <c r="D19" s="36" t="n">
        <f aca="false">D17-D18</f>
        <v>99</v>
      </c>
      <c r="E19" s="36" t="n">
        <f aca="false">E17-E18</f>
        <v>118.8</v>
      </c>
      <c r="F19" s="36" t="n">
        <f aca="false">F17-F18</f>
        <v>142.56</v>
      </c>
      <c r="G19" s="36" t="n">
        <f aca="false">G17-G18</f>
        <v>171.072</v>
      </c>
      <c r="H19" s="36" t="n">
        <f aca="false">H17-H18</f>
        <v>205.2864</v>
      </c>
      <c r="I19" s="36" t="n">
        <f aca="false">I17-I18</f>
        <v>246.34368</v>
      </c>
      <c r="J19" s="36" t="n">
        <f aca="false">J17-J18</f>
        <v>295.612416</v>
      </c>
      <c r="K19" s="36" t="n">
        <f aca="false">K17-K18</f>
        <v>354.7348992</v>
      </c>
      <c r="L19" s="36" t="n">
        <f aca="false">L17-L18</f>
        <v>425.68187904</v>
      </c>
      <c r="M19" s="36" t="n">
        <f aca="false">M17-M18</f>
        <v>510.818254848</v>
      </c>
    </row>
    <row r="20" customFormat="false" ht="15" hidden="false" customHeight="false" outlineLevel="0" collapsed="false">
      <c r="A20" s="1"/>
      <c r="B20" s="8" t="s">
        <v>228</v>
      </c>
      <c r="C20" s="34" t="n">
        <f aca="false">C9</f>
        <v>0</v>
      </c>
      <c r="D20" s="34" t="n">
        <f aca="false">D9</f>
        <v>0.05</v>
      </c>
      <c r="E20" s="34" t="n">
        <f aca="false">E9</f>
        <v>0.1</v>
      </c>
      <c r="F20" s="34" t="n">
        <f aca="false">F9</f>
        <v>0.15</v>
      </c>
      <c r="G20" s="34" t="n">
        <f aca="false">G9</f>
        <v>0.2</v>
      </c>
      <c r="H20" s="34" t="n">
        <f aca="false">H9</f>
        <v>0.25</v>
      </c>
      <c r="I20" s="34" t="n">
        <f aca="false">I9</f>
        <v>0.25</v>
      </c>
      <c r="J20" s="34" t="n">
        <f aca="false">J9</f>
        <v>0.25</v>
      </c>
      <c r="K20" s="34" t="n">
        <f aca="false">K9</f>
        <v>0.25</v>
      </c>
      <c r="L20" s="34" t="n">
        <f aca="false">L9</f>
        <v>0.25</v>
      </c>
      <c r="M20" s="34" t="n">
        <f aca="false">M9</f>
        <v>0.25</v>
      </c>
    </row>
    <row r="21" customFormat="false" ht="15" hidden="false" customHeight="false" outlineLevel="0" collapsed="false">
      <c r="A21" s="1"/>
      <c r="B21" s="8" t="s">
        <v>303</v>
      </c>
      <c r="C21" s="36" t="n">
        <f aca="false">C18*C20</f>
        <v>0</v>
      </c>
      <c r="D21" s="36" t="n">
        <f aca="false">D18*D20</f>
        <v>8.25</v>
      </c>
      <c r="E21" s="36" t="n">
        <f aca="false">E18*E20</f>
        <v>19.8</v>
      </c>
      <c r="F21" s="36" t="n">
        <f aca="false">F18*F20</f>
        <v>35.64</v>
      </c>
      <c r="G21" s="36" t="n">
        <f aca="false">G18*G20</f>
        <v>57.024</v>
      </c>
      <c r="H21" s="36" t="n">
        <f aca="false">H18*H20</f>
        <v>85.536</v>
      </c>
      <c r="I21" s="36" t="n">
        <f aca="false">I18*I20</f>
        <v>102.6432</v>
      </c>
      <c r="J21" s="36" t="n">
        <f aca="false">J18*J20</f>
        <v>123.17184</v>
      </c>
      <c r="K21" s="36" t="n">
        <f aca="false">K18*K20</f>
        <v>147.806208</v>
      </c>
      <c r="L21" s="36" t="n">
        <f aca="false">L18*L20</f>
        <v>177.3674496</v>
      </c>
      <c r="M21" s="36" t="n">
        <f aca="false">M18*M20</f>
        <v>212.84093952</v>
      </c>
    </row>
    <row r="22" customFormat="false" ht="15" hidden="false" customHeight="false" outlineLevel="0" collapsed="false">
      <c r="A22" s="1"/>
      <c r="B22" s="8" t="s">
        <v>304</v>
      </c>
      <c r="C22" s="36" t="n">
        <f aca="false">IF(0=1,$E$15*C19,0)</f>
        <v>0</v>
      </c>
      <c r="D22" s="36" t="n">
        <f aca="false">IF(1=1,$E$15*D19,0)</f>
        <v>49.5</v>
      </c>
      <c r="E22" s="36" t="n">
        <f aca="false">IF(2=1,$E$15*E19,0)</f>
        <v>0</v>
      </c>
      <c r="F22" s="36" t="n">
        <f aca="false">IF(3=1,$E$15*F19,0)</f>
        <v>0</v>
      </c>
      <c r="G22" s="36" t="n">
        <f aca="false">IF(4=1,$E$15*G19,0)</f>
        <v>0</v>
      </c>
      <c r="H22" s="36" t="n">
        <f aca="false">IF(5=1,$E$15*H19,0)</f>
        <v>0</v>
      </c>
      <c r="I22" s="36" t="n">
        <f aca="false">IF(6=1,$E$15*I19,0)</f>
        <v>0</v>
      </c>
      <c r="J22" s="36" t="n">
        <f aca="false">IF(7=1,$E$15*J19,0)</f>
        <v>0</v>
      </c>
      <c r="K22" s="36" t="n">
        <f aca="false">IF(8=1,$E$15*K19,0)</f>
        <v>0</v>
      </c>
      <c r="L22" s="36" t="n">
        <f aca="false">IF(9=1,$E$15*L19,0)</f>
        <v>0</v>
      </c>
      <c r="M22" s="36" t="n">
        <f aca="false">IF(10=1,$E$15*M19,0)</f>
        <v>0</v>
      </c>
    </row>
    <row r="23" customFormat="false" ht="15" hidden="false" customHeight="false" outlineLevel="0" collapsed="false">
      <c r="A23" s="1"/>
      <c r="B23" s="8" t="s">
        <v>85</v>
      </c>
      <c r="C23" s="36" t="n">
        <f aca="false">C21-C22</f>
        <v>0</v>
      </c>
      <c r="D23" s="36" t="n">
        <f aca="false">D21-D22</f>
        <v>-41.25</v>
      </c>
      <c r="E23" s="36" t="n">
        <f aca="false">E21-E22</f>
        <v>19.8</v>
      </c>
      <c r="F23" s="36" t="n">
        <f aca="false">F21-F22</f>
        <v>35.64</v>
      </c>
      <c r="G23" s="36" t="n">
        <f aca="false">G21-G22</f>
        <v>57.024</v>
      </c>
      <c r="H23" s="36" t="n">
        <f aca="false">H21-H22</f>
        <v>85.536</v>
      </c>
      <c r="I23" s="36" t="n">
        <f aca="false">I21-I22</f>
        <v>102.6432</v>
      </c>
      <c r="J23" s="36" t="n">
        <f aca="false">J21-J22</f>
        <v>123.17184</v>
      </c>
      <c r="K23" s="36" t="n">
        <f aca="false">K21-K22</f>
        <v>147.806208</v>
      </c>
      <c r="L23" s="36" t="n">
        <f aca="false">L21-L22</f>
        <v>177.3674496</v>
      </c>
      <c r="M23" s="36" t="n">
        <f aca="false">M21-M22</f>
        <v>212.84093952</v>
      </c>
    </row>
    <row r="24" customFormat="false" ht="15" hidden="false" customHeight="false" outlineLevel="0" collapsed="false">
      <c r="A24" s="1"/>
      <c r="B24" s="8" t="s">
        <v>305</v>
      </c>
      <c r="C24" s="36" t="n">
        <f aca="false">IF(C23&gt;0,C23*Inputs!$C$55,C23)</f>
        <v>0</v>
      </c>
      <c r="D24" s="36" t="n">
        <f aca="false">IF(D23&gt;0,D23*Inputs!$C$55,D23)</f>
        <v>-41.25</v>
      </c>
      <c r="E24" s="36" t="n">
        <f aca="false">IF(E23&gt;0,E23*Inputs!$C$55,E23)</f>
        <v>14.85</v>
      </c>
      <c r="F24" s="36" t="n">
        <f aca="false">IF(F23&gt;0,F23*Inputs!$C$55,F23)</f>
        <v>26.73</v>
      </c>
      <c r="G24" s="36" t="n">
        <f aca="false">IF(G23&gt;0,G23*Inputs!$C$55,G23)</f>
        <v>42.768</v>
      </c>
      <c r="H24" s="36" t="n">
        <f aca="false">IF(H23&gt;0,H23*Inputs!$C$55,H23)</f>
        <v>64.152</v>
      </c>
      <c r="I24" s="36" t="n">
        <f aca="false">IF(I23&gt;0,I23*Inputs!$C$55,I23)</f>
        <v>76.9824</v>
      </c>
      <c r="J24" s="36" t="n">
        <f aca="false">IF(J23&gt;0,J23*Inputs!$C$55,J23)</f>
        <v>92.37888</v>
      </c>
      <c r="K24" s="36" t="n">
        <f aca="false">IF(K23&gt;0,K23*Inputs!$C$55,K23)</f>
        <v>110.854656</v>
      </c>
      <c r="L24" s="36" t="n">
        <f aca="false">IF(L23&gt;0,L23*Inputs!$C$55,L23)</f>
        <v>133.0255872</v>
      </c>
      <c r="M24" s="36" t="n">
        <f aca="false">IF(M23&gt;0,M23*Inputs!$C$55,M23)</f>
        <v>159.63070464</v>
      </c>
    </row>
    <row r="25" customFormat="false" ht="15" hidden="false" customHeight="false" outlineLevel="0" collapsed="false">
      <c r="A25" s="1"/>
      <c r="B25" s="8" t="s">
        <v>306</v>
      </c>
      <c r="C25" s="1"/>
      <c r="D25" s="45" t="n">
        <f aca="false">D24</f>
        <v>-41.25</v>
      </c>
      <c r="E25" s="1"/>
      <c r="F25" s="1"/>
      <c r="G25" s="1"/>
      <c r="H25" s="1"/>
      <c r="I25" s="1"/>
      <c r="J25" s="1"/>
      <c r="K25" s="1"/>
      <c r="L25" s="1"/>
      <c r="M25" s="1"/>
    </row>
    <row r="26" customFormat="false" ht="15" hidden="false" customHeight="false" outlineLevel="0" collapsed="false">
      <c r="A26" s="1"/>
      <c r="B26" s="8" t="s">
        <v>229</v>
      </c>
      <c r="C26" s="36" t="n">
        <f aca="false">C24*Inputs!$C$56</f>
        <v>0</v>
      </c>
      <c r="D26" s="36" t="n">
        <f aca="false">D24*Inputs!$C$56</f>
        <v>-41.25</v>
      </c>
      <c r="E26" s="36" t="n">
        <f aca="false">E24*Inputs!$C$56</f>
        <v>14.85</v>
      </c>
      <c r="F26" s="36" t="n">
        <f aca="false">F24*Inputs!$C$56</f>
        <v>26.73</v>
      </c>
      <c r="G26" s="36" t="n">
        <f aca="false">G24*Inputs!$C$56</f>
        <v>42.768</v>
      </c>
      <c r="H26" s="36" t="n">
        <f aca="false">H24*Inputs!$C$56</f>
        <v>64.152</v>
      </c>
      <c r="I26" s="36" t="n">
        <f aca="false">I24*Inputs!$C$56</f>
        <v>76.9824</v>
      </c>
      <c r="J26" s="36" t="n">
        <f aca="false">J24*Inputs!$C$56</f>
        <v>92.37888</v>
      </c>
      <c r="K26" s="36" t="n">
        <f aca="false">K24*Inputs!$C$56</f>
        <v>110.854656</v>
      </c>
      <c r="L26" s="36" t="n">
        <f aca="false">L24*Inputs!$C$56</f>
        <v>133.0255872</v>
      </c>
      <c r="M26" s="36" t="n">
        <f aca="false">M24*Inputs!$C$56</f>
        <v>159.63070464</v>
      </c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customFormat="false" ht="15" hidden="false" customHeight="false" outlineLevel="0" collapsed="false">
      <c r="A28" s="1"/>
      <c r="B28" s="24" t="s">
        <v>307</v>
      </c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</row>
    <row r="29" customFormat="false" ht="15" hidden="false" customHeight="false" outlineLevel="0" collapsed="false">
      <c r="A29" s="1"/>
      <c r="B29" s="8" t="s">
        <v>308</v>
      </c>
      <c r="C29" s="20" t="n">
        <f aca="false">Inputs!$C$62</f>
        <v>0.2</v>
      </c>
      <c r="D29" s="1"/>
      <c r="E29" s="1"/>
      <c r="F29" s="1"/>
      <c r="G29" s="1"/>
      <c r="H29" s="1"/>
      <c r="I29" s="1"/>
      <c r="J29" s="1"/>
      <c r="K29" s="1"/>
      <c r="L29" s="1"/>
      <c r="M29" s="1"/>
    </row>
    <row r="30" customFormat="false" ht="15" hidden="false" customHeight="false" outlineLevel="0" collapsed="false">
      <c r="A30" s="1"/>
      <c r="B30" s="16" t="s">
        <v>227</v>
      </c>
      <c r="C30" s="16" t="s">
        <v>284</v>
      </c>
      <c r="D30" s="16" t="s">
        <v>285</v>
      </c>
      <c r="E30" s="16" t="s">
        <v>286</v>
      </c>
      <c r="F30" s="16" t="s">
        <v>287</v>
      </c>
      <c r="G30" s="16" t="s">
        <v>288</v>
      </c>
      <c r="H30" s="16" t="s">
        <v>289</v>
      </c>
      <c r="I30" s="16" t="s">
        <v>290</v>
      </c>
      <c r="J30" s="16" t="s">
        <v>291</v>
      </c>
      <c r="K30" s="16" t="s">
        <v>292</v>
      </c>
      <c r="L30" s="16" t="s">
        <v>293</v>
      </c>
      <c r="M30" s="16" t="s">
        <v>294</v>
      </c>
    </row>
    <row r="31" customFormat="false" ht="15" hidden="false" customHeight="false" outlineLevel="0" collapsed="false">
      <c r="A31" s="1"/>
      <c r="B31" s="8" t="s">
        <v>301</v>
      </c>
      <c r="C31" s="36" t="n">
        <f aca="false">C7*(1-IF(0&gt;=2,$C$29,0))</f>
        <v>220</v>
      </c>
      <c r="D31" s="36" t="n">
        <f aca="false">D7*(1-IF(1&gt;=2,$C$29,0))</f>
        <v>264</v>
      </c>
      <c r="E31" s="36" t="n">
        <f aca="false">E7*(1-IF(2&gt;=2,$C$29,0))</f>
        <v>253.44</v>
      </c>
      <c r="F31" s="36" t="n">
        <f aca="false">F7*(1-IF(3&gt;=2,$C$29,0))</f>
        <v>304.128</v>
      </c>
      <c r="G31" s="36" t="n">
        <f aca="false">G7*(1-IF(4&gt;=2,$C$29,0))</f>
        <v>364.9536</v>
      </c>
      <c r="H31" s="36" t="n">
        <f aca="false">H7*(1-IF(5&gt;=2,$C$29,0))</f>
        <v>437.94432</v>
      </c>
      <c r="I31" s="36" t="n">
        <f aca="false">I7*(1-IF(6&gt;=2,$C$29,0))</f>
        <v>525.533184</v>
      </c>
      <c r="J31" s="36" t="n">
        <f aca="false">J7*(1-IF(7&gt;=2,$C$29,0))</f>
        <v>630.6398208</v>
      </c>
      <c r="K31" s="36" t="n">
        <f aca="false">K7*(1-IF(8&gt;=2,$C$29,0))</f>
        <v>756.76778496</v>
      </c>
      <c r="L31" s="36" t="n">
        <f aca="false">L7*(1-IF(9&gt;=2,$C$29,0))</f>
        <v>908.121341952</v>
      </c>
      <c r="M31" s="36" t="n">
        <f aca="false">M7*(1-IF(10&gt;=2,$C$29,0))</f>
        <v>1089.7456103424</v>
      </c>
    </row>
    <row r="32" customFormat="false" ht="15" hidden="false" customHeight="false" outlineLevel="0" collapsed="false">
      <c r="A32" s="1"/>
      <c r="B32" s="8" t="s">
        <v>85</v>
      </c>
      <c r="C32" s="36" t="n">
        <f aca="false">C31*C9-IF(0=2,$E$15*(C7-C31),0)</f>
        <v>0</v>
      </c>
      <c r="D32" s="36" t="n">
        <f aca="false">D31*D9-IF(1=2,$E$15*(D7-D31),0)</f>
        <v>13.2</v>
      </c>
      <c r="E32" s="36" t="n">
        <f aca="false">E31*E9-IF(2=2,$E$15*(E7-E31),0)</f>
        <v>-6.33599999999999</v>
      </c>
      <c r="F32" s="36" t="n">
        <f aca="false">F31*F9-IF(3=2,$E$15*(F7-F31),0)</f>
        <v>45.6192</v>
      </c>
      <c r="G32" s="36" t="n">
        <f aca="false">G31*G9-IF(4=2,$E$15*(G7-G31),0)</f>
        <v>72.99072</v>
      </c>
      <c r="H32" s="36" t="n">
        <f aca="false">H31*H9-IF(5=2,$E$15*(H7-H31),0)</f>
        <v>109.48608</v>
      </c>
      <c r="I32" s="36" t="n">
        <f aca="false">I31*I9-IF(6=2,$E$15*(I7-I31),0)</f>
        <v>131.383296</v>
      </c>
      <c r="J32" s="36" t="n">
        <f aca="false">J31*J9-IF(7=2,$E$15*(J7-J31),0)</f>
        <v>157.6599552</v>
      </c>
      <c r="K32" s="36" t="n">
        <f aca="false">K31*K9-IF(8=2,$E$15*(K7-K31),0)</f>
        <v>189.19194624</v>
      </c>
      <c r="L32" s="36" t="n">
        <f aca="false">L31*L9-IF(9=2,$E$15*(L7-L31),0)</f>
        <v>227.030335488</v>
      </c>
      <c r="M32" s="36" t="n">
        <f aca="false">M31*M9-IF(10=2,$E$15*(M7-M31),0)</f>
        <v>272.4364025856</v>
      </c>
    </row>
    <row r="33" customFormat="false" ht="15" hidden="false" customHeight="false" outlineLevel="0" collapsed="false">
      <c r="A33" s="1"/>
      <c r="B33" s="8" t="s">
        <v>86</v>
      </c>
      <c r="C33" s="36" t="n">
        <f aca="false">IF(C32&gt;0,C32*Inputs!$C$55,C32)</f>
        <v>0</v>
      </c>
      <c r="D33" s="36" t="n">
        <f aca="false">IF(D32&gt;0,D32*Inputs!$C$55,D32)</f>
        <v>9.9</v>
      </c>
      <c r="E33" s="36" t="n">
        <f aca="false">IF(E32&gt;0,E32*Inputs!$C$55,E32)</f>
        <v>-6.33599999999999</v>
      </c>
      <c r="F33" s="36" t="n">
        <f aca="false">IF(F32&gt;0,F32*Inputs!$C$55,F32)</f>
        <v>34.2144</v>
      </c>
      <c r="G33" s="36" t="n">
        <f aca="false">IF(G32&gt;0,G32*Inputs!$C$55,G32)</f>
        <v>54.74304</v>
      </c>
      <c r="H33" s="36" t="n">
        <f aca="false">IF(H32&gt;0,H32*Inputs!$C$55,H32)</f>
        <v>82.11456</v>
      </c>
      <c r="I33" s="36" t="n">
        <f aca="false">IF(I32&gt;0,I32*Inputs!$C$55,I32)</f>
        <v>98.537472</v>
      </c>
      <c r="J33" s="36" t="n">
        <f aca="false">IF(J32&gt;0,J32*Inputs!$C$55,J32)</f>
        <v>118.2449664</v>
      </c>
      <c r="K33" s="36" t="n">
        <f aca="false">IF(K32&gt;0,K32*Inputs!$C$55,K32)</f>
        <v>141.89395968</v>
      </c>
      <c r="L33" s="36" t="n">
        <f aca="false">IF(L32&gt;0,L32*Inputs!$C$55,L32)</f>
        <v>170.272751616</v>
      </c>
      <c r="M33" s="36" t="n">
        <f aca="false">IF(M32&gt;0,M32*Inputs!$C$55,M32)</f>
        <v>204.3273019392</v>
      </c>
    </row>
    <row r="34" customFormat="false" ht="15" hidden="false" customHeight="false" outlineLevel="0" collapsed="false">
      <c r="A34" s="1"/>
      <c r="B34" s="8" t="s">
        <v>229</v>
      </c>
      <c r="C34" s="36" t="n">
        <f aca="false">C33*Inputs!$C$56</f>
        <v>0</v>
      </c>
      <c r="D34" s="36" t="n">
        <f aca="false">D33*Inputs!$C$56</f>
        <v>9.9</v>
      </c>
      <c r="E34" s="36" t="n">
        <f aca="false">E33*Inputs!$C$56</f>
        <v>-6.33599999999999</v>
      </c>
      <c r="F34" s="36" t="n">
        <f aca="false">F33*Inputs!$C$56</f>
        <v>34.2144</v>
      </c>
      <c r="G34" s="36" t="n">
        <f aca="false">G33*Inputs!$C$56</f>
        <v>54.74304</v>
      </c>
      <c r="H34" s="36" t="n">
        <f aca="false">H33*Inputs!$C$56</f>
        <v>82.11456</v>
      </c>
      <c r="I34" s="36" t="n">
        <f aca="false">I33*Inputs!$C$56</f>
        <v>98.537472</v>
      </c>
      <c r="J34" s="36" t="n">
        <f aca="false">J33*Inputs!$C$56</f>
        <v>118.2449664</v>
      </c>
      <c r="K34" s="36" t="n">
        <f aca="false">K33*Inputs!$C$56</f>
        <v>141.89395968</v>
      </c>
      <c r="L34" s="36" t="n">
        <f aca="false">L33*Inputs!$C$56</f>
        <v>170.272751616</v>
      </c>
      <c r="M34" s="36" t="n">
        <f aca="false">M33*Inputs!$C$56</f>
        <v>204.3273019392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12" min="3" style="0" width="12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7.35" hidden="false" customHeight="false" outlineLevel="0" collapsed="false">
      <c r="A2" s="1"/>
      <c r="B2" s="15" t="s">
        <v>15</v>
      </c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15" hidden="false" customHeight="false" outlineLevel="0" collapsed="false">
      <c r="A3" s="1"/>
      <c r="B3" s="4" t="s">
        <v>309</v>
      </c>
      <c r="C3" s="1"/>
      <c r="D3" s="1"/>
      <c r="E3" s="1"/>
      <c r="F3" s="1"/>
      <c r="G3" s="1"/>
      <c r="H3" s="1"/>
      <c r="I3" s="1"/>
      <c r="J3" s="1"/>
      <c r="K3" s="1"/>
      <c r="L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customFormat="false" ht="15" hidden="false" customHeight="false" outlineLevel="0" collapsed="false">
      <c r="A5" s="1"/>
      <c r="B5" s="24" t="s">
        <v>310</v>
      </c>
      <c r="C5" s="25"/>
      <c r="D5" s="25"/>
      <c r="E5" s="25"/>
      <c r="F5" s="25"/>
      <c r="G5" s="25"/>
      <c r="H5" s="25"/>
      <c r="I5" s="25"/>
      <c r="J5" s="25"/>
      <c r="K5" s="25"/>
      <c r="L5" s="25"/>
    </row>
    <row r="6" customFormat="false" ht="15" hidden="false" customHeight="false" outlineLevel="0" collapsed="false">
      <c r="A6" s="1"/>
      <c r="B6" s="16" t="s">
        <v>311</v>
      </c>
      <c r="C6" s="16" t="s">
        <v>285</v>
      </c>
      <c r="D6" s="16" t="s">
        <v>286</v>
      </c>
      <c r="E6" s="16" t="s">
        <v>287</v>
      </c>
      <c r="F6" s="16" t="s">
        <v>288</v>
      </c>
      <c r="G6" s="16" t="s">
        <v>289</v>
      </c>
      <c r="H6" s="16" t="s">
        <v>290</v>
      </c>
      <c r="I6" s="16" t="s">
        <v>291</v>
      </c>
      <c r="J6" s="16" t="s">
        <v>292</v>
      </c>
      <c r="K6" s="16" t="s">
        <v>293</v>
      </c>
      <c r="L6" s="16" t="s">
        <v>294</v>
      </c>
    </row>
    <row r="7" customFormat="false" ht="15" hidden="false" customHeight="false" outlineLevel="0" collapsed="false">
      <c r="A7" s="1"/>
      <c r="B7" s="8" t="s">
        <v>312</v>
      </c>
      <c r="C7" s="44" t="n">
        <f aca="false">'Liminal Projection'!D24</f>
        <v>-41.25</v>
      </c>
      <c r="D7" s="44" t="n">
        <f aca="false">'Liminal Projection'!E24</f>
        <v>14.85</v>
      </c>
      <c r="E7" s="44" t="n">
        <f aca="false">'Liminal Projection'!F24</f>
        <v>26.73</v>
      </c>
      <c r="F7" s="44" t="n">
        <f aca="false">'Liminal Projection'!G24</f>
        <v>42.768</v>
      </c>
      <c r="G7" s="44" t="n">
        <f aca="false">'Liminal Projection'!H24</f>
        <v>64.152</v>
      </c>
      <c r="H7" s="44" t="n">
        <f aca="false">'Liminal Projection'!I24</f>
        <v>76.9824</v>
      </c>
      <c r="I7" s="44" t="n">
        <f aca="false">'Liminal Projection'!J24</f>
        <v>92.37888</v>
      </c>
      <c r="J7" s="44" t="n">
        <f aca="false">'Liminal Projection'!K24</f>
        <v>110.854656</v>
      </c>
      <c r="K7" s="44" t="n">
        <f aca="false">'Liminal Projection'!L24</f>
        <v>133.0255872</v>
      </c>
      <c r="L7" s="44" t="n">
        <f aca="false">'Liminal Projection'!M24</f>
        <v>159.63070464</v>
      </c>
    </row>
    <row r="8" customFormat="false" ht="15" hidden="false" customHeight="false" outlineLevel="0" collapsed="false">
      <c r="A8" s="1"/>
      <c r="B8" s="8" t="s">
        <v>313</v>
      </c>
      <c r="C8" s="36" t="n">
        <f aca="false">-Inputs!$C$19*Inputs!$C$43*(1-Inputs!$C$45)</f>
        <v>-94.5</v>
      </c>
      <c r="D8" s="36" t="n">
        <f aca="false">-Inputs!$C$19*Inputs!$C$43*(1-Inputs!$C$45)</f>
        <v>-94.5</v>
      </c>
      <c r="E8" s="36" t="n">
        <f aca="false">-Inputs!$C$19*Inputs!$C$43*(1-Inputs!$C$45)</f>
        <v>-94.5</v>
      </c>
      <c r="F8" s="36" t="n">
        <f aca="false">-Inputs!$C$19*Inputs!$C$43*(1-Inputs!$C$45)</f>
        <v>-94.5</v>
      </c>
      <c r="G8" s="36" t="n">
        <f aca="false">-Inputs!$C$19*Inputs!$C$43*(1-Inputs!$C$45)</f>
        <v>-94.5</v>
      </c>
      <c r="H8" s="36" t="n">
        <f aca="false">-Inputs!$C$19*Inputs!$C$43*(1-Inputs!$C$45)</f>
        <v>-94.5</v>
      </c>
      <c r="I8" s="36" t="n">
        <f aca="false">-Inputs!$C$19*Inputs!$C$43*(1-Inputs!$C$45)</f>
        <v>-94.5</v>
      </c>
      <c r="J8" s="36" t="n">
        <f aca="false">-Inputs!$C$19*Inputs!$C$43*(1-Inputs!$C$45)</f>
        <v>-94.5</v>
      </c>
      <c r="K8" s="36" t="n">
        <f aca="false">-Inputs!$C$19*Inputs!$C$43*(1-Inputs!$C$45)</f>
        <v>-94.5</v>
      </c>
      <c r="L8" s="36" t="n">
        <f aca="false">-Inputs!$C$19*Inputs!$C$43*(1-Inputs!$C$45)</f>
        <v>-94.5</v>
      </c>
    </row>
    <row r="9" customFormat="false" ht="15" hidden="false" customHeight="false" outlineLevel="0" collapsed="false">
      <c r="A9" s="1"/>
      <c r="B9" s="8" t="s">
        <v>256</v>
      </c>
      <c r="C9" s="36" t="n">
        <f aca="false">-0*Inputs!$C$44*(1-Inputs!$C$45)</f>
        <v>-0</v>
      </c>
      <c r="D9" s="36" t="n">
        <f aca="false">-0*Inputs!$C$44*(1-Inputs!$C$45)</f>
        <v>-0</v>
      </c>
      <c r="E9" s="36" t="n">
        <f aca="false">-0*Inputs!$C$44*(1-Inputs!$C$45)</f>
        <v>-0</v>
      </c>
      <c r="F9" s="36" t="n">
        <f aca="false">-0*Inputs!$C$44*(1-Inputs!$C$45)</f>
        <v>-0</v>
      </c>
      <c r="G9" s="36" t="n">
        <f aca="false">-0*Inputs!$C$44*(1-Inputs!$C$45)</f>
        <v>-0</v>
      </c>
      <c r="H9" s="36" t="n">
        <f aca="false">-0*Inputs!$C$44*(1-Inputs!$C$45)</f>
        <v>-0</v>
      </c>
      <c r="I9" s="36" t="n">
        <f aca="false">-0*Inputs!$C$44*(1-Inputs!$C$45)</f>
        <v>-0</v>
      </c>
      <c r="J9" s="36" t="n">
        <f aca="false">-0*Inputs!$C$44*(1-Inputs!$C$45)</f>
        <v>-0</v>
      </c>
      <c r="K9" s="36" t="n">
        <f aca="false">-0*Inputs!$C$44*(1-Inputs!$C$45)</f>
        <v>-0</v>
      </c>
      <c r="L9" s="36" t="n">
        <f aca="false">-0*Inputs!$C$44*(1-Inputs!$C$45)</f>
        <v>-0</v>
      </c>
    </row>
    <row r="10" customFormat="false" ht="15" hidden="false" customHeight="false" outlineLevel="0" collapsed="false">
      <c r="A10" s="1"/>
      <c r="B10" s="8" t="s">
        <v>258</v>
      </c>
      <c r="C10" s="44" t="n">
        <f aca="false">Inputs!$C$64</f>
        <v>0</v>
      </c>
      <c r="D10" s="44" t="n">
        <f aca="false">Inputs!$C$64</f>
        <v>0</v>
      </c>
      <c r="E10" s="44" t="n">
        <f aca="false">Inputs!$C$64</f>
        <v>0</v>
      </c>
      <c r="F10" s="44" t="n">
        <f aca="false">Inputs!$C$64</f>
        <v>0</v>
      </c>
      <c r="G10" s="44" t="n">
        <f aca="false">Inputs!$C$64</f>
        <v>0</v>
      </c>
      <c r="H10" s="44" t="n">
        <f aca="false">Inputs!$C$64</f>
        <v>0</v>
      </c>
      <c r="I10" s="44" t="n">
        <f aca="false">Inputs!$C$64</f>
        <v>0</v>
      </c>
      <c r="J10" s="44" t="n">
        <f aca="false">Inputs!$C$64</f>
        <v>0</v>
      </c>
      <c r="K10" s="44" t="n">
        <f aca="false">Inputs!$C$64</f>
        <v>0</v>
      </c>
      <c r="L10" s="44" t="n">
        <f aca="false">Inputs!$C$64</f>
        <v>0</v>
      </c>
    </row>
    <row r="11" customFormat="false" ht="15" hidden="false" customHeight="false" outlineLevel="0" collapsed="false">
      <c r="A11" s="1"/>
      <c r="B11" s="8" t="s">
        <v>314</v>
      </c>
      <c r="C11" s="46" t="n">
        <v>0</v>
      </c>
      <c r="D11" s="46" t="n">
        <v>0</v>
      </c>
      <c r="E11" s="46" t="n">
        <v>0</v>
      </c>
      <c r="F11" s="46" t="n">
        <v>0</v>
      </c>
      <c r="G11" s="46" t="n">
        <v>0</v>
      </c>
      <c r="H11" s="46" t="n">
        <v>0</v>
      </c>
      <c r="I11" s="46" t="n">
        <v>0</v>
      </c>
      <c r="J11" s="46" t="n">
        <v>0</v>
      </c>
      <c r="K11" s="46" t="n">
        <v>0</v>
      </c>
      <c r="L11" s="46" t="n">
        <v>0</v>
      </c>
    </row>
    <row r="12" customFormat="false" ht="15" hidden="false" customHeight="false" outlineLevel="0" collapsed="false">
      <c r="A12" s="1"/>
      <c r="B12" s="41" t="s">
        <v>259</v>
      </c>
      <c r="C12" s="36" t="n">
        <f aca="false">SUM(C7:C11)</f>
        <v>-135.75</v>
      </c>
      <c r="D12" s="36" t="n">
        <f aca="false">SUM(D7:D11)</f>
        <v>-79.65</v>
      </c>
      <c r="E12" s="36" t="n">
        <f aca="false">SUM(E7:E11)</f>
        <v>-67.77</v>
      </c>
      <c r="F12" s="36" t="n">
        <f aca="false">SUM(F7:F11)</f>
        <v>-51.732</v>
      </c>
      <c r="G12" s="36" t="n">
        <f aca="false">SUM(G7:G11)</f>
        <v>-30.348</v>
      </c>
      <c r="H12" s="36" t="n">
        <f aca="false">SUM(H7:H11)</f>
        <v>-17.5176</v>
      </c>
      <c r="I12" s="36" t="n">
        <f aca="false">SUM(I7:I11)</f>
        <v>-2.12112000000002</v>
      </c>
      <c r="J12" s="36" t="n">
        <f aca="false">SUM(J7:J11)</f>
        <v>16.354656</v>
      </c>
      <c r="K12" s="36" t="n">
        <f aca="false">SUM(K7:K11)</f>
        <v>38.5255872</v>
      </c>
      <c r="L12" s="36" t="n">
        <f aca="false">SUM(L7:L11)</f>
        <v>65.13070464</v>
      </c>
    </row>
    <row r="13" customFormat="false" ht="15" hidden="false" customHeight="false" outlineLevel="0" collapsed="false">
      <c r="A13" s="1"/>
      <c r="B13" s="8" t="s">
        <v>260</v>
      </c>
      <c r="C13" s="36" t="n">
        <f aca="false">Inputs!$C$13+C12</f>
        <v>344.25</v>
      </c>
      <c r="D13" s="36" t="n">
        <f aca="false">Inputs!$C$13+D12</f>
        <v>400.35</v>
      </c>
      <c r="E13" s="36" t="n">
        <f aca="false">Inputs!$C$13+E12</f>
        <v>412.23</v>
      </c>
      <c r="F13" s="36" t="n">
        <f aca="false">Inputs!$C$13+F12</f>
        <v>428.268</v>
      </c>
      <c r="G13" s="36" t="n">
        <f aca="false">Inputs!$C$13+G12</f>
        <v>449.652</v>
      </c>
      <c r="H13" s="36" t="n">
        <f aca="false">Inputs!$C$13+H12</f>
        <v>462.4824</v>
      </c>
      <c r="I13" s="36" t="n">
        <f aca="false">Inputs!$C$13+I12</f>
        <v>477.87888</v>
      </c>
      <c r="J13" s="36" t="n">
        <f aca="false">Inputs!$C$13+J12</f>
        <v>496.354656</v>
      </c>
      <c r="K13" s="36" t="n">
        <f aca="false">Inputs!$C$13+K12</f>
        <v>518.5255872</v>
      </c>
      <c r="L13" s="36" t="n">
        <f aca="false">Inputs!$C$13+L12</f>
        <v>545.13070464</v>
      </c>
    </row>
    <row r="14" customFormat="false" ht="15" hidden="false" customHeight="false" outlineLevel="0" collapsed="false">
      <c r="A14" s="1"/>
      <c r="B14" s="8" t="s">
        <v>240</v>
      </c>
      <c r="C14" s="47" t="n">
        <f aca="false">'Financing &amp; EPS'!$C$19</f>
        <v>65.024</v>
      </c>
      <c r="D14" s="47" t="n">
        <f aca="false">'Financing &amp; EPS'!$C$19</f>
        <v>65.024</v>
      </c>
      <c r="E14" s="47" t="n">
        <f aca="false">'Financing &amp; EPS'!$C$19</f>
        <v>65.024</v>
      </c>
      <c r="F14" s="47" t="n">
        <f aca="false">'Financing &amp; EPS'!$C$19</f>
        <v>65.024</v>
      </c>
      <c r="G14" s="47" t="n">
        <f aca="false">'Financing &amp; EPS'!$C$19</f>
        <v>65.024</v>
      </c>
      <c r="H14" s="47" t="n">
        <f aca="false">'Financing &amp; EPS'!$C$19</f>
        <v>65.024</v>
      </c>
      <c r="I14" s="47" t="n">
        <f aca="false">'Financing &amp; EPS'!$C$19</f>
        <v>65.024</v>
      </c>
      <c r="J14" s="47" t="n">
        <f aca="false">'Financing &amp; EPS'!$C$19</f>
        <v>65.024</v>
      </c>
      <c r="K14" s="47" t="n">
        <f aca="false">'Financing &amp; EPS'!$C$19</f>
        <v>65.024</v>
      </c>
      <c r="L14" s="47" t="n">
        <f aca="false">'Financing &amp; EPS'!$C$19</f>
        <v>65.024</v>
      </c>
    </row>
    <row r="15" customFormat="false" ht="15" hidden="false" customHeight="false" outlineLevel="0" collapsed="false">
      <c r="A15" s="1"/>
      <c r="B15" s="41" t="s">
        <v>315</v>
      </c>
      <c r="C15" s="43" t="n">
        <f aca="false">C13/C14</f>
        <v>5.29419906496063</v>
      </c>
      <c r="D15" s="43" t="n">
        <f aca="false">D13/D14</f>
        <v>6.15695743110236</v>
      </c>
      <c r="E15" s="43" t="n">
        <f aca="false">E13/E14</f>
        <v>6.33965920275591</v>
      </c>
      <c r="F15" s="43" t="n">
        <f aca="false">F13/F14</f>
        <v>6.58630659448819</v>
      </c>
      <c r="G15" s="43" t="n">
        <f aca="false">G13/G14</f>
        <v>6.91516978346457</v>
      </c>
      <c r="H15" s="43" t="n">
        <f aca="false">H13/H14</f>
        <v>7.11248769685039</v>
      </c>
      <c r="I15" s="43" t="n">
        <f aca="false">I13/I14</f>
        <v>7.34926919291339</v>
      </c>
      <c r="J15" s="43" t="n">
        <f aca="false">J13/J14</f>
        <v>7.63340698818898</v>
      </c>
      <c r="K15" s="43" t="n">
        <f aca="false">K13/K14</f>
        <v>7.97437234251969</v>
      </c>
      <c r="L15" s="43" t="n">
        <f aca="false">L13/L14</f>
        <v>8.38353076771653</v>
      </c>
    </row>
    <row r="16" customFormat="false" ht="15" hidden="false" customHeight="false" outlineLevel="0" collapsed="false">
      <c r="A16" s="1"/>
      <c r="B16" s="41" t="s">
        <v>262</v>
      </c>
      <c r="C16" s="34" t="n">
        <f aca="false">C15/Inputs!$C$14-1</f>
        <v>-0.294106791338583</v>
      </c>
      <c r="D16" s="34" t="n">
        <f aca="false">D15/Inputs!$C$14-1</f>
        <v>-0.179072342519685</v>
      </c>
      <c r="E16" s="34" t="n">
        <f aca="false">E15/Inputs!$C$14-1</f>
        <v>-0.154712106299213</v>
      </c>
      <c r="F16" s="34" t="n">
        <f aca="false">F15/Inputs!$C$14-1</f>
        <v>-0.121825787401575</v>
      </c>
      <c r="G16" s="34" t="n">
        <f aca="false">G15/Inputs!$C$14-1</f>
        <v>-0.0779773622047244</v>
      </c>
      <c r="H16" s="34" t="n">
        <f aca="false">H15/Inputs!$C$14-1</f>
        <v>-0.0516683070866143</v>
      </c>
      <c r="I16" s="34" t="n">
        <f aca="false">I15/Inputs!$C$14-1</f>
        <v>-0.020097440944882</v>
      </c>
      <c r="J16" s="34" t="n">
        <f aca="false">J15/Inputs!$C$14-1</f>
        <v>0.0177875984251967</v>
      </c>
      <c r="K16" s="34" t="n">
        <f aca="false">K15/Inputs!$C$14-1</f>
        <v>0.0632496456692915</v>
      </c>
      <c r="L16" s="34" t="n">
        <f aca="false">L15/Inputs!$C$14-1</f>
        <v>0.117804102362205</v>
      </c>
    </row>
    <row r="17" customFormat="false" ht="15" hidden="false" customHeight="false" outlineLevel="0" collapsed="false">
      <c r="A17" s="1"/>
      <c r="B17" s="41" t="s">
        <v>316</v>
      </c>
      <c r="C17" s="40" t="n">
        <f aca="false">(C13+Inputs!$C$76)/C14</f>
        <v>6.35534571850394</v>
      </c>
      <c r="D17" s="40" t="n">
        <f aca="false">(D13+Inputs!$C$76)/D14</f>
        <v>7.21810408464567</v>
      </c>
      <c r="E17" s="40" t="n">
        <f aca="false">(E13+Inputs!$C$76)/E14</f>
        <v>7.40080585629921</v>
      </c>
      <c r="F17" s="40" t="n">
        <f aca="false">(F13+Inputs!$C$76)/F14</f>
        <v>7.6474532480315</v>
      </c>
      <c r="G17" s="40" t="n">
        <f aca="false">(G13+Inputs!$C$76)/G14</f>
        <v>7.97631643700788</v>
      </c>
      <c r="H17" s="40" t="n">
        <f aca="false">(H13+Inputs!$C$76)/H14</f>
        <v>8.1736343503937</v>
      </c>
      <c r="I17" s="40" t="n">
        <f aca="false">(I13+Inputs!$C$76)/I14</f>
        <v>8.41041584645669</v>
      </c>
      <c r="J17" s="40" t="n">
        <f aca="false">(J13+Inputs!$C$76)/J14</f>
        <v>8.69455364173228</v>
      </c>
      <c r="K17" s="40" t="n">
        <f aca="false">(K13+Inputs!$C$76)/K14</f>
        <v>9.03551899606299</v>
      </c>
      <c r="L17" s="40" t="n">
        <f aca="false">(L13+Inputs!$C$76)/L14</f>
        <v>9.44467742125984</v>
      </c>
    </row>
    <row r="18" customFormat="false" ht="15" hidden="false" customHeight="false" outlineLevel="0" collapsed="false">
      <c r="A18" s="1"/>
      <c r="B18" s="8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customFormat="false" ht="15" hidden="false" customHeight="false" outlineLevel="0" collapsed="false">
      <c r="A19" s="1"/>
      <c r="B19" s="8" t="s">
        <v>317</v>
      </c>
      <c r="C19" s="44" t="n">
        <f aca="false">'Liminal Projection'!D26</f>
        <v>-41.25</v>
      </c>
      <c r="D19" s="44" t="n">
        <f aca="false">'Liminal Projection'!E26</f>
        <v>14.85</v>
      </c>
      <c r="E19" s="44" t="n">
        <f aca="false">'Liminal Projection'!F26</f>
        <v>26.73</v>
      </c>
      <c r="F19" s="44" t="n">
        <f aca="false">'Liminal Projection'!G26</f>
        <v>42.768</v>
      </c>
      <c r="G19" s="44" t="n">
        <f aca="false">'Liminal Projection'!H26</f>
        <v>64.152</v>
      </c>
      <c r="H19" s="44" t="n">
        <f aca="false">'Liminal Projection'!I26</f>
        <v>76.9824</v>
      </c>
      <c r="I19" s="44" t="n">
        <f aca="false">'Liminal Projection'!J26</f>
        <v>92.37888</v>
      </c>
      <c r="J19" s="44" t="n">
        <f aca="false">'Liminal Projection'!K26</f>
        <v>110.854656</v>
      </c>
      <c r="K19" s="44" t="n">
        <f aca="false">'Liminal Projection'!L26</f>
        <v>133.0255872</v>
      </c>
      <c r="L19" s="44" t="n">
        <f aca="false">'Liminal Projection'!M26</f>
        <v>159.63070464</v>
      </c>
    </row>
    <row r="20" customFormat="false" ht="15" hidden="false" customHeight="false" outlineLevel="0" collapsed="false">
      <c r="A20" s="1"/>
      <c r="B20" s="8" t="s">
        <v>318</v>
      </c>
      <c r="C20" s="36" t="n">
        <f aca="false">C8</f>
        <v>-94.5</v>
      </c>
      <c r="D20" s="36" t="n">
        <f aca="false">D8</f>
        <v>-94.5</v>
      </c>
      <c r="E20" s="36" t="n">
        <f aca="false">E8</f>
        <v>-94.5</v>
      </c>
      <c r="F20" s="36" t="n">
        <f aca="false">F8</f>
        <v>-94.5</v>
      </c>
      <c r="G20" s="36" t="n">
        <f aca="false">G8</f>
        <v>-94.5</v>
      </c>
      <c r="H20" s="36" t="n">
        <f aca="false">H8</f>
        <v>-94.5</v>
      </c>
      <c r="I20" s="36" t="n">
        <f aca="false">I8</f>
        <v>-94.5</v>
      </c>
      <c r="J20" s="36" t="n">
        <f aca="false">J8</f>
        <v>-94.5</v>
      </c>
      <c r="K20" s="36" t="n">
        <f aca="false">K8</f>
        <v>-94.5</v>
      </c>
      <c r="L20" s="36" t="n">
        <f aca="false">L8</f>
        <v>-94.5</v>
      </c>
    </row>
    <row r="21" customFormat="false" ht="15" hidden="false" customHeight="false" outlineLevel="0" collapsed="false">
      <c r="A21" s="1"/>
      <c r="B21" s="8" t="s">
        <v>319</v>
      </c>
      <c r="C21" s="36" t="n">
        <f aca="false">C9</f>
        <v>-0</v>
      </c>
      <c r="D21" s="36" t="n">
        <f aca="false">D9</f>
        <v>-0</v>
      </c>
      <c r="E21" s="36" t="n">
        <f aca="false">E9</f>
        <v>-0</v>
      </c>
      <c r="F21" s="36" t="n">
        <f aca="false">F9</f>
        <v>-0</v>
      </c>
      <c r="G21" s="36" t="n">
        <f aca="false">G9</f>
        <v>-0</v>
      </c>
      <c r="H21" s="36" t="n">
        <f aca="false">H9</f>
        <v>-0</v>
      </c>
      <c r="I21" s="36" t="n">
        <f aca="false">I9</f>
        <v>-0</v>
      </c>
      <c r="J21" s="36" t="n">
        <f aca="false">J9</f>
        <v>-0</v>
      </c>
      <c r="K21" s="36" t="n">
        <f aca="false">K9</f>
        <v>-0</v>
      </c>
      <c r="L21" s="36" t="n">
        <f aca="false">L9</f>
        <v>-0</v>
      </c>
    </row>
    <row r="22" customFormat="false" ht="15" hidden="false" customHeight="false" outlineLevel="0" collapsed="false">
      <c r="A22" s="1"/>
      <c r="B22" s="8" t="s">
        <v>320</v>
      </c>
      <c r="C22" s="44" t="n">
        <f aca="false">Inputs!$C$76</f>
        <v>69</v>
      </c>
      <c r="D22" s="44" t="n">
        <f aca="false">Inputs!$C$76</f>
        <v>69</v>
      </c>
      <c r="E22" s="44" t="n">
        <f aca="false">Inputs!$C$76</f>
        <v>69</v>
      </c>
      <c r="F22" s="44" t="n">
        <f aca="false">Inputs!$C$76</f>
        <v>69</v>
      </c>
      <c r="G22" s="44" t="n">
        <f aca="false">Inputs!$C$76</f>
        <v>69</v>
      </c>
      <c r="H22" s="44" t="n">
        <f aca="false">Inputs!$C$76</f>
        <v>69</v>
      </c>
      <c r="I22" s="44" t="n">
        <f aca="false">Inputs!$C$76</f>
        <v>69</v>
      </c>
      <c r="J22" s="44" t="n">
        <f aca="false">Inputs!$C$76</f>
        <v>69</v>
      </c>
      <c r="K22" s="44" t="n">
        <f aca="false">Inputs!$C$76</f>
        <v>69</v>
      </c>
      <c r="L22" s="44" t="n">
        <f aca="false">Inputs!$C$76</f>
        <v>69</v>
      </c>
    </row>
    <row r="23" customFormat="false" ht="15" hidden="false" customHeight="false" outlineLevel="0" collapsed="false">
      <c r="A23" s="1"/>
      <c r="B23" s="8" t="s">
        <v>321</v>
      </c>
      <c r="C23" s="44" t="n">
        <f aca="false">-Inputs!$C$61</f>
        <v>-750</v>
      </c>
      <c r="D23" s="44" t="n">
        <f aca="false">-Inputs!$C$61</f>
        <v>-750</v>
      </c>
      <c r="E23" s="44" t="n">
        <f aca="false">-Inputs!$C$61</f>
        <v>-750</v>
      </c>
      <c r="F23" s="44" t="n">
        <f aca="false">-Inputs!$C$61</f>
        <v>-750</v>
      </c>
      <c r="G23" s="44" t="n">
        <f aca="false">-Inputs!$C$61</f>
        <v>-750</v>
      </c>
      <c r="H23" s="44" t="n">
        <f aca="false">-Inputs!$C$61</f>
        <v>-750</v>
      </c>
      <c r="I23" s="44" t="n">
        <f aca="false">-Inputs!$C$61</f>
        <v>-750</v>
      </c>
      <c r="J23" s="44" t="n">
        <f aca="false">-Inputs!$C$61</f>
        <v>-750</v>
      </c>
      <c r="K23" s="44" t="n">
        <f aca="false">-Inputs!$C$61</f>
        <v>-750</v>
      </c>
      <c r="L23" s="44" t="n">
        <f aca="false">-Inputs!$C$61</f>
        <v>-750</v>
      </c>
    </row>
    <row r="24" customFormat="false" ht="15" hidden="false" customHeight="false" outlineLevel="0" collapsed="false">
      <c r="A24" s="1"/>
      <c r="B24" s="8" t="s">
        <v>322</v>
      </c>
      <c r="C24" s="36" t="n">
        <f aca="false">IF(1=1,-Inputs!$C$39,0)</f>
        <v>-100</v>
      </c>
      <c r="D24" s="36" t="n">
        <f aca="false">IF(2=1,-Inputs!$C$39,0)</f>
        <v>0</v>
      </c>
      <c r="E24" s="36" t="n">
        <f aca="false">IF(3=1,-Inputs!$C$39,0)</f>
        <v>0</v>
      </c>
      <c r="F24" s="36" t="n">
        <f aca="false">IF(4=1,-Inputs!$C$39,0)</f>
        <v>0</v>
      </c>
      <c r="G24" s="36" t="n">
        <f aca="false">IF(5=1,-Inputs!$C$39,0)</f>
        <v>0</v>
      </c>
      <c r="H24" s="36" t="n">
        <f aca="false">IF(6=1,-Inputs!$C$39,0)</f>
        <v>0</v>
      </c>
      <c r="I24" s="36" t="n">
        <f aca="false">IF(7=1,-Inputs!$C$39,0)</f>
        <v>0</v>
      </c>
      <c r="J24" s="36" t="n">
        <f aca="false">IF(8=1,-Inputs!$C$39,0)</f>
        <v>0</v>
      </c>
      <c r="K24" s="36" t="n">
        <f aca="false">IF(9=1,-Inputs!$C$39,0)</f>
        <v>0</v>
      </c>
      <c r="L24" s="36" t="n">
        <f aca="false">IF(10=1,-Inputs!$C$39,0)</f>
        <v>0</v>
      </c>
    </row>
    <row r="25" customFormat="false" ht="15" hidden="false" customHeight="false" outlineLevel="0" collapsed="false">
      <c r="A25" s="1"/>
      <c r="B25" s="41" t="s">
        <v>323</v>
      </c>
      <c r="C25" s="48" t="n">
        <f aca="false">C19+C20+C21+C23+C24</f>
        <v>-985.75</v>
      </c>
      <c r="D25" s="48" t="n">
        <f aca="false">D19+D20+D21+D23+D24</f>
        <v>-829.65</v>
      </c>
      <c r="E25" s="48" t="n">
        <f aca="false">E19+E20+E21+E23+E24</f>
        <v>-817.77</v>
      </c>
      <c r="F25" s="48" t="n">
        <f aca="false">F19+F20+F21+F23+F24</f>
        <v>-801.732</v>
      </c>
      <c r="G25" s="48" t="n">
        <f aca="false">G19+G20+G21+G23+G24</f>
        <v>-780.348</v>
      </c>
      <c r="H25" s="48" t="n">
        <f aca="false">H19+H20+H21+H23+H24</f>
        <v>-767.5176</v>
      </c>
      <c r="I25" s="48" t="n">
        <f aca="false">I19+I20+I21+I23+I24</f>
        <v>-752.12112</v>
      </c>
      <c r="J25" s="48" t="n">
        <f aca="false">J19+J20+J21+J23+J24</f>
        <v>-733.645344</v>
      </c>
      <c r="K25" s="48" t="n">
        <f aca="false">K19+K20+K21+K23+K24</f>
        <v>-711.4744128</v>
      </c>
      <c r="L25" s="48" t="n">
        <f aca="false">L19+L20+L21+L23+L24</f>
        <v>-684.86929536</v>
      </c>
    </row>
    <row r="26" customFormat="false" ht="15" hidden="false" customHeight="false" outlineLevel="0" collapsed="false">
      <c r="A26" s="1"/>
      <c r="B26" s="41" t="s">
        <v>324</v>
      </c>
      <c r="C26" s="36" t="n">
        <f aca="false">C25+C22</f>
        <v>-916.75</v>
      </c>
      <c r="D26" s="36" t="n">
        <f aca="false">D25+D22</f>
        <v>-760.65</v>
      </c>
      <c r="E26" s="36" t="n">
        <f aca="false">E25+E22</f>
        <v>-748.77</v>
      </c>
      <c r="F26" s="36" t="n">
        <f aca="false">F25+F22</f>
        <v>-732.732</v>
      </c>
      <c r="G26" s="36" t="n">
        <f aca="false">G25+G22</f>
        <v>-711.348</v>
      </c>
      <c r="H26" s="36" t="n">
        <f aca="false">H25+H22</f>
        <v>-698.5176</v>
      </c>
      <c r="I26" s="36" t="n">
        <f aca="false">I25+I22</f>
        <v>-683.12112</v>
      </c>
      <c r="J26" s="36" t="n">
        <f aca="false">J25+J22</f>
        <v>-664.645344</v>
      </c>
      <c r="K26" s="36" t="n">
        <f aca="false">K25+K22</f>
        <v>-642.4744128</v>
      </c>
      <c r="L26" s="36" t="n">
        <f aca="false">L25+L22</f>
        <v>-615.86929536</v>
      </c>
    </row>
    <row r="27" customFormat="false" ht="15" hidden="false" customHeight="false" outlineLevel="0" collapsed="false">
      <c r="A27" s="1"/>
      <c r="B27" s="8" t="s">
        <v>325</v>
      </c>
      <c r="C27" s="32" t="n">
        <f aca="false">-Inputs!$C$19+C25</f>
        <v>-3085.75</v>
      </c>
      <c r="D27" s="32" t="n">
        <f aca="false">C27+D25</f>
        <v>-3915.4</v>
      </c>
      <c r="E27" s="32" t="n">
        <f aca="false">D27+E25</f>
        <v>-4733.17</v>
      </c>
      <c r="F27" s="32" t="n">
        <f aca="false">E27+F25</f>
        <v>-5534.902</v>
      </c>
      <c r="G27" s="32" t="n">
        <f aca="false">F27+G25</f>
        <v>-6315.25</v>
      </c>
      <c r="H27" s="32" t="n">
        <f aca="false">G27+H25</f>
        <v>-7082.7676</v>
      </c>
      <c r="I27" s="32" t="n">
        <f aca="false">H27+I25</f>
        <v>-7834.88872</v>
      </c>
      <c r="J27" s="32" t="n">
        <f aca="false">I27+J25</f>
        <v>-8568.534064</v>
      </c>
      <c r="K27" s="32" t="n">
        <f aca="false">J27+K25</f>
        <v>-9280.0084768</v>
      </c>
      <c r="L27" s="32" t="n">
        <f aca="false">K27+L25</f>
        <v>-9964.87777216</v>
      </c>
    </row>
    <row r="28" customFormat="false" ht="15" hidden="false" customHeight="false" outlineLevel="0" collapsed="false">
      <c r="A28" s="1"/>
      <c r="B28" s="8" t="s">
        <v>326</v>
      </c>
      <c r="C28" s="27" t="str">
        <f aca="false">IF(C12&gt;=0,"Yes","No")</f>
        <v>No</v>
      </c>
      <c r="D28" s="27" t="str">
        <f aca="false">IF(D12&gt;=0,"Yes","No")</f>
        <v>No</v>
      </c>
      <c r="E28" s="27" t="str">
        <f aca="false">IF(E12&gt;=0,"Yes","No")</f>
        <v>No</v>
      </c>
      <c r="F28" s="27" t="str">
        <f aca="false">IF(F12&gt;=0,"Yes","No")</f>
        <v>No</v>
      </c>
      <c r="G28" s="27" t="str">
        <f aca="false">IF(G12&gt;=0,"Yes","No")</f>
        <v>No</v>
      </c>
      <c r="H28" s="27" t="str">
        <f aca="false">IF(H12&gt;=0,"Yes","No")</f>
        <v>No</v>
      </c>
      <c r="I28" s="27" t="str">
        <f aca="false">IF(I12&gt;=0,"Yes","No")</f>
        <v>No</v>
      </c>
      <c r="J28" s="27" t="str">
        <f aca="false">IF(J12&gt;=0,"Yes","No")</f>
        <v>Yes</v>
      </c>
      <c r="K28" s="27" t="str">
        <f aca="false">IF(K12&gt;=0,"Yes","No")</f>
        <v>Yes</v>
      </c>
      <c r="L28" s="27" t="str">
        <f aca="false">IF(L12&gt;=0,"Yes","No")</f>
        <v>Yes</v>
      </c>
    </row>
    <row r="29" customFormat="false" ht="15" hidden="false" customHeight="false" outlineLevel="0" collapsed="false">
      <c r="A29" s="1"/>
      <c r="B29" s="8" t="s">
        <v>327</v>
      </c>
      <c r="C29" s="27" t="str">
        <f aca="false">IF(C25&gt;=0,"Yes","No")</f>
        <v>No</v>
      </c>
      <c r="D29" s="27" t="str">
        <f aca="false">IF(D25&gt;=0,"Yes","No")</f>
        <v>No</v>
      </c>
      <c r="E29" s="27" t="str">
        <f aca="false">IF(E25&gt;=0,"Yes","No")</f>
        <v>No</v>
      </c>
      <c r="F29" s="27" t="str">
        <f aca="false">IF(F25&gt;=0,"Yes","No")</f>
        <v>No</v>
      </c>
      <c r="G29" s="27" t="str">
        <f aca="false">IF(G25&gt;=0,"Yes","No")</f>
        <v>No</v>
      </c>
      <c r="H29" s="27" t="str">
        <f aca="false">IF(H25&gt;=0,"Yes","No")</f>
        <v>No</v>
      </c>
      <c r="I29" s="27" t="str">
        <f aca="false">IF(I25&gt;=0,"Yes","No")</f>
        <v>No</v>
      </c>
      <c r="J29" s="27" t="str">
        <f aca="false">IF(J25&gt;=0,"Yes","No")</f>
        <v>No</v>
      </c>
      <c r="K29" s="27" t="str">
        <f aca="false">IF(K25&gt;=0,"Yes","No")</f>
        <v>No</v>
      </c>
      <c r="L29" s="27" t="str">
        <f aca="false">IF(L25&gt;=0,"Yes","No")</f>
        <v>No</v>
      </c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customFormat="false" ht="15" hidden="false" customHeight="false" outlineLevel="0" collapsed="false">
      <c r="A31" s="1"/>
      <c r="B31" s="8" t="s">
        <v>328</v>
      </c>
      <c r="C31" s="49" t="n">
        <f aca="false">IFERROR(MATCH("Yes",C28:L28,0),"Not within 10 years")</f>
        <v>8</v>
      </c>
      <c r="D31" s="1"/>
      <c r="E31" s="1"/>
      <c r="F31" s="1"/>
      <c r="G31" s="1"/>
      <c r="H31" s="1"/>
      <c r="I31" s="1"/>
      <c r="J31" s="1"/>
      <c r="K31" s="1"/>
      <c r="L31" s="1"/>
    </row>
    <row r="32" customFormat="false" ht="15" hidden="false" customHeight="false" outlineLevel="0" collapsed="false">
      <c r="A32" s="1"/>
      <c r="B32" s="8" t="s">
        <v>329</v>
      </c>
      <c r="C32" s="49" t="str">
        <f aca="false">IFERROR(MATCH("Yes",C29:L29,0),"Not within 10 years")</f>
        <v>Not within 10 years</v>
      </c>
      <c r="D32" s="1"/>
      <c r="E32" s="1"/>
      <c r="F32" s="1"/>
      <c r="G32" s="1"/>
      <c r="H32" s="1"/>
      <c r="I32" s="1"/>
      <c r="J32" s="1"/>
      <c r="K32" s="1"/>
      <c r="L32" s="1"/>
    </row>
    <row r="33" customFormat="false" ht="15" hidden="false" customHeight="false" outlineLevel="0" collapsed="false">
      <c r="A33" s="1"/>
      <c r="B33" s="8" t="s">
        <v>330</v>
      </c>
      <c r="C33" s="19" t="n">
        <f aca="false">Inputs!$C$61</f>
        <v>750</v>
      </c>
      <c r="D33" s="8" t="s">
        <v>331</v>
      </c>
      <c r="E33" s="1"/>
      <c r="F33" s="1"/>
      <c r="G33" s="50" t="n">
        <f aca="false">Inputs!$C$61/(Inputs!$C$54*Inputs!$C$55*Inputs!$C$56)</f>
        <v>4000</v>
      </c>
      <c r="H33" s="1"/>
      <c r="I33" s="1"/>
      <c r="J33" s="1"/>
      <c r="K33" s="1"/>
      <c r="L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customFormat="false" ht="15" hidden="false" customHeight="false" outlineLevel="0" collapsed="false">
      <c r="A35" s="1"/>
      <c r="B35" s="24" t="s">
        <v>332</v>
      </c>
      <c r="C35" s="25"/>
      <c r="D35" s="25"/>
      <c r="E35" s="25"/>
      <c r="F35" s="25"/>
      <c r="G35" s="25"/>
      <c r="H35" s="25"/>
      <c r="I35" s="25"/>
      <c r="J35" s="25"/>
      <c r="K35" s="25"/>
      <c r="L35" s="25"/>
    </row>
    <row r="36" customFormat="false" ht="15" hidden="false" customHeight="false" outlineLevel="0" collapsed="false">
      <c r="A36" s="1"/>
      <c r="B36" s="16" t="s">
        <v>311</v>
      </c>
      <c r="C36" s="16" t="s">
        <v>285</v>
      </c>
      <c r="D36" s="16" t="s">
        <v>286</v>
      </c>
      <c r="E36" s="16" t="s">
        <v>287</v>
      </c>
      <c r="F36" s="16" t="s">
        <v>288</v>
      </c>
      <c r="G36" s="16" t="s">
        <v>289</v>
      </c>
      <c r="H36" s="16" t="s">
        <v>290</v>
      </c>
      <c r="I36" s="16" t="s">
        <v>291</v>
      </c>
      <c r="J36" s="16" t="s">
        <v>292</v>
      </c>
      <c r="K36" s="16" t="s">
        <v>293</v>
      </c>
      <c r="L36" s="16" t="s">
        <v>294</v>
      </c>
    </row>
    <row r="37" customFormat="false" ht="15" hidden="false" customHeight="false" outlineLevel="0" collapsed="false">
      <c r="A37" s="1"/>
      <c r="B37" s="8" t="s">
        <v>333</v>
      </c>
      <c r="C37" s="44" t="n">
        <f aca="false">'Liminal Projection'!D12</f>
        <v>2.475</v>
      </c>
      <c r="D37" s="44" t="n">
        <f aca="false">'Liminal Projection'!E12</f>
        <v>5.94</v>
      </c>
      <c r="E37" s="44" t="n">
        <f aca="false">'Liminal Projection'!F12</f>
        <v>10.692</v>
      </c>
      <c r="F37" s="44" t="n">
        <f aca="false">'Liminal Projection'!G12</f>
        <v>17.1072</v>
      </c>
      <c r="G37" s="44" t="n">
        <f aca="false">'Liminal Projection'!H12</f>
        <v>25.6608</v>
      </c>
      <c r="H37" s="44" t="n">
        <f aca="false">'Liminal Projection'!I12</f>
        <v>30.79296</v>
      </c>
      <c r="I37" s="44" t="n">
        <f aca="false">'Liminal Projection'!J12</f>
        <v>36.951552</v>
      </c>
      <c r="J37" s="44" t="n">
        <f aca="false">'Liminal Projection'!K12</f>
        <v>44.3418624</v>
      </c>
      <c r="K37" s="44" t="n">
        <f aca="false">'Liminal Projection'!L12</f>
        <v>53.21023488</v>
      </c>
      <c r="L37" s="44" t="n">
        <f aca="false">'Liminal Projection'!M12</f>
        <v>63.852281856</v>
      </c>
    </row>
    <row r="38" customFormat="false" ht="15" hidden="false" customHeight="false" outlineLevel="0" collapsed="false">
      <c r="A38" s="1"/>
      <c r="B38" s="8" t="s">
        <v>255</v>
      </c>
      <c r="C38" s="36" t="n">
        <f aca="false">-Inputs!$C$70*Inputs!$C$32*Inputs!$C$43*(1-Inputs!$C$45)</f>
        <v>-45</v>
      </c>
      <c r="D38" s="36" t="n">
        <f aca="false">-Inputs!$C$70*Inputs!$C$32*Inputs!$C$43*(1-Inputs!$C$45)</f>
        <v>-45</v>
      </c>
      <c r="E38" s="36" t="n">
        <f aca="false">-Inputs!$C$70*Inputs!$C$32*Inputs!$C$43*(1-Inputs!$C$45)</f>
        <v>-45</v>
      </c>
      <c r="F38" s="36" t="n">
        <f aca="false">-Inputs!$C$70*Inputs!$C$32*Inputs!$C$43*(1-Inputs!$C$45)</f>
        <v>-45</v>
      </c>
      <c r="G38" s="36" t="n">
        <f aca="false">-Inputs!$C$70*Inputs!$C$32*Inputs!$C$43*(1-Inputs!$C$45)</f>
        <v>-45</v>
      </c>
      <c r="H38" s="36" t="n">
        <f aca="false">-Inputs!$C$70*Inputs!$C$32*Inputs!$C$43*(1-Inputs!$C$45)</f>
        <v>-45</v>
      </c>
      <c r="I38" s="36" t="n">
        <f aca="false">-Inputs!$C$70*Inputs!$C$32*Inputs!$C$43*(1-Inputs!$C$45)</f>
        <v>-45</v>
      </c>
      <c r="J38" s="36" t="n">
        <f aca="false">-Inputs!$C$70*Inputs!$C$32*Inputs!$C$43*(1-Inputs!$C$45)</f>
        <v>-45</v>
      </c>
      <c r="K38" s="36" t="n">
        <f aca="false">-Inputs!$C$70*Inputs!$C$32*Inputs!$C$43*(1-Inputs!$C$45)</f>
        <v>-45</v>
      </c>
      <c r="L38" s="36" t="n">
        <f aca="false">-Inputs!$C$70*Inputs!$C$32*Inputs!$C$43*(1-Inputs!$C$45)</f>
        <v>-45</v>
      </c>
    </row>
    <row r="39" customFormat="false" ht="15" hidden="false" customHeight="false" outlineLevel="0" collapsed="false">
      <c r="A39" s="1"/>
      <c r="B39" s="8" t="s">
        <v>334</v>
      </c>
      <c r="C39" s="46" t="n">
        <v>0</v>
      </c>
      <c r="D39" s="46" t="n">
        <v>0</v>
      </c>
      <c r="E39" s="46" t="n">
        <v>0</v>
      </c>
      <c r="F39" s="46" t="n">
        <v>0</v>
      </c>
      <c r="G39" s="46" t="n">
        <v>0</v>
      </c>
      <c r="H39" s="46" t="n">
        <v>0</v>
      </c>
      <c r="I39" s="46" t="n">
        <v>0</v>
      </c>
      <c r="J39" s="46" t="n">
        <v>0</v>
      </c>
      <c r="K39" s="46" t="n">
        <v>0</v>
      </c>
      <c r="L39" s="46" t="n">
        <v>0</v>
      </c>
    </row>
    <row r="40" customFormat="false" ht="15" hidden="false" customHeight="false" outlineLevel="0" collapsed="false">
      <c r="A40" s="1"/>
      <c r="B40" s="41" t="s">
        <v>259</v>
      </c>
      <c r="C40" s="36" t="n">
        <f aca="false">SUM(C37:C39)</f>
        <v>-42.525</v>
      </c>
      <c r="D40" s="36" t="n">
        <f aca="false">SUM(D37:D39)</f>
        <v>-39.06</v>
      </c>
      <c r="E40" s="36" t="n">
        <f aca="false">SUM(E37:E39)</f>
        <v>-34.308</v>
      </c>
      <c r="F40" s="36" t="n">
        <f aca="false">SUM(F37:F39)</f>
        <v>-27.8928</v>
      </c>
      <c r="G40" s="36" t="n">
        <f aca="false">SUM(G37:G39)</f>
        <v>-19.3392</v>
      </c>
      <c r="H40" s="36" t="n">
        <f aca="false">SUM(H37:H39)</f>
        <v>-14.20704</v>
      </c>
      <c r="I40" s="36" t="n">
        <f aca="false">SUM(I37:I39)</f>
        <v>-8.04844800000001</v>
      </c>
      <c r="J40" s="36" t="n">
        <f aca="false">SUM(J37:J39)</f>
        <v>-0.658137600000018</v>
      </c>
      <c r="K40" s="36" t="n">
        <f aca="false">SUM(K37:K39)</f>
        <v>8.21023487999999</v>
      </c>
      <c r="L40" s="36" t="n">
        <f aca="false">SUM(L37:L39)</f>
        <v>18.852281856</v>
      </c>
    </row>
    <row r="41" customFormat="false" ht="15" hidden="false" customHeight="false" outlineLevel="0" collapsed="false">
      <c r="A41" s="1"/>
      <c r="B41" s="41" t="s">
        <v>315</v>
      </c>
      <c r="C41" s="43" t="n">
        <f aca="false">(Inputs!$C$13+C40)/Inputs!$C$8</f>
        <v>6.835546875</v>
      </c>
      <c r="D41" s="43" t="n">
        <f aca="false">(Inputs!$C$13+D40)/Inputs!$C$8</f>
        <v>6.8896875</v>
      </c>
      <c r="E41" s="43" t="n">
        <f aca="false">(Inputs!$C$13+E40)/Inputs!$C$8</f>
        <v>6.9639375</v>
      </c>
      <c r="F41" s="43" t="n">
        <f aca="false">(Inputs!$C$13+F40)/Inputs!$C$8</f>
        <v>7.064175</v>
      </c>
      <c r="G41" s="43" t="n">
        <f aca="false">(Inputs!$C$13+G40)/Inputs!$C$8</f>
        <v>7.197825</v>
      </c>
      <c r="H41" s="43" t="n">
        <f aca="false">(Inputs!$C$13+H40)/Inputs!$C$8</f>
        <v>7.278015</v>
      </c>
      <c r="I41" s="43" t="n">
        <f aca="false">(Inputs!$C$13+I40)/Inputs!$C$8</f>
        <v>7.374243</v>
      </c>
      <c r="J41" s="43" t="n">
        <f aca="false">(Inputs!$C$13+J40)/Inputs!$C$8</f>
        <v>7.4897166</v>
      </c>
      <c r="K41" s="43" t="n">
        <f aca="false">(Inputs!$C$13+K40)/Inputs!$C$8</f>
        <v>7.62828492</v>
      </c>
      <c r="L41" s="43" t="n">
        <f aca="false">(Inputs!$C$13+L40)/Inputs!$C$8</f>
        <v>7.794566904</v>
      </c>
    </row>
    <row r="42" customFormat="false" ht="15" hidden="false" customHeight="false" outlineLevel="0" collapsed="false">
      <c r="A42" s="1"/>
      <c r="B42" s="41" t="s">
        <v>262</v>
      </c>
      <c r="C42" s="34" t="n">
        <f aca="false">C41/Inputs!$C$14-1</f>
        <v>-0.0885937499999999</v>
      </c>
      <c r="D42" s="34" t="n">
        <f aca="false">D41/Inputs!$C$14-1</f>
        <v>-0.081375</v>
      </c>
      <c r="E42" s="34" t="n">
        <f aca="false">E41/Inputs!$C$14-1</f>
        <v>-0.071475</v>
      </c>
      <c r="F42" s="34" t="n">
        <f aca="false">F41/Inputs!$C$14-1</f>
        <v>-0.05811</v>
      </c>
      <c r="G42" s="34" t="n">
        <f aca="false">G41/Inputs!$C$14-1</f>
        <v>-0.0402900000000001</v>
      </c>
      <c r="H42" s="34" t="n">
        <f aca="false">H41/Inputs!$C$14-1</f>
        <v>-0.029598</v>
      </c>
      <c r="I42" s="34" t="n">
        <f aca="false">I41/Inputs!$C$14-1</f>
        <v>-0.0167676</v>
      </c>
      <c r="J42" s="34" t="n">
        <f aca="false">J41/Inputs!$C$14-1</f>
        <v>-0.00137112000000006</v>
      </c>
      <c r="K42" s="34" t="n">
        <f aca="false">K41/Inputs!$C$14-1</f>
        <v>0.0171046559999999</v>
      </c>
      <c r="L42" s="34" t="n">
        <f aca="false">L41/Inputs!$C$14-1</f>
        <v>0.0392755871999999</v>
      </c>
    </row>
    <row r="43" customFormat="false" ht="15" hidden="false" customHeight="false" outlineLevel="0" collapsed="false">
      <c r="A43" s="1"/>
      <c r="B43" s="8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customFormat="false" ht="15" hidden="false" customHeight="false" outlineLevel="0" collapsed="false">
      <c r="A44" s="1"/>
      <c r="B44" s="8" t="s">
        <v>318</v>
      </c>
      <c r="C44" s="36" t="n">
        <f aca="false">C38</f>
        <v>-45</v>
      </c>
      <c r="D44" s="36" t="n">
        <f aca="false">D38</f>
        <v>-45</v>
      </c>
      <c r="E44" s="36" t="n">
        <f aca="false">E38</f>
        <v>-45</v>
      </c>
      <c r="F44" s="36" t="n">
        <f aca="false">F38</f>
        <v>-45</v>
      </c>
      <c r="G44" s="36" t="n">
        <f aca="false">G38</f>
        <v>-45</v>
      </c>
      <c r="H44" s="36" t="n">
        <f aca="false">H38</f>
        <v>-45</v>
      </c>
      <c r="I44" s="36" t="n">
        <f aca="false">I38</f>
        <v>-45</v>
      </c>
      <c r="J44" s="36" t="n">
        <f aca="false">J38</f>
        <v>-45</v>
      </c>
      <c r="K44" s="36" t="n">
        <f aca="false">K38</f>
        <v>-45</v>
      </c>
      <c r="L44" s="36" t="n">
        <f aca="false">L38</f>
        <v>-45</v>
      </c>
    </row>
    <row r="45" customFormat="false" ht="15" hidden="false" customHeight="false" outlineLevel="0" collapsed="false">
      <c r="A45" s="1"/>
      <c r="B45" s="8" t="s">
        <v>335</v>
      </c>
      <c r="C45" s="44" t="n">
        <f aca="false">-Inputs!$C$60</f>
        <v>-0</v>
      </c>
      <c r="D45" s="44" t="n">
        <f aca="false">-Inputs!$C$60</f>
        <v>-0</v>
      </c>
      <c r="E45" s="44" t="n">
        <f aca="false">-Inputs!$C$60</f>
        <v>-0</v>
      </c>
      <c r="F45" s="44" t="n">
        <f aca="false">-Inputs!$C$60</f>
        <v>-0</v>
      </c>
      <c r="G45" s="44" t="n">
        <f aca="false">-Inputs!$C$60</f>
        <v>-0</v>
      </c>
      <c r="H45" s="44" t="n">
        <f aca="false">-Inputs!$C$60</f>
        <v>-0</v>
      </c>
      <c r="I45" s="44" t="n">
        <f aca="false">-Inputs!$C$60</f>
        <v>-0</v>
      </c>
      <c r="J45" s="44" t="n">
        <f aca="false">-Inputs!$C$60</f>
        <v>-0</v>
      </c>
      <c r="K45" s="44" t="n">
        <f aca="false">-Inputs!$C$60</f>
        <v>-0</v>
      </c>
      <c r="L45" s="44" t="n">
        <f aca="false">-Inputs!$C$60</f>
        <v>-0</v>
      </c>
    </row>
    <row r="46" customFormat="false" ht="15" hidden="false" customHeight="false" outlineLevel="0" collapsed="false">
      <c r="A46" s="1"/>
      <c r="B46" s="8" t="s">
        <v>336</v>
      </c>
      <c r="C46" s="36" t="n">
        <f aca="false">IF(1=1,-Inputs!$C$33,0)</f>
        <v>-15</v>
      </c>
      <c r="D46" s="36" t="n">
        <f aca="false">IF(2=1,-Inputs!$C$33,0)</f>
        <v>0</v>
      </c>
      <c r="E46" s="36" t="n">
        <f aca="false">IF(3=1,-Inputs!$C$33,0)</f>
        <v>0</v>
      </c>
      <c r="F46" s="36" t="n">
        <f aca="false">IF(4=1,-Inputs!$C$33,0)</f>
        <v>0</v>
      </c>
      <c r="G46" s="36" t="n">
        <f aca="false">IF(5=1,-Inputs!$C$33,0)</f>
        <v>0</v>
      </c>
      <c r="H46" s="36" t="n">
        <f aca="false">IF(6=1,-Inputs!$C$33,0)</f>
        <v>0</v>
      </c>
      <c r="I46" s="36" t="n">
        <f aca="false">IF(7=1,-Inputs!$C$33,0)</f>
        <v>0</v>
      </c>
      <c r="J46" s="36" t="n">
        <f aca="false">IF(8=1,-Inputs!$C$33,0)</f>
        <v>0</v>
      </c>
      <c r="K46" s="36" t="n">
        <f aca="false">IF(9=1,-Inputs!$C$33,0)</f>
        <v>0</v>
      </c>
      <c r="L46" s="36" t="n">
        <f aca="false">IF(10=1,-Inputs!$C$33,0)</f>
        <v>0</v>
      </c>
    </row>
    <row r="47" customFormat="false" ht="15" hidden="false" customHeight="false" outlineLevel="0" collapsed="false">
      <c r="A47" s="1"/>
      <c r="B47" s="8" t="s">
        <v>337</v>
      </c>
      <c r="C47" s="46" t="n">
        <v>0</v>
      </c>
      <c r="D47" s="46" t="n">
        <v>0</v>
      </c>
      <c r="E47" s="46" t="n">
        <v>0</v>
      </c>
      <c r="F47" s="46" t="n">
        <v>0</v>
      </c>
      <c r="G47" s="46" t="n">
        <v>0</v>
      </c>
      <c r="H47" s="46" t="n">
        <v>0</v>
      </c>
      <c r="I47" s="46" t="n">
        <v>0</v>
      </c>
      <c r="J47" s="46" t="n">
        <v>0</v>
      </c>
      <c r="K47" s="46" t="n">
        <v>0</v>
      </c>
      <c r="L47" s="46" t="n">
        <v>0</v>
      </c>
    </row>
    <row r="48" customFormat="false" ht="15" hidden="false" customHeight="false" outlineLevel="0" collapsed="false">
      <c r="A48" s="1"/>
      <c r="B48" s="41" t="s">
        <v>338</v>
      </c>
      <c r="C48" s="48" t="n">
        <f aca="false">SUM(C44:C47)</f>
        <v>-60</v>
      </c>
      <c r="D48" s="48" t="n">
        <f aca="false">SUM(D44:D47)</f>
        <v>-45</v>
      </c>
      <c r="E48" s="48" t="n">
        <f aca="false">SUM(E44:E47)</f>
        <v>-45</v>
      </c>
      <c r="F48" s="48" t="n">
        <f aca="false">SUM(F44:F47)</f>
        <v>-45</v>
      </c>
      <c r="G48" s="48" t="n">
        <f aca="false">SUM(G44:G47)</f>
        <v>-45</v>
      </c>
      <c r="H48" s="48" t="n">
        <f aca="false">SUM(H44:H47)</f>
        <v>-45</v>
      </c>
      <c r="I48" s="48" t="n">
        <f aca="false">SUM(I44:I47)</f>
        <v>-45</v>
      </c>
      <c r="J48" s="48" t="n">
        <f aca="false">SUM(J44:J47)</f>
        <v>-45</v>
      </c>
      <c r="K48" s="48" t="n">
        <f aca="false">SUM(K44:K47)</f>
        <v>-45</v>
      </c>
      <c r="L48" s="48" t="n">
        <f aca="false">SUM(L44:L47)</f>
        <v>-45</v>
      </c>
    </row>
    <row r="49" customFormat="false" ht="15" hidden="false" customHeight="false" outlineLevel="0" collapsed="false">
      <c r="A49" s="1"/>
      <c r="B49" s="8" t="s">
        <v>339</v>
      </c>
      <c r="C49" s="32" t="n">
        <f aca="false">-Inputs!$C$70+C48</f>
        <v>-1060</v>
      </c>
      <c r="D49" s="32" t="n">
        <f aca="false">C49+D48</f>
        <v>-1105</v>
      </c>
      <c r="E49" s="32" t="n">
        <f aca="false">D49+E48</f>
        <v>-1150</v>
      </c>
      <c r="F49" s="32" t="n">
        <f aca="false">E49+F48</f>
        <v>-1195</v>
      </c>
      <c r="G49" s="32" t="n">
        <f aca="false">F49+G48</f>
        <v>-1240</v>
      </c>
      <c r="H49" s="32" t="n">
        <f aca="false">G49+H48</f>
        <v>-1285</v>
      </c>
      <c r="I49" s="32" t="n">
        <f aca="false">H49+I48</f>
        <v>-1330</v>
      </c>
      <c r="J49" s="32" t="n">
        <f aca="false">I49+J48</f>
        <v>-1375</v>
      </c>
      <c r="K49" s="32" t="n">
        <f aca="false">J49+K48</f>
        <v>-1420</v>
      </c>
      <c r="L49" s="32" t="n">
        <f aca="false">K49+L48</f>
        <v>-1465</v>
      </c>
    </row>
    <row r="50" customFormat="false" ht="15" hidden="false" customHeight="false" outlineLevel="0" collapsed="false">
      <c r="A50" s="1"/>
      <c r="B50" s="8" t="s">
        <v>340</v>
      </c>
      <c r="C50" s="27" t="str">
        <f aca="false">IF(C37&gt;=-C38,"Yes","No")</f>
        <v>No</v>
      </c>
      <c r="D50" s="27" t="str">
        <f aca="false">IF(D37&gt;=-D38,"Yes","No")</f>
        <v>No</v>
      </c>
      <c r="E50" s="27" t="str">
        <f aca="false">IF(E37&gt;=-E38,"Yes","No")</f>
        <v>No</v>
      </c>
      <c r="F50" s="27" t="str">
        <f aca="false">IF(F37&gt;=-F38,"Yes","No")</f>
        <v>No</v>
      </c>
      <c r="G50" s="27" t="str">
        <f aca="false">IF(G37&gt;=-G38,"Yes","No")</f>
        <v>No</v>
      </c>
      <c r="H50" s="27" t="str">
        <f aca="false">IF(H37&gt;=-H38,"Yes","No")</f>
        <v>No</v>
      </c>
      <c r="I50" s="27" t="str">
        <f aca="false">IF(I37&gt;=-I38,"Yes","No")</f>
        <v>No</v>
      </c>
      <c r="J50" s="27" t="str">
        <f aca="false">IF(J37&gt;=-J38,"Yes","No")</f>
        <v>No</v>
      </c>
      <c r="K50" s="27" t="str">
        <f aca="false">IF(K37&gt;=-K38,"Yes","No")</f>
        <v>Yes</v>
      </c>
      <c r="L50" s="27" t="str">
        <f aca="false">IF(L37&gt;=-L38,"Yes","No")</f>
        <v>Yes</v>
      </c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customFormat="false" ht="15" hidden="false" customHeight="false" outlineLevel="0" collapsed="false">
      <c r="A52" s="1"/>
      <c r="B52" s="8" t="s">
        <v>341</v>
      </c>
      <c r="C52" s="49" t="n">
        <f aca="false">IFERROR(MATCH("Yes",C50:L50,0),"Not within 10 years")</f>
        <v>9</v>
      </c>
      <c r="D52" s="1"/>
      <c r="E52" s="1"/>
      <c r="F52" s="1"/>
      <c r="G52" s="1"/>
      <c r="H52" s="1"/>
      <c r="I52" s="1"/>
      <c r="J52" s="1"/>
      <c r="K52" s="1"/>
      <c r="L52" s="1"/>
    </row>
    <row r="53" customFormat="false" ht="15" hidden="false" customHeight="false" outlineLevel="0" collapsed="false">
      <c r="A53" s="1"/>
      <c r="B53" s="42" t="s">
        <v>342</v>
      </c>
      <c r="C53" s="1"/>
      <c r="D53" s="1"/>
      <c r="E53" s="1"/>
      <c r="F53" s="1"/>
      <c r="G53" s="1"/>
      <c r="H53" s="1"/>
      <c r="I53" s="1"/>
      <c r="J53" s="1"/>
      <c r="K53" s="1"/>
      <c r="L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customFormat="false" ht="15" hidden="false" customHeight="false" outlineLevel="0" collapsed="false">
      <c r="A55" s="1"/>
      <c r="B55" s="24" t="s">
        <v>343</v>
      </c>
      <c r="C55" s="25"/>
      <c r="D55" s="25"/>
      <c r="E55" s="25"/>
      <c r="F55" s="25"/>
      <c r="G55" s="25"/>
      <c r="H55" s="25"/>
      <c r="I55" s="25"/>
      <c r="J55" s="25"/>
      <c r="K55" s="25"/>
      <c r="L55" s="25"/>
    </row>
    <row r="56" customFormat="false" ht="15" hidden="false" customHeight="false" outlineLevel="0" collapsed="false">
      <c r="A56" s="1"/>
      <c r="B56" s="16" t="s">
        <v>311</v>
      </c>
      <c r="C56" s="16" t="s">
        <v>285</v>
      </c>
      <c r="D56" s="16" t="s">
        <v>286</v>
      </c>
      <c r="E56" s="16" t="s">
        <v>287</v>
      </c>
      <c r="F56" s="16" t="s">
        <v>288</v>
      </c>
      <c r="G56" s="16" t="s">
        <v>289</v>
      </c>
      <c r="H56" s="16" t="s">
        <v>290</v>
      </c>
      <c r="I56" s="16" t="s">
        <v>291</v>
      </c>
      <c r="J56" s="16" t="s">
        <v>292</v>
      </c>
      <c r="K56" s="16" t="s">
        <v>293</v>
      </c>
      <c r="L56" s="16" t="s">
        <v>294</v>
      </c>
    </row>
    <row r="57" customFormat="false" ht="15" hidden="false" customHeight="false" outlineLevel="0" collapsed="false">
      <c r="A57" s="1"/>
      <c r="B57" s="8" t="s">
        <v>344</v>
      </c>
      <c r="C57" s="44" t="n">
        <f aca="false">IF(1=1,Inputs!$C$30*'Liminal Projection'!D33,'Liminal Projection'!D33)</f>
        <v>2.475</v>
      </c>
      <c r="D57" s="44" t="n">
        <f aca="false">IF(2=1,Inputs!$C$30*'Liminal Projection'!E33,'Liminal Projection'!E33)</f>
        <v>-6.33599999999999</v>
      </c>
      <c r="E57" s="44" t="n">
        <f aca="false">IF(3=1,Inputs!$C$30*'Liminal Projection'!F33,'Liminal Projection'!F33)</f>
        <v>34.2144</v>
      </c>
      <c r="F57" s="44" t="n">
        <f aca="false">IF(4=1,Inputs!$C$30*'Liminal Projection'!G33,'Liminal Projection'!G33)</f>
        <v>54.74304</v>
      </c>
      <c r="G57" s="44" t="n">
        <f aca="false">IF(5=1,Inputs!$C$30*'Liminal Projection'!H33,'Liminal Projection'!H33)</f>
        <v>82.11456</v>
      </c>
      <c r="H57" s="44" t="n">
        <f aca="false">IF(6=1,Inputs!$C$30*'Liminal Projection'!I33,'Liminal Projection'!I33)</f>
        <v>98.537472</v>
      </c>
      <c r="I57" s="44" t="n">
        <f aca="false">IF(7=1,Inputs!$C$30*'Liminal Projection'!J33,'Liminal Projection'!J33)</f>
        <v>118.2449664</v>
      </c>
      <c r="J57" s="44" t="n">
        <f aca="false">IF(8=1,Inputs!$C$30*'Liminal Projection'!K33,'Liminal Projection'!K33)</f>
        <v>141.89395968</v>
      </c>
      <c r="K57" s="44" t="n">
        <f aca="false">IF(9=1,Inputs!$C$30*'Liminal Projection'!L33,'Liminal Projection'!L33)</f>
        <v>170.272751616</v>
      </c>
      <c r="L57" s="44" t="n">
        <f aca="false">IF(10=1,Inputs!$C$30*'Liminal Projection'!M33,'Liminal Projection'!M33)</f>
        <v>204.3273019392</v>
      </c>
    </row>
    <row r="58" customFormat="false" ht="15" hidden="false" customHeight="false" outlineLevel="0" collapsed="false">
      <c r="A58" s="1"/>
      <c r="B58" s="8" t="s">
        <v>345</v>
      </c>
      <c r="C58" s="36" t="n">
        <f aca="false">-Inputs!$C$70*Inputs!$C$32*Inputs!$C$43*(1-Inputs!$C$45)</f>
        <v>-45</v>
      </c>
      <c r="D58" s="36" t="n">
        <f aca="false">-Inputs!$C$70*Inputs!$C$32*Inputs!$C$43*(1-Inputs!$C$45)</f>
        <v>-45</v>
      </c>
      <c r="E58" s="36" t="n">
        <f aca="false">-Inputs!$C$70*Inputs!$C$32*Inputs!$C$43*(1-Inputs!$C$45)</f>
        <v>-45</v>
      </c>
      <c r="F58" s="36" t="n">
        <f aca="false">-Inputs!$C$70*Inputs!$C$32*Inputs!$C$43*(1-Inputs!$C$45)</f>
        <v>-45</v>
      </c>
      <c r="G58" s="36" t="n">
        <f aca="false">-Inputs!$C$70*Inputs!$C$32*Inputs!$C$43*(1-Inputs!$C$45)</f>
        <v>-45</v>
      </c>
      <c r="H58" s="36" t="n">
        <f aca="false">-Inputs!$C$70*Inputs!$C$32*Inputs!$C$43*(1-Inputs!$C$45)</f>
        <v>-45</v>
      </c>
      <c r="I58" s="36" t="n">
        <f aca="false">-Inputs!$C$70*Inputs!$C$32*Inputs!$C$43*(1-Inputs!$C$45)</f>
        <v>-45</v>
      </c>
      <c r="J58" s="36" t="n">
        <f aca="false">-Inputs!$C$70*Inputs!$C$32*Inputs!$C$43*(1-Inputs!$C$45)</f>
        <v>-45</v>
      </c>
      <c r="K58" s="36" t="n">
        <f aca="false">-Inputs!$C$70*Inputs!$C$32*Inputs!$C$43*(1-Inputs!$C$45)</f>
        <v>-45</v>
      </c>
      <c r="L58" s="36" t="n">
        <f aca="false">-Inputs!$C$70*Inputs!$C$32*Inputs!$C$43*(1-Inputs!$C$45)</f>
        <v>-45</v>
      </c>
    </row>
    <row r="59" customFormat="false" ht="15" hidden="false" customHeight="false" outlineLevel="0" collapsed="false">
      <c r="A59" s="1"/>
      <c r="B59" s="8" t="s">
        <v>346</v>
      </c>
      <c r="C59" s="36" t="n">
        <f aca="false">IF(1&gt;=2,-Inputs!$C$40*Inputs!$C$43*(1-Inputs!$C$45),0)</f>
        <v>0</v>
      </c>
      <c r="D59" s="36" t="n">
        <f aca="false">IF(2&gt;=2,-Inputs!$C$40*Inputs!$C$43*(1-Inputs!$C$45),0)</f>
        <v>-54</v>
      </c>
      <c r="E59" s="36" t="n">
        <f aca="false">IF(3&gt;=2,-Inputs!$C$40*Inputs!$C$43*(1-Inputs!$C$45),0)</f>
        <v>-54</v>
      </c>
      <c r="F59" s="36" t="n">
        <f aca="false">IF(4&gt;=2,-Inputs!$C$40*Inputs!$C$43*(1-Inputs!$C$45),0)</f>
        <v>-54</v>
      </c>
      <c r="G59" s="36" t="n">
        <f aca="false">IF(5&gt;=2,-Inputs!$C$40*Inputs!$C$43*(1-Inputs!$C$45),0)</f>
        <v>-54</v>
      </c>
      <c r="H59" s="36" t="n">
        <f aca="false">IF(6&gt;=2,-Inputs!$C$40*Inputs!$C$43*(1-Inputs!$C$45),0)</f>
        <v>-54</v>
      </c>
      <c r="I59" s="36" t="n">
        <f aca="false">IF(7&gt;=2,-Inputs!$C$40*Inputs!$C$43*(1-Inputs!$C$45),0)</f>
        <v>-54</v>
      </c>
      <c r="J59" s="36" t="n">
        <f aca="false">IF(8&gt;=2,-Inputs!$C$40*Inputs!$C$43*(1-Inputs!$C$45),0)</f>
        <v>-54</v>
      </c>
      <c r="K59" s="36" t="n">
        <f aca="false">IF(9&gt;=2,-Inputs!$C$40*Inputs!$C$43*(1-Inputs!$C$45),0)</f>
        <v>-54</v>
      </c>
      <c r="L59" s="36" t="n">
        <f aca="false">IF(10&gt;=2,-Inputs!$C$40*Inputs!$C$43*(1-Inputs!$C$45),0)</f>
        <v>-54</v>
      </c>
    </row>
    <row r="60" customFormat="false" ht="15" hidden="false" customHeight="false" outlineLevel="0" collapsed="false">
      <c r="A60" s="1"/>
      <c r="B60" s="8" t="s">
        <v>347</v>
      </c>
      <c r="C60" s="36" t="n">
        <f aca="false">IF(1&gt;=2,-Inputs!$C$75*Inputs!$C$44*(1-Inputs!$C$45),0)</f>
        <v>0</v>
      </c>
      <c r="D60" s="36" t="n">
        <f aca="false">IF(2&gt;=2,-Inputs!$C$75*Inputs!$C$44*(1-Inputs!$C$45),0)</f>
        <v>-28.6875</v>
      </c>
      <c r="E60" s="36" t="n">
        <f aca="false">IF(3&gt;=2,-Inputs!$C$75*Inputs!$C$44*(1-Inputs!$C$45),0)</f>
        <v>-28.6875</v>
      </c>
      <c r="F60" s="36" t="n">
        <f aca="false">IF(4&gt;=2,-Inputs!$C$75*Inputs!$C$44*(1-Inputs!$C$45),0)</f>
        <v>-28.6875</v>
      </c>
      <c r="G60" s="36" t="n">
        <f aca="false">IF(5&gt;=2,-Inputs!$C$75*Inputs!$C$44*(1-Inputs!$C$45),0)</f>
        <v>-28.6875</v>
      </c>
      <c r="H60" s="36" t="n">
        <f aca="false">IF(6&gt;=2,-Inputs!$C$75*Inputs!$C$44*(1-Inputs!$C$45),0)</f>
        <v>-28.6875</v>
      </c>
      <c r="I60" s="36" t="n">
        <f aca="false">IF(7&gt;=2,-Inputs!$C$75*Inputs!$C$44*(1-Inputs!$C$45),0)</f>
        <v>-28.6875</v>
      </c>
      <c r="J60" s="36" t="n">
        <f aca="false">IF(8&gt;=2,-Inputs!$C$75*Inputs!$C$44*(1-Inputs!$C$45),0)</f>
        <v>-28.6875</v>
      </c>
      <c r="K60" s="36" t="n">
        <f aca="false">IF(9&gt;=2,-Inputs!$C$75*Inputs!$C$44*(1-Inputs!$C$45),0)</f>
        <v>-28.6875</v>
      </c>
      <c r="L60" s="36" t="n">
        <f aca="false">IF(10&gt;=2,-Inputs!$C$75*Inputs!$C$44*(1-Inputs!$C$45),0)</f>
        <v>-28.6875</v>
      </c>
    </row>
    <row r="61" customFormat="false" ht="15" hidden="false" customHeight="false" outlineLevel="0" collapsed="false">
      <c r="A61" s="1"/>
      <c r="B61" s="8" t="s">
        <v>348</v>
      </c>
      <c r="C61" s="46" t="n">
        <v>0</v>
      </c>
      <c r="D61" s="46" t="n">
        <v>0</v>
      </c>
      <c r="E61" s="46" t="n">
        <v>0</v>
      </c>
      <c r="F61" s="46" t="n">
        <v>0</v>
      </c>
      <c r="G61" s="46" t="n">
        <v>0</v>
      </c>
      <c r="H61" s="46" t="n">
        <v>0</v>
      </c>
      <c r="I61" s="46" t="n">
        <v>0</v>
      </c>
      <c r="J61" s="46" t="n">
        <v>0</v>
      </c>
      <c r="K61" s="46" t="n">
        <v>0</v>
      </c>
      <c r="L61" s="46" t="n">
        <v>0</v>
      </c>
    </row>
    <row r="62" customFormat="false" ht="15" hidden="false" customHeight="false" outlineLevel="0" collapsed="false">
      <c r="A62" s="1"/>
      <c r="B62" s="41" t="s">
        <v>259</v>
      </c>
      <c r="C62" s="36" t="n">
        <f aca="false">SUM(C57:C61)</f>
        <v>-42.525</v>
      </c>
      <c r="D62" s="36" t="n">
        <f aca="false">SUM(D57:D61)</f>
        <v>-134.0235</v>
      </c>
      <c r="E62" s="36" t="n">
        <f aca="false">SUM(E57:E61)</f>
        <v>-93.4731</v>
      </c>
      <c r="F62" s="36" t="n">
        <f aca="false">SUM(F57:F61)</f>
        <v>-72.94446</v>
      </c>
      <c r="G62" s="36" t="n">
        <f aca="false">SUM(G57:G61)</f>
        <v>-45.57294</v>
      </c>
      <c r="H62" s="36" t="n">
        <f aca="false">SUM(H57:H61)</f>
        <v>-29.150028</v>
      </c>
      <c r="I62" s="36" t="n">
        <f aca="false">SUM(I57:I61)</f>
        <v>-9.44253360000003</v>
      </c>
      <c r="J62" s="36" t="n">
        <f aca="false">SUM(J57:J61)</f>
        <v>14.20645968</v>
      </c>
      <c r="K62" s="36" t="n">
        <f aca="false">SUM(K57:K61)</f>
        <v>42.585251616</v>
      </c>
      <c r="L62" s="36" t="n">
        <f aca="false">SUM(L57:L61)</f>
        <v>76.6398019391999</v>
      </c>
    </row>
    <row r="63" customFormat="false" ht="15" hidden="false" customHeight="false" outlineLevel="0" collapsed="false">
      <c r="A63" s="1"/>
      <c r="B63" s="8" t="s">
        <v>349</v>
      </c>
      <c r="C63" s="47" t="n">
        <f aca="false">Inputs!$C$8+IF(1&gt;=3,'Call Option &amp; Earn-out'!$C$22,0)</f>
        <v>64</v>
      </c>
      <c r="D63" s="47" t="n">
        <f aca="false">Inputs!$C$8+IF(2&gt;=3,'Call Option &amp; Earn-out'!$C$22,0)</f>
        <v>64</v>
      </c>
      <c r="E63" s="47" t="n">
        <f aca="false">Inputs!$C$8+IF(3&gt;=3,'Call Option &amp; Earn-out'!$C$22,0)</f>
        <v>64.7275789473684</v>
      </c>
      <c r="F63" s="47" t="n">
        <f aca="false">Inputs!$C$8+IF(4&gt;=3,'Call Option &amp; Earn-out'!$C$22,0)</f>
        <v>64.7275789473684</v>
      </c>
      <c r="G63" s="47" t="n">
        <f aca="false">Inputs!$C$8+IF(5&gt;=3,'Call Option &amp; Earn-out'!$C$22,0)</f>
        <v>64.7275789473684</v>
      </c>
      <c r="H63" s="47" t="n">
        <f aca="false">Inputs!$C$8+IF(6&gt;=3,'Call Option &amp; Earn-out'!$C$22,0)</f>
        <v>64.7275789473684</v>
      </c>
      <c r="I63" s="47" t="n">
        <f aca="false">Inputs!$C$8+IF(7&gt;=3,'Call Option &amp; Earn-out'!$C$22,0)</f>
        <v>64.7275789473684</v>
      </c>
      <c r="J63" s="47" t="n">
        <f aca="false">Inputs!$C$8+IF(8&gt;=3,'Call Option &amp; Earn-out'!$C$22,0)</f>
        <v>64.7275789473684</v>
      </c>
      <c r="K63" s="47" t="n">
        <f aca="false">Inputs!$C$8+IF(9&gt;=3,'Call Option &amp; Earn-out'!$C$22,0)</f>
        <v>64.7275789473684</v>
      </c>
      <c r="L63" s="47" t="n">
        <f aca="false">Inputs!$C$8+IF(10&gt;=3,'Call Option &amp; Earn-out'!$C$22,0)</f>
        <v>64.7275789473684</v>
      </c>
    </row>
    <row r="64" customFormat="false" ht="15" hidden="false" customHeight="false" outlineLevel="0" collapsed="false">
      <c r="A64" s="1"/>
      <c r="B64" s="41" t="s">
        <v>315</v>
      </c>
      <c r="C64" s="43" t="n">
        <f aca="false">(Inputs!$C$13+C62)/C63</f>
        <v>6.835546875</v>
      </c>
      <c r="D64" s="43" t="n">
        <f aca="false">(Inputs!$C$13+D62)/D63</f>
        <v>5.4058828125</v>
      </c>
      <c r="E64" s="43" t="n">
        <f aca="false">(Inputs!$C$13+E62)/E63</f>
        <v>5.97159520386657</v>
      </c>
      <c r="F64" s="43" t="n">
        <f aca="false">(Inputs!$C$13+F62)/F63</f>
        <v>6.28874965848772</v>
      </c>
      <c r="G64" s="43" t="n">
        <f aca="false">(Inputs!$C$13+G62)/G63</f>
        <v>6.71162226464925</v>
      </c>
      <c r="H64" s="43" t="n">
        <f aca="false">(Inputs!$C$13+H62)/H63</f>
        <v>6.96534582834617</v>
      </c>
      <c r="I64" s="43" t="n">
        <f aca="false">(Inputs!$C$13+I62)/I63</f>
        <v>7.26981410478247</v>
      </c>
      <c r="J64" s="43" t="n">
        <f aca="false">(Inputs!$C$13+J62)/J63</f>
        <v>7.63517603650604</v>
      </c>
      <c r="K64" s="43" t="n">
        <f aca="false">(Inputs!$C$13+K62)/K63</f>
        <v>8.07361035457431</v>
      </c>
      <c r="L64" s="43" t="n">
        <f aca="false">(Inputs!$C$13+L62)/L63</f>
        <v>8.59973153625625</v>
      </c>
    </row>
    <row r="65" customFormat="false" ht="15" hidden="false" customHeight="false" outlineLevel="0" collapsed="false">
      <c r="A65" s="1"/>
      <c r="B65" s="41" t="s">
        <v>262</v>
      </c>
      <c r="C65" s="34" t="n">
        <f aca="false">C64/Inputs!$C$14-1</f>
        <v>-0.0885937499999999</v>
      </c>
      <c r="D65" s="34" t="n">
        <f aca="false">D64/Inputs!$C$14-1</f>
        <v>-0.279215625</v>
      </c>
      <c r="E65" s="34" t="n">
        <f aca="false">E64/Inputs!$C$14-1</f>
        <v>-0.203787306151124</v>
      </c>
      <c r="F65" s="34" t="n">
        <f aca="false">F64/Inputs!$C$14-1</f>
        <v>-0.161500045534971</v>
      </c>
      <c r="G65" s="34" t="n">
        <f aca="false">G64/Inputs!$C$14-1</f>
        <v>-0.1051170313801</v>
      </c>
      <c r="H65" s="34" t="n">
        <f aca="false">H64/Inputs!$C$14-1</f>
        <v>-0.0712872228871773</v>
      </c>
      <c r="I65" s="34" t="n">
        <f aca="false">I64/Inputs!$C$14-1</f>
        <v>-0.0306914526956703</v>
      </c>
      <c r="J65" s="34" t="n">
        <f aca="false">J64/Inputs!$C$14-1</f>
        <v>0.0180234715341383</v>
      </c>
      <c r="K65" s="34" t="n">
        <f aca="false">K64/Inputs!$C$14-1</f>
        <v>0.0764813806099085</v>
      </c>
      <c r="L65" s="34" t="n">
        <f aca="false">L64/Inputs!$C$14-1</f>
        <v>0.146630871500833</v>
      </c>
    </row>
    <row r="66" customFormat="false" ht="15" hidden="false" customHeight="false" outlineLevel="0" collapsed="false">
      <c r="A66" s="1"/>
      <c r="B66" s="8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customFormat="false" ht="15" hidden="false" customHeight="false" outlineLevel="0" collapsed="false">
      <c r="A67" s="1"/>
      <c r="B67" s="8" t="s">
        <v>350</v>
      </c>
      <c r="C67" s="44" t="n">
        <f aca="false">IF(1=1,0,'Liminal Projection'!D34)</f>
        <v>0</v>
      </c>
      <c r="D67" s="44" t="n">
        <f aca="false">IF(2=1,0,'Liminal Projection'!E34)</f>
        <v>-6.33599999999999</v>
      </c>
      <c r="E67" s="44" t="n">
        <f aca="false">IF(3=1,0,'Liminal Projection'!F34)</f>
        <v>34.2144</v>
      </c>
      <c r="F67" s="44" t="n">
        <f aca="false">IF(4=1,0,'Liminal Projection'!G34)</f>
        <v>54.74304</v>
      </c>
      <c r="G67" s="44" t="n">
        <f aca="false">IF(5=1,0,'Liminal Projection'!H34)</f>
        <v>82.11456</v>
      </c>
      <c r="H67" s="44" t="n">
        <f aca="false">IF(6=1,0,'Liminal Projection'!I34)</f>
        <v>98.537472</v>
      </c>
      <c r="I67" s="44" t="n">
        <f aca="false">IF(7=1,0,'Liminal Projection'!J34)</f>
        <v>118.2449664</v>
      </c>
      <c r="J67" s="44" t="n">
        <f aca="false">IF(8=1,0,'Liminal Projection'!K34)</f>
        <v>141.89395968</v>
      </c>
      <c r="K67" s="44" t="n">
        <f aca="false">IF(9=1,0,'Liminal Projection'!L34)</f>
        <v>170.272751616</v>
      </c>
      <c r="L67" s="44" t="n">
        <f aca="false">IF(10=1,0,'Liminal Projection'!M34)</f>
        <v>204.3273019392</v>
      </c>
    </row>
    <row r="68" customFormat="false" ht="15" hidden="false" customHeight="false" outlineLevel="0" collapsed="false">
      <c r="A68" s="1"/>
      <c r="B68" s="8" t="s">
        <v>351</v>
      </c>
      <c r="C68" s="36" t="n">
        <f aca="false">C58+C59+C60</f>
        <v>-45</v>
      </c>
      <c r="D68" s="36" t="n">
        <f aca="false">D58+D59+D60</f>
        <v>-127.6875</v>
      </c>
      <c r="E68" s="36" t="n">
        <f aca="false">E58+E59+E60</f>
        <v>-127.6875</v>
      </c>
      <c r="F68" s="36" t="n">
        <f aca="false">F58+F59+F60</f>
        <v>-127.6875</v>
      </c>
      <c r="G68" s="36" t="n">
        <f aca="false">G58+G59+G60</f>
        <v>-127.6875</v>
      </c>
      <c r="H68" s="36" t="n">
        <f aca="false">H58+H59+H60</f>
        <v>-127.6875</v>
      </c>
      <c r="I68" s="36" t="n">
        <f aca="false">I58+I59+I60</f>
        <v>-127.6875</v>
      </c>
      <c r="J68" s="36" t="n">
        <f aca="false">J58+J59+J60</f>
        <v>-127.6875</v>
      </c>
      <c r="K68" s="36" t="n">
        <f aca="false">K58+K59+K60</f>
        <v>-127.6875</v>
      </c>
      <c r="L68" s="36" t="n">
        <f aca="false">L58+L59+L60</f>
        <v>-127.6875</v>
      </c>
    </row>
    <row r="69" customFormat="false" ht="15" hidden="false" customHeight="false" outlineLevel="0" collapsed="false">
      <c r="A69" s="1"/>
      <c r="B69" s="8" t="s">
        <v>352</v>
      </c>
      <c r="C69" s="44" t="n">
        <f aca="false">IF(1&gt;=2,-Inputs!$C$61,0)</f>
        <v>0</v>
      </c>
      <c r="D69" s="44" t="n">
        <f aca="false">IF(2&gt;=2,-Inputs!$C$61,0)</f>
        <v>-750</v>
      </c>
      <c r="E69" s="44" t="n">
        <f aca="false">IF(3&gt;=2,-Inputs!$C$61,0)</f>
        <v>-750</v>
      </c>
      <c r="F69" s="44" t="n">
        <f aca="false">IF(4&gt;=2,-Inputs!$C$61,0)</f>
        <v>-750</v>
      </c>
      <c r="G69" s="44" t="n">
        <f aca="false">IF(5&gt;=2,-Inputs!$C$61,0)</f>
        <v>-750</v>
      </c>
      <c r="H69" s="44" t="n">
        <f aca="false">IF(6&gt;=2,-Inputs!$C$61,0)</f>
        <v>-750</v>
      </c>
      <c r="I69" s="44" t="n">
        <f aca="false">IF(7&gt;=2,-Inputs!$C$61,0)</f>
        <v>-750</v>
      </c>
      <c r="J69" s="44" t="n">
        <f aca="false">IF(8&gt;=2,-Inputs!$C$61,0)</f>
        <v>-750</v>
      </c>
      <c r="K69" s="44" t="n">
        <f aca="false">IF(9&gt;=2,-Inputs!$C$61,0)</f>
        <v>-750</v>
      </c>
      <c r="L69" s="44" t="n">
        <f aca="false">IF(10&gt;=2,-Inputs!$C$61,0)</f>
        <v>-750</v>
      </c>
    </row>
    <row r="70" customFormat="false" ht="15" hidden="false" customHeight="false" outlineLevel="0" collapsed="false">
      <c r="A70" s="1"/>
      <c r="B70" s="8" t="s">
        <v>353</v>
      </c>
      <c r="C70" s="36" t="n">
        <f aca="false">IF(1=2,-Inputs!$C$39,0)</f>
        <v>0</v>
      </c>
      <c r="D70" s="36" t="n">
        <f aca="false">IF(2=2,-Inputs!$C$39,0)</f>
        <v>-100</v>
      </c>
      <c r="E70" s="36" t="n">
        <f aca="false">IF(3=2,-Inputs!$C$39,0)</f>
        <v>0</v>
      </c>
      <c r="F70" s="36" t="n">
        <f aca="false">IF(4=2,-Inputs!$C$39,0)</f>
        <v>0</v>
      </c>
      <c r="G70" s="36" t="n">
        <f aca="false">IF(5=2,-Inputs!$C$39,0)</f>
        <v>0</v>
      </c>
      <c r="H70" s="36" t="n">
        <f aca="false">IF(6=2,-Inputs!$C$39,0)</f>
        <v>0</v>
      </c>
      <c r="I70" s="36" t="n">
        <f aca="false">IF(7=2,-Inputs!$C$39,0)</f>
        <v>0</v>
      </c>
      <c r="J70" s="36" t="n">
        <f aca="false">IF(8=2,-Inputs!$C$39,0)</f>
        <v>0</v>
      </c>
      <c r="K70" s="36" t="n">
        <f aca="false">IF(9=2,-Inputs!$C$39,0)</f>
        <v>0</v>
      </c>
      <c r="L70" s="36" t="n">
        <f aca="false">IF(10=2,-Inputs!$C$39,0)</f>
        <v>0</v>
      </c>
    </row>
    <row r="71" customFormat="false" ht="15" hidden="false" customHeight="false" outlineLevel="0" collapsed="false">
      <c r="A71" s="1"/>
      <c r="B71" s="41" t="s">
        <v>338</v>
      </c>
      <c r="C71" s="48" t="n">
        <f aca="false">SUM(C67:C70)</f>
        <v>-45</v>
      </c>
      <c r="D71" s="48" t="n">
        <f aca="false">SUM(D67:D70)</f>
        <v>-984.0235</v>
      </c>
      <c r="E71" s="48" t="n">
        <f aca="false">SUM(E67:E70)</f>
        <v>-843.4731</v>
      </c>
      <c r="F71" s="48" t="n">
        <f aca="false">SUM(F67:F70)</f>
        <v>-822.94446</v>
      </c>
      <c r="G71" s="48" t="n">
        <f aca="false">SUM(G67:G70)</f>
        <v>-795.57294</v>
      </c>
      <c r="H71" s="48" t="n">
        <f aca="false">SUM(H67:H70)</f>
        <v>-779.150028</v>
      </c>
      <c r="I71" s="48" t="n">
        <f aca="false">SUM(I67:I70)</f>
        <v>-759.4425336</v>
      </c>
      <c r="J71" s="48" t="n">
        <f aca="false">SUM(J67:J70)</f>
        <v>-735.79354032</v>
      </c>
      <c r="K71" s="48" t="n">
        <f aca="false">SUM(K67:K70)</f>
        <v>-707.414748384</v>
      </c>
      <c r="L71" s="48" t="n">
        <f aca="false">SUM(L67:L70)</f>
        <v>-673.3601980608</v>
      </c>
    </row>
    <row r="72" customFormat="false" ht="15" hidden="false" customHeight="false" outlineLevel="0" collapsed="false">
      <c r="A72" s="1"/>
      <c r="B72" s="8" t="s">
        <v>326</v>
      </c>
      <c r="C72" s="27" t="str">
        <f aca="false">IF(AND(1&gt;=2,C62&gt;=0),"Yes","No")</f>
        <v>No</v>
      </c>
      <c r="D72" s="27" t="str">
        <f aca="false">IF(AND(2&gt;=2,D62&gt;=0),"Yes","No")</f>
        <v>No</v>
      </c>
      <c r="E72" s="27" t="str">
        <f aca="false">IF(AND(3&gt;=2,E62&gt;=0),"Yes","No")</f>
        <v>No</v>
      </c>
      <c r="F72" s="27" t="str">
        <f aca="false">IF(AND(4&gt;=2,F62&gt;=0),"Yes","No")</f>
        <v>No</v>
      </c>
      <c r="G72" s="27" t="str">
        <f aca="false">IF(AND(5&gt;=2,G62&gt;=0),"Yes","No")</f>
        <v>No</v>
      </c>
      <c r="H72" s="27" t="str">
        <f aca="false">IF(AND(6&gt;=2,H62&gt;=0),"Yes","No")</f>
        <v>No</v>
      </c>
      <c r="I72" s="27" t="str">
        <f aca="false">IF(AND(7&gt;=2,I62&gt;=0),"Yes","No")</f>
        <v>No</v>
      </c>
      <c r="J72" s="27" t="str">
        <f aca="false">IF(AND(8&gt;=2,J62&gt;=0),"Yes","No")</f>
        <v>Yes</v>
      </c>
      <c r="K72" s="27" t="str">
        <f aca="false">IF(AND(9&gt;=2,K62&gt;=0),"Yes","No")</f>
        <v>Yes</v>
      </c>
      <c r="L72" s="27" t="str">
        <f aca="false">IF(AND(10&gt;=2,L62&gt;=0),"Yes","No")</f>
        <v>Yes</v>
      </c>
    </row>
    <row r="73" customFormat="false" ht="15" hidden="false" customHeight="false" outlineLevel="0" collapsed="false">
      <c r="A73" s="1"/>
      <c r="B73" s="8" t="s">
        <v>327</v>
      </c>
      <c r="C73" s="27" t="str">
        <f aca="false">IF(AND(1&gt;=2,C71&gt;=0),"Yes","No")</f>
        <v>No</v>
      </c>
      <c r="D73" s="27" t="str">
        <f aca="false">IF(AND(2&gt;=2,D71&gt;=0),"Yes","No")</f>
        <v>No</v>
      </c>
      <c r="E73" s="27" t="str">
        <f aca="false">IF(AND(3&gt;=2,E71&gt;=0),"Yes","No")</f>
        <v>No</v>
      </c>
      <c r="F73" s="27" t="str">
        <f aca="false">IF(AND(4&gt;=2,F71&gt;=0),"Yes","No")</f>
        <v>No</v>
      </c>
      <c r="G73" s="27" t="str">
        <f aca="false">IF(AND(5&gt;=2,G71&gt;=0),"Yes","No")</f>
        <v>No</v>
      </c>
      <c r="H73" s="27" t="str">
        <f aca="false">IF(AND(6&gt;=2,H71&gt;=0),"Yes","No")</f>
        <v>No</v>
      </c>
      <c r="I73" s="27" t="str">
        <f aca="false">IF(AND(7&gt;=2,I71&gt;=0),"Yes","No")</f>
        <v>No</v>
      </c>
      <c r="J73" s="27" t="str">
        <f aca="false">IF(AND(8&gt;=2,J71&gt;=0),"Yes","No")</f>
        <v>No</v>
      </c>
      <c r="K73" s="27" t="str">
        <f aca="false">IF(AND(9&gt;=2,K71&gt;=0),"Yes","No")</f>
        <v>No</v>
      </c>
      <c r="L73" s="27" t="str">
        <f aca="false">IF(AND(10&gt;=2,L71&gt;=0),"Yes","No")</f>
        <v>No</v>
      </c>
    </row>
    <row r="74" customFormat="false" ht="15" hidden="false" customHeight="fals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customFormat="false" ht="15" hidden="false" customHeight="false" outlineLevel="0" collapsed="false">
      <c r="A75" s="1"/>
      <c r="B75" s="8" t="s">
        <v>354</v>
      </c>
      <c r="C75" s="49" t="n">
        <f aca="false">IFERROR(MATCH("Yes",C72:L72,0),"Not within 10 years")</f>
        <v>8</v>
      </c>
      <c r="D75" s="1"/>
      <c r="E75" s="1"/>
      <c r="F75" s="1"/>
      <c r="G75" s="1"/>
      <c r="H75" s="1"/>
      <c r="I75" s="1"/>
      <c r="J75" s="1"/>
      <c r="K75" s="1"/>
      <c r="L75" s="1"/>
    </row>
    <row r="76" customFormat="false" ht="15" hidden="false" customHeight="false" outlineLevel="0" collapsed="false">
      <c r="A76" s="1"/>
      <c r="B76" s="8" t="s">
        <v>355</v>
      </c>
      <c r="C76" s="49" t="str">
        <f aca="false">IFERROR(MATCH("Yes",C73:L73,0),"Not within 10 years")</f>
        <v>Not within 10 years</v>
      </c>
      <c r="D76" s="1"/>
      <c r="E76" s="1"/>
      <c r="F76" s="1"/>
      <c r="G76" s="1"/>
      <c r="H76" s="1"/>
      <c r="I76" s="1"/>
      <c r="J76" s="1"/>
      <c r="K76" s="1"/>
      <c r="L76" s="1"/>
    </row>
    <row r="77" customFormat="false" ht="15" hidden="false" customHeight="false" outlineLevel="0" collapsed="false">
      <c r="A77" s="1"/>
      <c r="B77" s="42" t="s">
        <v>356</v>
      </c>
      <c r="C77" s="1"/>
      <c r="D77" s="1"/>
      <c r="E77" s="1"/>
      <c r="F77" s="1"/>
      <c r="G77" s="1"/>
      <c r="H77" s="1"/>
      <c r="I77" s="1"/>
      <c r="J77" s="1"/>
      <c r="K77" s="1"/>
      <c r="L77" s="1"/>
    </row>
    <row r="78" customFormat="false" ht="15" hidden="false" customHeight="fals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customFormat="false" ht="15" hidden="false" customHeight="false" outlineLevel="0" collapsed="false">
      <c r="A79" s="1"/>
      <c r="B79" s="24" t="s">
        <v>357</v>
      </c>
      <c r="C79" s="25"/>
      <c r="D79" s="25"/>
      <c r="E79" s="25"/>
      <c r="F79" s="25"/>
      <c r="G79" s="25"/>
      <c r="H79" s="25"/>
      <c r="I79" s="25"/>
      <c r="J79" s="25"/>
      <c r="K79" s="25"/>
      <c r="L79" s="25"/>
    </row>
    <row r="80" customFormat="false" ht="15" hidden="false" customHeight="false" outlineLevel="0" collapsed="false">
      <c r="A80" s="1"/>
      <c r="B80" s="8" t="s">
        <v>358</v>
      </c>
      <c r="C80" s="19" t="n">
        <f aca="false">Inputs!$C$26</f>
        <v>750</v>
      </c>
      <c r="D80" s="1"/>
      <c r="E80" s="1"/>
      <c r="F80" s="1"/>
      <c r="G80" s="1"/>
      <c r="H80" s="1"/>
      <c r="I80" s="1"/>
      <c r="J80" s="1"/>
      <c r="K80" s="1"/>
      <c r="L80" s="1"/>
    </row>
    <row r="81" customFormat="false" ht="15" hidden="false" customHeight="false" outlineLevel="0" collapsed="false">
      <c r="A81" s="1"/>
      <c r="B81" s="8" t="s">
        <v>359</v>
      </c>
      <c r="C81" s="19" t="n">
        <f aca="false">Inputs!$C$27</f>
        <v>115</v>
      </c>
      <c r="D81" s="8" t="s">
        <v>360</v>
      </c>
      <c r="E81" s="1"/>
      <c r="F81" s="39" t="n">
        <f aca="false">Inputs!$C$77</f>
        <v>0.153333333333333</v>
      </c>
      <c r="G81" s="1"/>
      <c r="H81" s="1"/>
      <c r="I81" s="1"/>
      <c r="J81" s="1"/>
      <c r="K81" s="1"/>
      <c r="L81" s="1"/>
    </row>
    <row r="82" customFormat="false" ht="15" hidden="false" customHeight="false" outlineLevel="0" collapsed="false">
      <c r="A82" s="1"/>
      <c r="B82" s="8" t="s">
        <v>361</v>
      </c>
      <c r="C82" s="19" t="n">
        <f aca="false">Inputs!$C$76</f>
        <v>69</v>
      </c>
      <c r="D82" s="8" t="s">
        <v>362</v>
      </c>
      <c r="E82" s="1"/>
      <c r="F82" s="39" t="n">
        <f aca="false">Inputs!$C$78</f>
        <v>0.092</v>
      </c>
      <c r="G82" s="1"/>
      <c r="H82" s="1"/>
      <c r="I82" s="1"/>
      <c r="J82" s="1"/>
      <c r="K82" s="1"/>
      <c r="L82" s="1"/>
    </row>
    <row r="83" customFormat="false" ht="15" hidden="false" customHeight="false" outlineLevel="0" collapsed="false">
      <c r="A83" s="1"/>
      <c r="B83" s="8" t="s">
        <v>363</v>
      </c>
      <c r="C83" s="38" t="n">
        <f aca="false">Inputs!$C$26-Inputs!$C$76</f>
        <v>681</v>
      </c>
      <c r="D83" s="1"/>
      <c r="E83" s="1"/>
      <c r="F83" s="1"/>
      <c r="G83" s="1"/>
      <c r="H83" s="1"/>
      <c r="I83" s="1"/>
      <c r="J83" s="1"/>
      <c r="K83" s="1"/>
      <c r="L83" s="1"/>
    </row>
    <row r="84" customFormat="false" ht="15" hidden="false" customHeight="false" outlineLevel="0" collapsed="false">
      <c r="A84" s="1"/>
      <c r="B84" s="8" t="s">
        <v>364</v>
      </c>
      <c r="C84" s="19" t="n">
        <f aca="false">Inputs!$C$79</f>
        <v>4237.66727130815</v>
      </c>
      <c r="D84" s="19" t="n">
        <f aca="false">Inputs!$C$18</f>
        <v>4000</v>
      </c>
      <c r="E84" s="1"/>
      <c r="F84" s="1"/>
      <c r="G84" s="1"/>
      <c r="H84" s="1"/>
      <c r="I84" s="1"/>
      <c r="J84" s="1"/>
      <c r="K84" s="1"/>
      <c r="L84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4"/>
    <col collapsed="false" customWidth="true" hidden="false" outlineLevel="0" max="6" min="3" style="0" width="16"/>
    <col collapsed="false" customWidth="true" hidden="false" outlineLevel="0" max="7" min="7" style="0" width="18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</row>
    <row r="2" customFormat="false" ht="17.35" hidden="false" customHeight="false" outlineLevel="0" collapsed="false">
      <c r="A2" s="1"/>
      <c r="B2" s="15" t="s">
        <v>17</v>
      </c>
      <c r="C2" s="1"/>
      <c r="D2" s="1"/>
      <c r="E2" s="1"/>
      <c r="F2" s="1"/>
      <c r="G2" s="1"/>
    </row>
    <row r="3" customFormat="false" ht="15" hidden="false" customHeight="false" outlineLevel="0" collapsed="false">
      <c r="A3" s="1"/>
      <c r="B3" s="4" t="s">
        <v>365</v>
      </c>
      <c r="C3" s="1"/>
      <c r="D3" s="1"/>
      <c r="E3" s="1"/>
      <c r="F3" s="1"/>
      <c r="G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</row>
    <row r="5" customFormat="false" ht="15" hidden="false" customHeight="false" outlineLevel="0" collapsed="false">
      <c r="A5" s="1"/>
      <c r="B5" s="8" t="s">
        <v>366</v>
      </c>
      <c r="C5" s="20" t="n">
        <f aca="false">Inputs!$C$71</f>
        <v>0.75</v>
      </c>
      <c r="D5" s="1"/>
      <c r="E5" s="1"/>
      <c r="F5" s="1"/>
      <c r="G5" s="1"/>
    </row>
    <row r="6" customFormat="false" ht="15" hidden="false" customHeight="false" outlineLevel="0" collapsed="false">
      <c r="A6" s="1"/>
      <c r="B6" s="8" t="s">
        <v>367</v>
      </c>
      <c r="C6" s="19" t="n">
        <f aca="false">Inputs!$C$72</f>
        <v>3000</v>
      </c>
      <c r="D6" s="1"/>
      <c r="E6" s="1"/>
      <c r="F6" s="1"/>
      <c r="G6" s="1"/>
    </row>
    <row r="7" customFormat="false" ht="15" hidden="false" customHeight="false" outlineLevel="0" collapsed="false">
      <c r="A7" s="1"/>
      <c r="B7" s="8" t="s">
        <v>368</v>
      </c>
      <c r="C7" s="19" t="n">
        <f aca="false">Inputs!$C$73</f>
        <v>1650</v>
      </c>
      <c r="D7" s="1"/>
      <c r="E7" s="1"/>
      <c r="F7" s="1"/>
      <c r="G7" s="1"/>
    </row>
    <row r="8" customFormat="false" ht="15" hidden="false" customHeight="false" outlineLevel="0" collapsed="false">
      <c r="A8" s="1"/>
      <c r="B8" s="8" t="s">
        <v>369</v>
      </c>
      <c r="C8" s="19" t="n">
        <f aca="false">Inputs!$C$74</f>
        <v>1350</v>
      </c>
      <c r="D8" s="1"/>
      <c r="E8" s="1"/>
      <c r="F8" s="1"/>
      <c r="G8" s="1"/>
    </row>
    <row r="9" customFormat="false" ht="15" hidden="false" customHeight="false" outlineLevel="0" collapsed="false">
      <c r="A9" s="1"/>
      <c r="B9" s="8" t="s">
        <v>370</v>
      </c>
      <c r="C9" s="20" t="n">
        <f aca="false">Inputs!$C$37</f>
        <v>0.55</v>
      </c>
      <c r="D9" s="1"/>
      <c r="E9" s="1"/>
      <c r="F9" s="1"/>
      <c r="G9" s="1"/>
    </row>
    <row r="10" customFormat="false" ht="15" hidden="false" customHeight="false" outlineLevel="0" collapsed="false">
      <c r="A10" s="1"/>
      <c r="B10" s="8" t="s">
        <v>67</v>
      </c>
      <c r="C10" s="38" t="n">
        <f aca="false">Inputs!$C$70+C6</f>
        <v>4000</v>
      </c>
      <c r="D10" s="8" t="s">
        <v>371</v>
      </c>
      <c r="E10" s="1"/>
      <c r="F10" s="1"/>
      <c r="G10" s="1"/>
    </row>
    <row r="11" customFormat="false" ht="15" hidden="false" customHeight="false" outlineLevel="0" collapsed="false">
      <c r="A11" s="1"/>
      <c r="B11" s="8" t="s">
        <v>69</v>
      </c>
      <c r="C11" s="19" t="n">
        <f aca="false">Inputs!$C$70</f>
        <v>1000</v>
      </c>
      <c r="D11" s="1"/>
      <c r="E11" s="1"/>
      <c r="F11" s="1"/>
      <c r="G11" s="1"/>
    </row>
    <row r="12" customFormat="false" ht="15" hidden="false" customHeight="false" outlineLevel="0" collapsed="false">
      <c r="A12" s="1"/>
      <c r="B12" s="1"/>
      <c r="C12" s="1"/>
      <c r="D12" s="1"/>
      <c r="E12" s="1"/>
      <c r="F12" s="1"/>
      <c r="G12" s="1"/>
    </row>
    <row r="13" customFormat="false" ht="37.3" hidden="false" customHeight="false" outlineLevel="0" collapsed="false">
      <c r="A13" s="1"/>
      <c r="B13" s="16" t="s">
        <v>372</v>
      </c>
      <c r="C13" s="16" t="s">
        <v>373</v>
      </c>
      <c r="D13" s="16" t="s">
        <v>374</v>
      </c>
      <c r="E13" s="16" t="s">
        <v>375</v>
      </c>
      <c r="F13" s="16" t="s">
        <v>376</v>
      </c>
      <c r="G13" s="16" t="s">
        <v>377</v>
      </c>
    </row>
    <row r="14" customFormat="false" ht="15" hidden="false" customHeight="false" outlineLevel="0" collapsed="false">
      <c r="A14" s="1"/>
      <c r="B14" s="30" t="n">
        <v>0</v>
      </c>
      <c r="C14" s="34" t="n">
        <f aca="false">1-B14</f>
        <v>1</v>
      </c>
      <c r="D14" s="32" t="n">
        <f aca="false">$C$8*MIN(MAX((C14-$C$9)/(1-$C$9),0),1)</f>
        <v>1350</v>
      </c>
      <c r="E14" s="50" t="n">
        <f aca="false">$C$7+D14</f>
        <v>3000</v>
      </c>
      <c r="F14" s="32" t="n">
        <f aca="false">Inputs!$C$70+E14</f>
        <v>4000</v>
      </c>
      <c r="G14" s="32" t="n">
        <f aca="false">Inputs!$C$71*Inputs!$C$68*Inputs!$C$21*C14</f>
        <v>3000</v>
      </c>
    </row>
    <row r="15" customFormat="false" ht="15" hidden="false" customHeight="false" outlineLevel="0" collapsed="false">
      <c r="A15" s="1"/>
      <c r="B15" s="30" t="n">
        <v>0.1</v>
      </c>
      <c r="C15" s="34" t="n">
        <f aca="false">1-B15</f>
        <v>0.9</v>
      </c>
      <c r="D15" s="32" t="n">
        <f aca="false">$C$8*MIN(MAX((C15-$C$9)/(1-$C$9),0),1)</f>
        <v>1050</v>
      </c>
      <c r="E15" s="50" t="n">
        <f aca="false">$C$7+D15</f>
        <v>2700</v>
      </c>
      <c r="F15" s="32" t="n">
        <f aca="false">Inputs!$C$70+E15</f>
        <v>3700</v>
      </c>
      <c r="G15" s="32" t="n">
        <f aca="false">Inputs!$C$71*Inputs!$C$68*Inputs!$C$21*C15</f>
        <v>2700</v>
      </c>
    </row>
    <row r="16" customFormat="false" ht="15" hidden="false" customHeight="false" outlineLevel="0" collapsed="false">
      <c r="A16" s="1"/>
      <c r="B16" s="30" t="n">
        <v>0.2</v>
      </c>
      <c r="C16" s="34" t="n">
        <f aca="false">1-B16</f>
        <v>0.8</v>
      </c>
      <c r="D16" s="32" t="n">
        <f aca="false">$C$8*MIN(MAX((C16-$C$9)/(1-$C$9),0),1)</f>
        <v>750</v>
      </c>
      <c r="E16" s="50" t="n">
        <f aca="false">$C$7+D16</f>
        <v>2400</v>
      </c>
      <c r="F16" s="32" t="n">
        <f aca="false">Inputs!$C$70+E16</f>
        <v>3400</v>
      </c>
      <c r="G16" s="32" t="n">
        <f aca="false">Inputs!$C$71*Inputs!$C$68*Inputs!$C$21*C16</f>
        <v>2400</v>
      </c>
    </row>
    <row r="17" customFormat="false" ht="15" hidden="false" customHeight="false" outlineLevel="0" collapsed="false">
      <c r="A17" s="1"/>
      <c r="B17" s="30" t="n">
        <v>0.3</v>
      </c>
      <c r="C17" s="34" t="n">
        <f aca="false">1-B17</f>
        <v>0.7</v>
      </c>
      <c r="D17" s="32" t="n">
        <f aca="false">$C$8*MIN(MAX((C17-$C$9)/(1-$C$9),0),1)</f>
        <v>450</v>
      </c>
      <c r="E17" s="50" t="n">
        <f aca="false">$C$7+D17</f>
        <v>2100</v>
      </c>
      <c r="F17" s="32" t="n">
        <f aca="false">Inputs!$C$70+E17</f>
        <v>3100</v>
      </c>
      <c r="G17" s="32" t="n">
        <f aca="false">Inputs!$C$71*Inputs!$C$68*Inputs!$C$21*C17</f>
        <v>2100</v>
      </c>
    </row>
    <row r="18" customFormat="false" ht="15" hidden="false" customHeight="false" outlineLevel="0" collapsed="false">
      <c r="A18" s="1"/>
      <c r="B18" s="30" t="n">
        <v>0.375</v>
      </c>
      <c r="C18" s="34" t="n">
        <f aca="false">1-B18</f>
        <v>0.625</v>
      </c>
      <c r="D18" s="32" t="n">
        <f aca="false">$C$8*MIN(MAX((C18-$C$9)/(1-$C$9),0),1)</f>
        <v>225</v>
      </c>
      <c r="E18" s="50" t="n">
        <f aca="false">$C$7+D18</f>
        <v>1875</v>
      </c>
      <c r="F18" s="32" t="n">
        <f aca="false">Inputs!$C$70+E18</f>
        <v>2875</v>
      </c>
      <c r="G18" s="32" t="n">
        <f aca="false">Inputs!$C$71*Inputs!$C$68*Inputs!$C$21*C18</f>
        <v>1875</v>
      </c>
    </row>
    <row r="19" customFormat="false" ht="15" hidden="false" customHeight="false" outlineLevel="0" collapsed="false">
      <c r="A19" s="1"/>
      <c r="B19" s="30" t="n">
        <v>0.45</v>
      </c>
      <c r="C19" s="34" t="n">
        <f aca="false">1-B19</f>
        <v>0.55</v>
      </c>
      <c r="D19" s="32" t="n">
        <f aca="false">$C$8*MIN(MAX((C19-$C$9)/(1-$C$9),0),1)</f>
        <v>0</v>
      </c>
      <c r="E19" s="50" t="n">
        <f aca="false">$C$7+D19</f>
        <v>1650</v>
      </c>
      <c r="F19" s="32" t="n">
        <f aca="false">Inputs!$C$70+E19</f>
        <v>2650</v>
      </c>
      <c r="G19" s="32" t="n">
        <f aca="false">Inputs!$C$71*Inputs!$C$68*Inputs!$C$21*C19</f>
        <v>1650</v>
      </c>
    </row>
    <row r="20" customFormat="false" ht="15" hidden="false" customHeight="false" outlineLevel="0" collapsed="false">
      <c r="A20" s="1"/>
      <c r="B20" s="30" t="n">
        <v>0.55</v>
      </c>
      <c r="C20" s="34" t="n">
        <f aca="false">1-B20</f>
        <v>0.45</v>
      </c>
      <c r="D20" s="32" t="n">
        <f aca="false">$C$8*MIN(MAX((C20-$C$9)/(1-$C$9),0),1)</f>
        <v>0</v>
      </c>
      <c r="E20" s="50" t="n">
        <f aca="false">$C$7+D20</f>
        <v>1650</v>
      </c>
      <c r="F20" s="32" t="n">
        <f aca="false">Inputs!$C$70+E20</f>
        <v>2650</v>
      </c>
      <c r="G20" s="32" t="n">
        <f aca="false">Inputs!$C$71*Inputs!$C$68*Inputs!$C$21*C20</f>
        <v>1350</v>
      </c>
    </row>
    <row r="21" customFormat="false" ht="15" hidden="false" customHeight="false" outlineLevel="0" collapsed="false">
      <c r="A21" s="1"/>
      <c r="B21" s="1"/>
      <c r="C21" s="1"/>
      <c r="D21" s="1"/>
      <c r="E21" s="1"/>
      <c r="F21" s="1"/>
      <c r="G21" s="1"/>
    </row>
    <row r="22" customFormat="false" ht="15" hidden="false" customHeight="false" outlineLevel="0" collapsed="false">
      <c r="A22" s="1"/>
      <c r="B22" s="8" t="s">
        <v>378</v>
      </c>
      <c r="C22" s="51" t="n">
        <f aca="false">IF(Inputs!$C$38=1,C8/Inputs!$C$67,0)</f>
        <v>0.727578947368421</v>
      </c>
      <c r="D22" s="8" t="s">
        <v>379</v>
      </c>
      <c r="E22" s="34" t="n">
        <f aca="false">C22/Inputs!$C$8</f>
        <v>0.0113684210526316</v>
      </c>
      <c r="F22" s="1"/>
      <c r="G22" s="1"/>
    </row>
    <row r="23" customFormat="false" ht="15" hidden="false" customHeight="false" outlineLevel="0" collapsed="false">
      <c r="A23" s="1"/>
      <c r="B23" s="8" t="s">
        <v>380</v>
      </c>
      <c r="C23" s="32" t="n">
        <f aca="false">C8/(1-C9)*0.1</f>
        <v>300</v>
      </c>
      <c r="D23" s="1"/>
      <c r="E23" s="1"/>
      <c r="F23" s="1"/>
      <c r="G23" s="1"/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  <c r="G24" s="1"/>
    </row>
    <row r="25" customFormat="false" ht="15" hidden="false" customHeight="false" outlineLevel="0" collapsed="false">
      <c r="A25" s="1"/>
      <c r="B25" s="42" t="s">
        <v>381</v>
      </c>
      <c r="C25" s="1"/>
      <c r="D25" s="1"/>
      <c r="E25" s="1"/>
      <c r="F25" s="1"/>
      <c r="G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</row>
    <row r="27" customFormat="false" ht="15" hidden="false" customHeight="false" outlineLevel="0" collapsed="false">
      <c r="A27" s="1"/>
      <c r="B27" s="24" t="s">
        <v>382</v>
      </c>
      <c r="C27" s="25"/>
      <c r="D27" s="25"/>
      <c r="E27" s="25"/>
      <c r="F27" s="25"/>
      <c r="G27" s="25"/>
    </row>
    <row r="28" customFormat="false" ht="15" hidden="false" customHeight="false" outlineLevel="0" collapsed="false">
      <c r="A28" s="1"/>
      <c r="B28" s="16" t="s">
        <v>383</v>
      </c>
      <c r="C28" s="52" t="n">
        <v>6</v>
      </c>
      <c r="D28" s="52" t="n">
        <v>10</v>
      </c>
      <c r="E28" s="52" t="n">
        <v>14</v>
      </c>
      <c r="F28" s="53" t="n">
        <f aca="false">Inputs!$C$68</f>
        <v>18.1818181818182</v>
      </c>
      <c r="G28" s="1"/>
    </row>
    <row r="29" customFormat="false" ht="15" hidden="false" customHeight="false" outlineLevel="0" collapsed="false">
      <c r="A29" s="1"/>
      <c r="B29" s="30" t="n">
        <v>0.1</v>
      </c>
      <c r="C29" s="34" t="n">
        <f aca="false">((Inputs!$C$30*C$28*Inputs!$C$21*(1+$B29)^5)/Inputs!$C$70)^(1/5)-1</f>
        <v>-0.118757420309083</v>
      </c>
      <c r="D29" s="34" t="n">
        <f aca="false">((Inputs!$C$30*D$28*Inputs!$C$21*(1+$B29)^5)/Inputs!$C$70)^(1/5)-1</f>
        <v>-0.0239653784970413</v>
      </c>
      <c r="E29" s="34" t="n">
        <f aca="false">((Inputs!$C$30*E$28*Inputs!$C$21*(1+$B29)^5)/Inputs!$C$70)^(1/5)-1</f>
        <v>0.043976758226455</v>
      </c>
      <c r="F29" s="34" t="n">
        <f aca="false">((Inputs!$C$30*F$28*Inputs!$C$21*(1+$B29)^5)/Inputs!$C$70)^(1/5)-1</f>
        <v>0.1</v>
      </c>
      <c r="G29" s="1"/>
    </row>
    <row r="30" customFormat="false" ht="15" hidden="false" customHeight="false" outlineLevel="0" collapsed="false">
      <c r="A30" s="1"/>
      <c r="B30" s="30" t="n">
        <v>0.2</v>
      </c>
      <c r="C30" s="34" t="n">
        <f aca="false">((Inputs!$C$30*C$28*Inputs!$C$21*(1+$B30)^5)/Inputs!$C$70)^(1/5)-1</f>
        <v>-0.0386444585189998</v>
      </c>
      <c r="D30" s="34" t="n">
        <f aca="false">((Inputs!$C$30*D$28*Inputs!$C$21*(1+$B30)^5)/Inputs!$C$70)^(1/5)-1</f>
        <v>0.0647650416395913</v>
      </c>
      <c r="E30" s="34" t="n">
        <f aca="false">((Inputs!$C$30*E$28*Inputs!$C$21*(1+$B30)^5)/Inputs!$C$70)^(1/5)-1</f>
        <v>0.138883736247042</v>
      </c>
      <c r="F30" s="34" t="n">
        <f aca="false">((Inputs!$C$30*F$28*Inputs!$C$21*(1+$B30)^5)/Inputs!$C$70)^(1/5)-1</f>
        <v>0.2</v>
      </c>
      <c r="G30" s="1"/>
    </row>
    <row r="31" customFormat="false" ht="15" hidden="false" customHeight="false" outlineLevel="0" collapsed="false">
      <c r="A31" s="1"/>
      <c r="B31" s="30" t="n">
        <v>0.3</v>
      </c>
      <c r="C31" s="34" t="n">
        <f aca="false">((Inputs!$C$30*C$28*Inputs!$C$21*(1+$B31)^5)/Inputs!$C$70)^(1/5)-1</f>
        <v>0.0414685032710838</v>
      </c>
      <c r="D31" s="34" t="n">
        <f aca="false">((Inputs!$C$30*D$28*Inputs!$C$21*(1+$B31)^5)/Inputs!$C$70)^(1/5)-1</f>
        <v>0.153495461776224</v>
      </c>
      <c r="E31" s="34" t="n">
        <f aca="false">((Inputs!$C$30*E$28*Inputs!$C$21*(1+$B31)^5)/Inputs!$C$70)^(1/5)-1</f>
        <v>0.233790714267629</v>
      </c>
      <c r="F31" s="34" t="n">
        <f aca="false">((Inputs!$C$30*F$28*Inputs!$C$21*(1+$B31)^5)/Inputs!$C$70)^(1/5)-1</f>
        <v>0.3</v>
      </c>
      <c r="G31" s="1"/>
    </row>
    <row r="32" customFormat="false" ht="15" hidden="false" customHeight="false" outlineLevel="0" collapsed="false">
      <c r="A32" s="1"/>
      <c r="B32" s="8" t="s">
        <v>384</v>
      </c>
      <c r="C32" s="20" t="n">
        <f aca="false">Inputs!$C$46</f>
        <v>0.12</v>
      </c>
      <c r="D32" s="1"/>
      <c r="E32" s="1"/>
      <c r="F32" s="1"/>
      <c r="G32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3" min="3" style="0" width="14"/>
    <col collapsed="false" customWidth="true" hidden="false" outlineLevel="0" max="4" min="4" style="0" width="70"/>
    <col collapsed="false" customWidth="true" hidden="false" outlineLevel="0" max="8" min="5" style="0" width="14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</row>
    <row r="2" customFormat="false" ht="17.35" hidden="false" customHeight="false" outlineLevel="0" collapsed="false">
      <c r="A2" s="1"/>
      <c r="B2" s="15" t="s">
        <v>19</v>
      </c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A3" s="1"/>
      <c r="B3" s="4" t="s">
        <v>385</v>
      </c>
      <c r="C3" s="1"/>
      <c r="D3" s="1"/>
      <c r="E3" s="1"/>
      <c r="F3" s="1"/>
      <c r="G3" s="1"/>
      <c r="H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</row>
    <row r="5" customFormat="false" ht="15" hidden="false" customHeight="false" outlineLevel="0" collapsed="false">
      <c r="A5" s="1"/>
      <c r="B5" s="24" t="s">
        <v>386</v>
      </c>
      <c r="C5" s="25"/>
      <c r="D5" s="25"/>
      <c r="E5" s="25"/>
      <c r="F5" s="25"/>
      <c r="G5" s="25"/>
      <c r="H5" s="25"/>
    </row>
    <row r="6" customFormat="false" ht="15" hidden="false" customHeight="false" outlineLevel="0" collapsed="false">
      <c r="A6" s="1"/>
      <c r="B6" s="16" t="s">
        <v>387</v>
      </c>
      <c r="C6" s="54" t="n">
        <v>0</v>
      </c>
      <c r="D6" s="54" t="n">
        <v>0.3</v>
      </c>
      <c r="E6" s="54" t="n">
        <v>0.375</v>
      </c>
      <c r="F6" s="54" t="n">
        <v>0.45</v>
      </c>
      <c r="G6" s="54" t="n">
        <v>0.55</v>
      </c>
      <c r="H6" s="1"/>
    </row>
    <row r="7" customFormat="false" ht="15" hidden="false" customHeight="false" outlineLevel="0" collapsed="false">
      <c r="A7" s="1"/>
      <c r="B7" s="30" t="n">
        <v>0.05</v>
      </c>
      <c r="C7" s="40" t="n">
        <f aca="false">(Inputs!$C$13-Inputs!$C$19*$B7*(1-Inputs!$C$45)+IF((Inputs!$C$21*(1+Inputs!$C$52)*(1-C$6)*MIN(Inputs!$C$53,Inputs!$C$54)-Inputs!$C$58*Inputs!$C$21*(1+Inputs!$C$52)*C$6)&gt;0,(Inputs!$C$21*(1+Inputs!$C$52)*(1-C$6)*MIN(Inputs!$C$53,Inputs!$C$54)-Inputs!$C$58*Inputs!$C$21*(1+Inputs!$C$52)*C$6)*Inputs!$C$55,(Inputs!$C$21*(1+Inputs!$C$52)*(1-C$6)*MIN(Inputs!$C$53,Inputs!$C$54)-Inputs!$C$58*Inputs!$C$21*(1+Inputs!$C$52)*C$6)))/(Inputs!$C$8+Inputs!$C$20/Inputs!$C$67)</f>
        <v>6.3230499507874</v>
      </c>
      <c r="D7" s="40" t="n">
        <f aca="false">(Inputs!$C$13-Inputs!$C$19*$B7*(1-Inputs!$C$45)+IF((Inputs!$C$21*(1+Inputs!$C$52)*(1-D$6)*MIN(Inputs!$C$53,Inputs!$C$54)-Inputs!$C$58*Inputs!$C$21*(1+Inputs!$C$52)*D$6)&gt;0,(Inputs!$C$21*(1+Inputs!$C$52)*(1-D$6)*MIN(Inputs!$C$53,Inputs!$C$54)-Inputs!$C$58*Inputs!$C$21*(1+Inputs!$C$52)*D$6)*Inputs!$C$55,(Inputs!$C$21*(1+Inputs!$C$52)*(1-D$6)*MIN(Inputs!$C$53,Inputs!$C$54)-Inputs!$C$58*Inputs!$C$21*(1+Inputs!$C$52)*D$6)))/(Inputs!$C$8+Inputs!$C$20/Inputs!$C$67)</f>
        <v>5.70389394685039</v>
      </c>
      <c r="E7" s="40" t="n">
        <f aca="false">(Inputs!$C$13-Inputs!$C$19*$B7*(1-Inputs!$C$45)+IF((Inputs!$C$21*(1+Inputs!$C$52)*(1-E$6)*MIN(Inputs!$C$53,Inputs!$C$54)-Inputs!$C$58*Inputs!$C$21*(1+Inputs!$C$52)*E$6)&gt;0,(Inputs!$C$21*(1+Inputs!$C$52)*(1-E$6)*MIN(Inputs!$C$53,Inputs!$C$54)-Inputs!$C$58*Inputs!$C$21*(1+Inputs!$C$52)*E$6)*Inputs!$C$55,(Inputs!$C$21*(1+Inputs!$C$52)*(1-E$6)*MIN(Inputs!$C$53,Inputs!$C$54)-Inputs!$C$58*Inputs!$C$21*(1+Inputs!$C$52)*E$6)))/(Inputs!$C$8+Inputs!$C$20/Inputs!$C$67)</f>
        <v>5.53641732283465</v>
      </c>
      <c r="F7" s="40" t="n">
        <f aca="false">(Inputs!$C$13-Inputs!$C$19*$B7*(1-Inputs!$C$45)+IF((Inputs!$C$21*(1+Inputs!$C$52)*(1-F$6)*MIN(Inputs!$C$53,Inputs!$C$54)-Inputs!$C$58*Inputs!$C$21*(1+Inputs!$C$52)*F$6)&gt;0,(Inputs!$C$21*(1+Inputs!$C$52)*(1-F$6)*MIN(Inputs!$C$53,Inputs!$C$54)-Inputs!$C$58*Inputs!$C$21*(1+Inputs!$C$52)*F$6)*Inputs!$C$55,(Inputs!$C$21*(1+Inputs!$C$52)*(1-F$6)*MIN(Inputs!$C$53,Inputs!$C$54)-Inputs!$C$58*Inputs!$C$21*(1+Inputs!$C$52)*F$6)))/(Inputs!$C$8+Inputs!$C$20/Inputs!$C$67)</f>
        <v>5.3689406988189</v>
      </c>
      <c r="G7" s="40" t="n">
        <f aca="false">(Inputs!$C$13-Inputs!$C$19*$B7*(1-Inputs!$C$45)+IF((Inputs!$C$21*(1+Inputs!$C$52)*(1-G$6)*MIN(Inputs!$C$53,Inputs!$C$54)-Inputs!$C$58*Inputs!$C$21*(1+Inputs!$C$52)*G$6)&gt;0,(Inputs!$C$21*(1+Inputs!$C$52)*(1-G$6)*MIN(Inputs!$C$53,Inputs!$C$54)-Inputs!$C$58*Inputs!$C$21*(1+Inputs!$C$52)*G$6)*Inputs!$C$55,(Inputs!$C$21*(1+Inputs!$C$52)*(1-G$6)*MIN(Inputs!$C$53,Inputs!$C$54)-Inputs!$C$58*Inputs!$C$21*(1+Inputs!$C$52)*G$6)))/(Inputs!$C$8+Inputs!$C$20/Inputs!$C$67)</f>
        <v>5.14563853346457</v>
      </c>
      <c r="H7" s="1"/>
    </row>
    <row r="8" customFormat="false" ht="15" hidden="false" customHeight="false" outlineLevel="0" collapsed="false">
      <c r="A8" s="1"/>
      <c r="B8" s="30" t="n">
        <v>0.06</v>
      </c>
      <c r="C8" s="40" t="n">
        <f aca="false">(Inputs!$C$13-Inputs!$C$19*$B8*(1-Inputs!$C$45)+IF((Inputs!$C$21*(1+Inputs!$C$52)*(1-C$6)*MIN(Inputs!$C$53,Inputs!$C$54)-Inputs!$C$58*Inputs!$C$21*(1+Inputs!$C$52)*C$6)&gt;0,(Inputs!$C$21*(1+Inputs!$C$52)*(1-C$6)*MIN(Inputs!$C$53,Inputs!$C$54)-Inputs!$C$58*Inputs!$C$21*(1+Inputs!$C$52)*C$6)*Inputs!$C$55,(Inputs!$C$21*(1+Inputs!$C$52)*(1-C$6)*MIN(Inputs!$C$53,Inputs!$C$54)-Inputs!$C$58*Inputs!$C$21*(1+Inputs!$C$52)*C$6)))/(Inputs!$C$8+Inputs!$C$20/Inputs!$C$67)</f>
        <v>6.08083169291339</v>
      </c>
      <c r="D8" s="40" t="n">
        <f aca="false">(Inputs!$C$13-Inputs!$C$19*$B8*(1-Inputs!$C$45)+IF((Inputs!$C$21*(1+Inputs!$C$52)*(1-D$6)*MIN(Inputs!$C$53,Inputs!$C$54)-Inputs!$C$58*Inputs!$C$21*(1+Inputs!$C$52)*D$6)&gt;0,(Inputs!$C$21*(1+Inputs!$C$52)*(1-D$6)*MIN(Inputs!$C$53,Inputs!$C$54)-Inputs!$C$58*Inputs!$C$21*(1+Inputs!$C$52)*D$6)*Inputs!$C$55,(Inputs!$C$21*(1+Inputs!$C$52)*(1-D$6)*MIN(Inputs!$C$53,Inputs!$C$54)-Inputs!$C$58*Inputs!$C$21*(1+Inputs!$C$52)*D$6)))/(Inputs!$C$8+Inputs!$C$20/Inputs!$C$67)</f>
        <v>5.46167568897638</v>
      </c>
      <c r="E8" s="40" t="n">
        <f aca="false">(Inputs!$C$13-Inputs!$C$19*$B8*(1-Inputs!$C$45)+IF((Inputs!$C$21*(1+Inputs!$C$52)*(1-E$6)*MIN(Inputs!$C$53,Inputs!$C$54)-Inputs!$C$58*Inputs!$C$21*(1+Inputs!$C$52)*E$6)&gt;0,(Inputs!$C$21*(1+Inputs!$C$52)*(1-E$6)*MIN(Inputs!$C$53,Inputs!$C$54)-Inputs!$C$58*Inputs!$C$21*(1+Inputs!$C$52)*E$6)*Inputs!$C$55,(Inputs!$C$21*(1+Inputs!$C$52)*(1-E$6)*MIN(Inputs!$C$53,Inputs!$C$54)-Inputs!$C$58*Inputs!$C$21*(1+Inputs!$C$52)*E$6)))/(Inputs!$C$8+Inputs!$C$20/Inputs!$C$67)</f>
        <v>5.29419906496063</v>
      </c>
      <c r="F8" s="40" t="n">
        <f aca="false">(Inputs!$C$13-Inputs!$C$19*$B8*(1-Inputs!$C$45)+IF((Inputs!$C$21*(1+Inputs!$C$52)*(1-F$6)*MIN(Inputs!$C$53,Inputs!$C$54)-Inputs!$C$58*Inputs!$C$21*(1+Inputs!$C$52)*F$6)&gt;0,(Inputs!$C$21*(1+Inputs!$C$52)*(1-F$6)*MIN(Inputs!$C$53,Inputs!$C$54)-Inputs!$C$58*Inputs!$C$21*(1+Inputs!$C$52)*F$6)*Inputs!$C$55,(Inputs!$C$21*(1+Inputs!$C$52)*(1-F$6)*MIN(Inputs!$C$53,Inputs!$C$54)-Inputs!$C$58*Inputs!$C$21*(1+Inputs!$C$52)*F$6)))/(Inputs!$C$8+Inputs!$C$20/Inputs!$C$67)</f>
        <v>5.12672244094488</v>
      </c>
      <c r="G8" s="40" t="n">
        <f aca="false">(Inputs!$C$13-Inputs!$C$19*$B8*(1-Inputs!$C$45)+IF((Inputs!$C$21*(1+Inputs!$C$52)*(1-G$6)*MIN(Inputs!$C$53,Inputs!$C$54)-Inputs!$C$58*Inputs!$C$21*(1+Inputs!$C$52)*G$6)&gt;0,(Inputs!$C$21*(1+Inputs!$C$52)*(1-G$6)*MIN(Inputs!$C$53,Inputs!$C$54)-Inputs!$C$58*Inputs!$C$21*(1+Inputs!$C$52)*G$6)*Inputs!$C$55,(Inputs!$C$21*(1+Inputs!$C$52)*(1-G$6)*MIN(Inputs!$C$53,Inputs!$C$54)-Inputs!$C$58*Inputs!$C$21*(1+Inputs!$C$52)*G$6)))/(Inputs!$C$8+Inputs!$C$20/Inputs!$C$67)</f>
        <v>4.90342027559055</v>
      </c>
      <c r="H8" s="1"/>
    </row>
    <row r="9" customFormat="false" ht="15" hidden="false" customHeight="false" outlineLevel="0" collapsed="false">
      <c r="A9" s="1"/>
      <c r="B9" s="30" t="n">
        <v>0.07</v>
      </c>
      <c r="C9" s="40" t="n">
        <f aca="false">(Inputs!$C$13-Inputs!$C$19*$B9*(1-Inputs!$C$45)+IF((Inputs!$C$21*(1+Inputs!$C$52)*(1-C$6)*MIN(Inputs!$C$53,Inputs!$C$54)-Inputs!$C$58*Inputs!$C$21*(1+Inputs!$C$52)*C$6)&gt;0,(Inputs!$C$21*(1+Inputs!$C$52)*(1-C$6)*MIN(Inputs!$C$53,Inputs!$C$54)-Inputs!$C$58*Inputs!$C$21*(1+Inputs!$C$52)*C$6)*Inputs!$C$55,(Inputs!$C$21*(1+Inputs!$C$52)*(1-C$6)*MIN(Inputs!$C$53,Inputs!$C$54)-Inputs!$C$58*Inputs!$C$21*(1+Inputs!$C$52)*C$6)))/(Inputs!$C$8+Inputs!$C$20/Inputs!$C$67)</f>
        <v>5.83861343503937</v>
      </c>
      <c r="D9" s="40" t="n">
        <f aca="false">(Inputs!$C$13-Inputs!$C$19*$B9*(1-Inputs!$C$45)+IF((Inputs!$C$21*(1+Inputs!$C$52)*(1-D$6)*MIN(Inputs!$C$53,Inputs!$C$54)-Inputs!$C$58*Inputs!$C$21*(1+Inputs!$C$52)*D$6)&gt;0,(Inputs!$C$21*(1+Inputs!$C$52)*(1-D$6)*MIN(Inputs!$C$53,Inputs!$C$54)-Inputs!$C$58*Inputs!$C$21*(1+Inputs!$C$52)*D$6)*Inputs!$C$55,(Inputs!$C$21*(1+Inputs!$C$52)*(1-D$6)*MIN(Inputs!$C$53,Inputs!$C$54)-Inputs!$C$58*Inputs!$C$21*(1+Inputs!$C$52)*D$6)))/(Inputs!$C$8+Inputs!$C$20/Inputs!$C$67)</f>
        <v>5.21945743110236</v>
      </c>
      <c r="E9" s="40" t="n">
        <f aca="false">(Inputs!$C$13-Inputs!$C$19*$B9*(1-Inputs!$C$45)+IF((Inputs!$C$21*(1+Inputs!$C$52)*(1-E$6)*MIN(Inputs!$C$53,Inputs!$C$54)-Inputs!$C$58*Inputs!$C$21*(1+Inputs!$C$52)*E$6)&gt;0,(Inputs!$C$21*(1+Inputs!$C$52)*(1-E$6)*MIN(Inputs!$C$53,Inputs!$C$54)-Inputs!$C$58*Inputs!$C$21*(1+Inputs!$C$52)*E$6)*Inputs!$C$55,(Inputs!$C$21*(1+Inputs!$C$52)*(1-E$6)*MIN(Inputs!$C$53,Inputs!$C$54)-Inputs!$C$58*Inputs!$C$21*(1+Inputs!$C$52)*E$6)))/(Inputs!$C$8+Inputs!$C$20/Inputs!$C$67)</f>
        <v>5.05198080708661</v>
      </c>
      <c r="F9" s="40" t="n">
        <f aca="false">(Inputs!$C$13-Inputs!$C$19*$B9*(1-Inputs!$C$45)+IF((Inputs!$C$21*(1+Inputs!$C$52)*(1-F$6)*MIN(Inputs!$C$53,Inputs!$C$54)-Inputs!$C$58*Inputs!$C$21*(1+Inputs!$C$52)*F$6)&gt;0,(Inputs!$C$21*(1+Inputs!$C$52)*(1-F$6)*MIN(Inputs!$C$53,Inputs!$C$54)-Inputs!$C$58*Inputs!$C$21*(1+Inputs!$C$52)*F$6)*Inputs!$C$55,(Inputs!$C$21*(1+Inputs!$C$52)*(1-F$6)*MIN(Inputs!$C$53,Inputs!$C$54)-Inputs!$C$58*Inputs!$C$21*(1+Inputs!$C$52)*F$6)))/(Inputs!$C$8+Inputs!$C$20/Inputs!$C$67)</f>
        <v>4.88450418307087</v>
      </c>
      <c r="G9" s="40" t="n">
        <f aca="false">(Inputs!$C$13-Inputs!$C$19*$B9*(1-Inputs!$C$45)+IF((Inputs!$C$21*(1+Inputs!$C$52)*(1-G$6)*MIN(Inputs!$C$53,Inputs!$C$54)-Inputs!$C$58*Inputs!$C$21*(1+Inputs!$C$52)*G$6)&gt;0,(Inputs!$C$21*(1+Inputs!$C$52)*(1-G$6)*MIN(Inputs!$C$53,Inputs!$C$54)-Inputs!$C$58*Inputs!$C$21*(1+Inputs!$C$52)*G$6)*Inputs!$C$55,(Inputs!$C$21*(1+Inputs!$C$52)*(1-G$6)*MIN(Inputs!$C$53,Inputs!$C$54)-Inputs!$C$58*Inputs!$C$21*(1+Inputs!$C$52)*G$6)))/(Inputs!$C$8+Inputs!$C$20/Inputs!$C$67)</f>
        <v>4.66120201771654</v>
      </c>
      <c r="H9" s="1"/>
    </row>
    <row r="10" customFormat="false" ht="15" hidden="false" customHeight="false" outlineLevel="0" collapsed="false">
      <c r="A10" s="1"/>
      <c r="B10" s="8" t="s">
        <v>388</v>
      </c>
      <c r="C10" s="47" t="n">
        <f aca="false">Inputs!$C$14</f>
        <v>7.5</v>
      </c>
      <c r="D10" s="1"/>
      <c r="E10" s="1"/>
      <c r="F10" s="1"/>
      <c r="G10" s="1"/>
      <c r="H10" s="1"/>
    </row>
    <row r="11" customFormat="false" ht="15" hidden="false" customHeight="false" outlineLevel="0" collapsed="false">
      <c r="A11" s="1"/>
      <c r="B11" s="1"/>
      <c r="C11" s="1"/>
      <c r="D11" s="1"/>
      <c r="E11" s="1"/>
      <c r="F11" s="1"/>
      <c r="G11" s="1"/>
      <c r="H11" s="1"/>
    </row>
    <row r="12" customFormat="false" ht="15" hidden="false" customHeight="false" outlineLevel="0" collapsed="false">
      <c r="A12" s="1"/>
      <c r="B12" s="24" t="s">
        <v>389</v>
      </c>
      <c r="C12" s="25"/>
      <c r="D12" s="25"/>
      <c r="E12" s="25"/>
      <c r="F12" s="25"/>
      <c r="G12" s="25"/>
      <c r="H12" s="25"/>
    </row>
    <row r="13" customFormat="false" ht="15" hidden="false" customHeight="false" outlineLevel="0" collapsed="false">
      <c r="A13" s="1"/>
      <c r="B13" s="16" t="s">
        <v>390</v>
      </c>
      <c r="C13" s="54" t="n">
        <v>0</v>
      </c>
      <c r="D13" s="54" t="n">
        <v>0.3</v>
      </c>
      <c r="E13" s="54" t="n">
        <v>0.375</v>
      </c>
      <c r="F13" s="54" t="n">
        <v>0.45</v>
      </c>
      <c r="G13" s="54" t="n">
        <v>0.55</v>
      </c>
      <c r="H13" s="1"/>
    </row>
    <row r="14" customFormat="false" ht="15" hidden="false" customHeight="false" outlineLevel="0" collapsed="false">
      <c r="A14" s="1"/>
      <c r="B14" s="26" t="n">
        <v>0</v>
      </c>
      <c r="C14" s="32" t="n">
        <f aca="false">IF((Inputs!$C$21*(1+Inputs!$C$52)*(1-C$13)*MIN(Inputs!$C$53,Inputs!$C$54)-Inputs!$C$58*Inputs!$C$21*(1+Inputs!$C$52)*C$13)&gt;0,(Inputs!$C$21*(1+Inputs!$C$52)*(1-C$13)*MIN(Inputs!$C$53,Inputs!$C$54)-Inputs!$C$58*Inputs!$C$21*(1+Inputs!$C$52)*C$13)*Inputs!$C$55*Inputs!$C$56,(Inputs!$C$21*(1+Inputs!$C$52)*(1-C$13)*MIN(Inputs!$C$53,Inputs!$C$54)-Inputs!$C$58*Inputs!$C$21*(1+Inputs!$C$52)*C$13))-Inputs!$C$19*Inputs!$C$43*(1-Inputs!$C$45)-$B14-Inputs!$C$39</f>
        <v>-184.6</v>
      </c>
      <c r="D14" s="32" t="n">
        <f aca="false">IF((Inputs!$C$21*(1+Inputs!$C$52)*(1-D$13)*MIN(Inputs!$C$53,Inputs!$C$54)-Inputs!$C$58*Inputs!$C$21*(1+Inputs!$C$52)*D$13)&gt;0,(Inputs!$C$21*(1+Inputs!$C$52)*(1-D$13)*MIN(Inputs!$C$53,Inputs!$C$54)-Inputs!$C$58*Inputs!$C$21*(1+Inputs!$C$52)*D$13)*Inputs!$C$55*Inputs!$C$56,(Inputs!$C$21*(1+Inputs!$C$52)*(1-D$13)*MIN(Inputs!$C$53,Inputs!$C$54)-Inputs!$C$58*Inputs!$C$21*(1+Inputs!$C$52)*D$13))-Inputs!$C$19*Inputs!$C$43*(1-Inputs!$C$45)-$B14-Inputs!$C$39</f>
        <v>-224.86</v>
      </c>
      <c r="E14" s="32" t="n">
        <f aca="false">IF((Inputs!$C$21*(1+Inputs!$C$52)*(1-E$13)*MIN(Inputs!$C$53,Inputs!$C$54)-Inputs!$C$58*Inputs!$C$21*(1+Inputs!$C$52)*E$13)&gt;0,(Inputs!$C$21*(1+Inputs!$C$52)*(1-E$13)*MIN(Inputs!$C$53,Inputs!$C$54)-Inputs!$C$58*Inputs!$C$21*(1+Inputs!$C$52)*E$13)*Inputs!$C$55*Inputs!$C$56,(Inputs!$C$21*(1+Inputs!$C$52)*(1-E$13)*MIN(Inputs!$C$53,Inputs!$C$54)-Inputs!$C$58*Inputs!$C$21*(1+Inputs!$C$52)*E$13))-Inputs!$C$19*Inputs!$C$43*(1-Inputs!$C$45)-$B14-Inputs!$C$39</f>
        <v>-235.75</v>
      </c>
      <c r="F14" s="32" t="n">
        <f aca="false">IF((Inputs!$C$21*(1+Inputs!$C$52)*(1-F$13)*MIN(Inputs!$C$53,Inputs!$C$54)-Inputs!$C$58*Inputs!$C$21*(1+Inputs!$C$52)*F$13)&gt;0,(Inputs!$C$21*(1+Inputs!$C$52)*(1-F$13)*MIN(Inputs!$C$53,Inputs!$C$54)-Inputs!$C$58*Inputs!$C$21*(1+Inputs!$C$52)*F$13)*Inputs!$C$55*Inputs!$C$56,(Inputs!$C$21*(1+Inputs!$C$52)*(1-F$13)*MIN(Inputs!$C$53,Inputs!$C$54)-Inputs!$C$58*Inputs!$C$21*(1+Inputs!$C$52)*F$13))-Inputs!$C$19*Inputs!$C$43*(1-Inputs!$C$45)-$B14-Inputs!$C$39</f>
        <v>-246.64</v>
      </c>
      <c r="G14" s="32" t="n">
        <f aca="false">IF((Inputs!$C$21*(1+Inputs!$C$52)*(1-G$13)*MIN(Inputs!$C$53,Inputs!$C$54)-Inputs!$C$58*Inputs!$C$21*(1+Inputs!$C$52)*G$13)&gt;0,(Inputs!$C$21*(1+Inputs!$C$52)*(1-G$13)*MIN(Inputs!$C$53,Inputs!$C$54)-Inputs!$C$58*Inputs!$C$21*(1+Inputs!$C$52)*G$13)*Inputs!$C$55*Inputs!$C$56,(Inputs!$C$21*(1+Inputs!$C$52)*(1-G$13)*MIN(Inputs!$C$53,Inputs!$C$54)-Inputs!$C$58*Inputs!$C$21*(1+Inputs!$C$52)*G$13))-Inputs!$C$19*Inputs!$C$43*(1-Inputs!$C$45)-$B14-Inputs!$C$39</f>
        <v>-261.16</v>
      </c>
      <c r="H14" s="1"/>
    </row>
    <row r="15" customFormat="false" ht="15" hidden="false" customHeight="false" outlineLevel="0" collapsed="false">
      <c r="A15" s="1"/>
      <c r="B15" s="26" t="n">
        <v>195</v>
      </c>
      <c r="C15" s="32" t="n">
        <f aca="false">IF((Inputs!$C$21*(1+Inputs!$C$52)*(1-C$13)*MIN(Inputs!$C$53,Inputs!$C$54)-Inputs!$C$58*Inputs!$C$21*(1+Inputs!$C$52)*C$13)&gt;0,(Inputs!$C$21*(1+Inputs!$C$52)*(1-C$13)*MIN(Inputs!$C$53,Inputs!$C$54)-Inputs!$C$58*Inputs!$C$21*(1+Inputs!$C$52)*C$13)*Inputs!$C$55*Inputs!$C$56,(Inputs!$C$21*(1+Inputs!$C$52)*(1-C$13)*MIN(Inputs!$C$53,Inputs!$C$54)-Inputs!$C$58*Inputs!$C$21*(1+Inputs!$C$52)*C$13))-Inputs!$C$19*Inputs!$C$43*(1-Inputs!$C$45)-$B15-Inputs!$C$39</f>
        <v>-379.6</v>
      </c>
      <c r="D15" s="32" t="n">
        <f aca="false">IF((Inputs!$C$21*(1+Inputs!$C$52)*(1-D$13)*MIN(Inputs!$C$53,Inputs!$C$54)-Inputs!$C$58*Inputs!$C$21*(1+Inputs!$C$52)*D$13)&gt;0,(Inputs!$C$21*(1+Inputs!$C$52)*(1-D$13)*MIN(Inputs!$C$53,Inputs!$C$54)-Inputs!$C$58*Inputs!$C$21*(1+Inputs!$C$52)*D$13)*Inputs!$C$55*Inputs!$C$56,(Inputs!$C$21*(1+Inputs!$C$52)*(1-D$13)*MIN(Inputs!$C$53,Inputs!$C$54)-Inputs!$C$58*Inputs!$C$21*(1+Inputs!$C$52)*D$13))-Inputs!$C$19*Inputs!$C$43*(1-Inputs!$C$45)-$B15-Inputs!$C$39</f>
        <v>-419.86</v>
      </c>
      <c r="E15" s="32" t="n">
        <f aca="false">IF((Inputs!$C$21*(1+Inputs!$C$52)*(1-E$13)*MIN(Inputs!$C$53,Inputs!$C$54)-Inputs!$C$58*Inputs!$C$21*(1+Inputs!$C$52)*E$13)&gt;0,(Inputs!$C$21*(1+Inputs!$C$52)*(1-E$13)*MIN(Inputs!$C$53,Inputs!$C$54)-Inputs!$C$58*Inputs!$C$21*(1+Inputs!$C$52)*E$13)*Inputs!$C$55*Inputs!$C$56,(Inputs!$C$21*(1+Inputs!$C$52)*(1-E$13)*MIN(Inputs!$C$53,Inputs!$C$54)-Inputs!$C$58*Inputs!$C$21*(1+Inputs!$C$52)*E$13))-Inputs!$C$19*Inputs!$C$43*(1-Inputs!$C$45)-$B15-Inputs!$C$39</f>
        <v>-430.75</v>
      </c>
      <c r="F15" s="32" t="n">
        <f aca="false">IF((Inputs!$C$21*(1+Inputs!$C$52)*(1-F$13)*MIN(Inputs!$C$53,Inputs!$C$54)-Inputs!$C$58*Inputs!$C$21*(1+Inputs!$C$52)*F$13)&gt;0,(Inputs!$C$21*(1+Inputs!$C$52)*(1-F$13)*MIN(Inputs!$C$53,Inputs!$C$54)-Inputs!$C$58*Inputs!$C$21*(1+Inputs!$C$52)*F$13)*Inputs!$C$55*Inputs!$C$56,(Inputs!$C$21*(1+Inputs!$C$52)*(1-F$13)*MIN(Inputs!$C$53,Inputs!$C$54)-Inputs!$C$58*Inputs!$C$21*(1+Inputs!$C$52)*F$13))-Inputs!$C$19*Inputs!$C$43*(1-Inputs!$C$45)-$B15-Inputs!$C$39</f>
        <v>-441.64</v>
      </c>
      <c r="G15" s="32" t="n">
        <f aca="false">IF((Inputs!$C$21*(1+Inputs!$C$52)*(1-G$13)*MIN(Inputs!$C$53,Inputs!$C$54)-Inputs!$C$58*Inputs!$C$21*(1+Inputs!$C$52)*G$13)&gt;0,(Inputs!$C$21*(1+Inputs!$C$52)*(1-G$13)*MIN(Inputs!$C$53,Inputs!$C$54)-Inputs!$C$58*Inputs!$C$21*(1+Inputs!$C$52)*G$13)*Inputs!$C$55*Inputs!$C$56,(Inputs!$C$21*(1+Inputs!$C$52)*(1-G$13)*MIN(Inputs!$C$53,Inputs!$C$54)-Inputs!$C$58*Inputs!$C$21*(1+Inputs!$C$52)*G$13))-Inputs!$C$19*Inputs!$C$43*(1-Inputs!$C$45)-$B15-Inputs!$C$39</f>
        <v>-456.16</v>
      </c>
      <c r="H15" s="1"/>
    </row>
    <row r="16" customFormat="false" ht="15" hidden="false" customHeight="false" outlineLevel="0" collapsed="false">
      <c r="A16" s="1"/>
      <c r="B16" s="26" t="n">
        <v>375</v>
      </c>
      <c r="C16" s="32" t="n">
        <f aca="false">IF((Inputs!$C$21*(1+Inputs!$C$52)*(1-C$13)*MIN(Inputs!$C$53,Inputs!$C$54)-Inputs!$C$58*Inputs!$C$21*(1+Inputs!$C$52)*C$13)&gt;0,(Inputs!$C$21*(1+Inputs!$C$52)*(1-C$13)*MIN(Inputs!$C$53,Inputs!$C$54)-Inputs!$C$58*Inputs!$C$21*(1+Inputs!$C$52)*C$13)*Inputs!$C$55*Inputs!$C$56,(Inputs!$C$21*(1+Inputs!$C$52)*(1-C$13)*MIN(Inputs!$C$53,Inputs!$C$54)-Inputs!$C$58*Inputs!$C$21*(1+Inputs!$C$52)*C$13))-Inputs!$C$19*Inputs!$C$43*(1-Inputs!$C$45)-$B16-Inputs!$C$39</f>
        <v>-559.6</v>
      </c>
      <c r="D16" s="32" t="n">
        <f aca="false">IF((Inputs!$C$21*(1+Inputs!$C$52)*(1-D$13)*MIN(Inputs!$C$53,Inputs!$C$54)-Inputs!$C$58*Inputs!$C$21*(1+Inputs!$C$52)*D$13)&gt;0,(Inputs!$C$21*(1+Inputs!$C$52)*(1-D$13)*MIN(Inputs!$C$53,Inputs!$C$54)-Inputs!$C$58*Inputs!$C$21*(1+Inputs!$C$52)*D$13)*Inputs!$C$55*Inputs!$C$56,(Inputs!$C$21*(1+Inputs!$C$52)*(1-D$13)*MIN(Inputs!$C$53,Inputs!$C$54)-Inputs!$C$58*Inputs!$C$21*(1+Inputs!$C$52)*D$13))-Inputs!$C$19*Inputs!$C$43*(1-Inputs!$C$45)-$B16-Inputs!$C$39</f>
        <v>-599.86</v>
      </c>
      <c r="E16" s="32" t="n">
        <f aca="false">IF((Inputs!$C$21*(1+Inputs!$C$52)*(1-E$13)*MIN(Inputs!$C$53,Inputs!$C$54)-Inputs!$C$58*Inputs!$C$21*(1+Inputs!$C$52)*E$13)&gt;0,(Inputs!$C$21*(1+Inputs!$C$52)*(1-E$13)*MIN(Inputs!$C$53,Inputs!$C$54)-Inputs!$C$58*Inputs!$C$21*(1+Inputs!$C$52)*E$13)*Inputs!$C$55*Inputs!$C$56,(Inputs!$C$21*(1+Inputs!$C$52)*(1-E$13)*MIN(Inputs!$C$53,Inputs!$C$54)-Inputs!$C$58*Inputs!$C$21*(1+Inputs!$C$52)*E$13))-Inputs!$C$19*Inputs!$C$43*(1-Inputs!$C$45)-$B16-Inputs!$C$39</f>
        <v>-610.75</v>
      </c>
      <c r="F16" s="32" t="n">
        <f aca="false">IF((Inputs!$C$21*(1+Inputs!$C$52)*(1-F$13)*MIN(Inputs!$C$53,Inputs!$C$54)-Inputs!$C$58*Inputs!$C$21*(1+Inputs!$C$52)*F$13)&gt;0,(Inputs!$C$21*(1+Inputs!$C$52)*(1-F$13)*MIN(Inputs!$C$53,Inputs!$C$54)-Inputs!$C$58*Inputs!$C$21*(1+Inputs!$C$52)*F$13)*Inputs!$C$55*Inputs!$C$56,(Inputs!$C$21*(1+Inputs!$C$52)*(1-F$13)*MIN(Inputs!$C$53,Inputs!$C$54)-Inputs!$C$58*Inputs!$C$21*(1+Inputs!$C$52)*F$13))-Inputs!$C$19*Inputs!$C$43*(1-Inputs!$C$45)-$B16-Inputs!$C$39</f>
        <v>-621.64</v>
      </c>
      <c r="G16" s="32" t="n">
        <f aca="false">IF((Inputs!$C$21*(1+Inputs!$C$52)*(1-G$13)*MIN(Inputs!$C$53,Inputs!$C$54)-Inputs!$C$58*Inputs!$C$21*(1+Inputs!$C$52)*G$13)&gt;0,(Inputs!$C$21*(1+Inputs!$C$52)*(1-G$13)*MIN(Inputs!$C$53,Inputs!$C$54)-Inputs!$C$58*Inputs!$C$21*(1+Inputs!$C$52)*G$13)*Inputs!$C$55*Inputs!$C$56,(Inputs!$C$21*(1+Inputs!$C$52)*(1-G$13)*MIN(Inputs!$C$53,Inputs!$C$54)-Inputs!$C$58*Inputs!$C$21*(1+Inputs!$C$52)*G$13))-Inputs!$C$19*Inputs!$C$43*(1-Inputs!$C$45)-$B16-Inputs!$C$39</f>
        <v>-636.16</v>
      </c>
      <c r="H16" s="1"/>
    </row>
    <row r="17" customFormat="false" ht="15" hidden="false" customHeight="false" outlineLevel="0" collapsed="false">
      <c r="A17" s="1"/>
      <c r="B17" s="26" t="n">
        <v>750</v>
      </c>
      <c r="C17" s="32" t="n">
        <f aca="false">IF((Inputs!$C$21*(1+Inputs!$C$52)*(1-C$13)*MIN(Inputs!$C$53,Inputs!$C$54)-Inputs!$C$58*Inputs!$C$21*(1+Inputs!$C$52)*C$13)&gt;0,(Inputs!$C$21*(1+Inputs!$C$52)*(1-C$13)*MIN(Inputs!$C$53,Inputs!$C$54)-Inputs!$C$58*Inputs!$C$21*(1+Inputs!$C$52)*C$13)*Inputs!$C$55*Inputs!$C$56,(Inputs!$C$21*(1+Inputs!$C$52)*(1-C$13)*MIN(Inputs!$C$53,Inputs!$C$54)-Inputs!$C$58*Inputs!$C$21*(1+Inputs!$C$52)*C$13))-Inputs!$C$19*Inputs!$C$43*(1-Inputs!$C$45)-$B17-Inputs!$C$39</f>
        <v>-934.6</v>
      </c>
      <c r="D17" s="32" t="n">
        <f aca="false">IF((Inputs!$C$21*(1+Inputs!$C$52)*(1-D$13)*MIN(Inputs!$C$53,Inputs!$C$54)-Inputs!$C$58*Inputs!$C$21*(1+Inputs!$C$52)*D$13)&gt;0,(Inputs!$C$21*(1+Inputs!$C$52)*(1-D$13)*MIN(Inputs!$C$53,Inputs!$C$54)-Inputs!$C$58*Inputs!$C$21*(1+Inputs!$C$52)*D$13)*Inputs!$C$55*Inputs!$C$56,(Inputs!$C$21*(1+Inputs!$C$52)*(1-D$13)*MIN(Inputs!$C$53,Inputs!$C$54)-Inputs!$C$58*Inputs!$C$21*(1+Inputs!$C$52)*D$13))-Inputs!$C$19*Inputs!$C$43*(1-Inputs!$C$45)-$B17-Inputs!$C$39</f>
        <v>-974.86</v>
      </c>
      <c r="E17" s="32" t="n">
        <f aca="false">IF((Inputs!$C$21*(1+Inputs!$C$52)*(1-E$13)*MIN(Inputs!$C$53,Inputs!$C$54)-Inputs!$C$58*Inputs!$C$21*(1+Inputs!$C$52)*E$13)&gt;0,(Inputs!$C$21*(1+Inputs!$C$52)*(1-E$13)*MIN(Inputs!$C$53,Inputs!$C$54)-Inputs!$C$58*Inputs!$C$21*(1+Inputs!$C$52)*E$13)*Inputs!$C$55*Inputs!$C$56,(Inputs!$C$21*(1+Inputs!$C$52)*(1-E$13)*MIN(Inputs!$C$53,Inputs!$C$54)-Inputs!$C$58*Inputs!$C$21*(1+Inputs!$C$52)*E$13))-Inputs!$C$19*Inputs!$C$43*(1-Inputs!$C$45)-$B17-Inputs!$C$39</f>
        <v>-985.75</v>
      </c>
      <c r="F17" s="32" t="n">
        <f aca="false">IF((Inputs!$C$21*(1+Inputs!$C$52)*(1-F$13)*MIN(Inputs!$C$53,Inputs!$C$54)-Inputs!$C$58*Inputs!$C$21*(1+Inputs!$C$52)*F$13)&gt;0,(Inputs!$C$21*(1+Inputs!$C$52)*(1-F$13)*MIN(Inputs!$C$53,Inputs!$C$54)-Inputs!$C$58*Inputs!$C$21*(1+Inputs!$C$52)*F$13)*Inputs!$C$55*Inputs!$C$56,(Inputs!$C$21*(1+Inputs!$C$52)*(1-F$13)*MIN(Inputs!$C$53,Inputs!$C$54)-Inputs!$C$58*Inputs!$C$21*(1+Inputs!$C$52)*F$13))-Inputs!$C$19*Inputs!$C$43*(1-Inputs!$C$45)-$B17-Inputs!$C$39</f>
        <v>-996.64</v>
      </c>
      <c r="G17" s="32" t="n">
        <f aca="false">IF((Inputs!$C$21*(1+Inputs!$C$52)*(1-G$13)*MIN(Inputs!$C$53,Inputs!$C$54)-Inputs!$C$58*Inputs!$C$21*(1+Inputs!$C$52)*G$13)&gt;0,(Inputs!$C$21*(1+Inputs!$C$52)*(1-G$13)*MIN(Inputs!$C$53,Inputs!$C$54)-Inputs!$C$58*Inputs!$C$21*(1+Inputs!$C$52)*G$13)*Inputs!$C$55*Inputs!$C$56,(Inputs!$C$21*(1+Inputs!$C$52)*(1-G$13)*MIN(Inputs!$C$53,Inputs!$C$54)-Inputs!$C$58*Inputs!$C$21*(1+Inputs!$C$52)*G$13))-Inputs!$C$19*Inputs!$C$43*(1-Inputs!$C$45)-$B17-Inputs!$C$39</f>
        <v>-1011.16</v>
      </c>
      <c r="H17" s="1"/>
    </row>
    <row r="18" customFormat="false" ht="15" hidden="false" customHeight="false" outlineLevel="0" collapsed="false">
      <c r="A18" s="1"/>
      <c r="B18" s="1"/>
      <c r="C18" s="1"/>
      <c r="D18" s="1"/>
      <c r="E18" s="1"/>
      <c r="F18" s="1"/>
      <c r="G18" s="1"/>
      <c r="H18" s="1"/>
    </row>
    <row r="19" customFormat="false" ht="15" hidden="false" customHeight="false" outlineLevel="0" collapsed="false">
      <c r="A19" s="1"/>
      <c r="B19" s="42" t="s">
        <v>391</v>
      </c>
      <c r="C19" s="1"/>
      <c r="D19" s="1"/>
      <c r="E19" s="1"/>
      <c r="F19" s="1"/>
      <c r="G19" s="1"/>
      <c r="H19" s="1"/>
    </row>
    <row r="20" customFormat="false" ht="15" hidden="false" customHeight="false" outlineLevel="0" collapsed="false">
      <c r="A20" s="1"/>
      <c r="B20" s="1"/>
      <c r="C20" s="1"/>
      <c r="D20" s="1"/>
      <c r="E20" s="1"/>
      <c r="F20" s="1"/>
      <c r="G20" s="1"/>
      <c r="H20" s="1"/>
    </row>
    <row r="21" customFormat="false" ht="15" hidden="false" customHeight="false" outlineLevel="0" collapsed="false">
      <c r="A21" s="1"/>
      <c r="B21" s="24" t="s">
        <v>392</v>
      </c>
      <c r="C21" s="25"/>
      <c r="D21" s="25"/>
      <c r="E21" s="25"/>
      <c r="F21" s="25"/>
      <c r="G21" s="25"/>
      <c r="H21" s="25"/>
    </row>
    <row r="22" customFormat="false" ht="25.35" hidden="false" customHeight="false" outlineLevel="0" collapsed="false">
      <c r="A22" s="1"/>
      <c r="B22" s="16" t="s">
        <v>393</v>
      </c>
      <c r="C22" s="55" t="n">
        <v>0</v>
      </c>
      <c r="D22" s="55" t="n">
        <v>100</v>
      </c>
      <c r="E22" s="55" t="n">
        <v>195</v>
      </c>
      <c r="F22" s="55" t="n">
        <v>750</v>
      </c>
      <c r="G22" s="1"/>
      <c r="H22" s="1"/>
    </row>
    <row r="23" customFormat="false" ht="15" hidden="false" customHeight="false" outlineLevel="0" collapsed="false">
      <c r="A23" s="1"/>
      <c r="B23" s="30" t="n">
        <v>0.05</v>
      </c>
      <c r="C23" s="40" t="n">
        <f aca="false">(Inputs!$C$13-Inputs!$C$70*$B23*(1-Inputs!$C$45)+Inputs!$C$30*'Liminal Projection'!$D$8)/Inputs!$C$8</f>
        <v>6.952734375</v>
      </c>
      <c r="D23" s="40" t="n">
        <f aca="false">(Inputs!$C$13-Inputs!$C$70*$B23*(1-Inputs!$C$45)+Inputs!$C$30*'Liminal Projection'!$D$8)/Inputs!$C$8</f>
        <v>6.952734375</v>
      </c>
      <c r="E23" s="40" t="n">
        <f aca="false">(Inputs!$C$13-Inputs!$C$70*$B23*(1-Inputs!$C$45)+Inputs!$C$30*'Liminal Projection'!$D$8)/Inputs!$C$8</f>
        <v>6.952734375</v>
      </c>
      <c r="F23" s="40" t="n">
        <f aca="false">(Inputs!$C$13-Inputs!$C$70*$B23*(1-Inputs!$C$45)+Inputs!$C$30*'Liminal Projection'!$D$8)/Inputs!$C$8</f>
        <v>6.952734375</v>
      </c>
      <c r="G23" s="1"/>
      <c r="H23" s="1"/>
    </row>
    <row r="24" customFormat="false" ht="15" hidden="false" customHeight="false" outlineLevel="0" collapsed="false">
      <c r="A24" s="1"/>
      <c r="B24" s="30" t="n">
        <v>0.06</v>
      </c>
      <c r="C24" s="40" t="n">
        <f aca="false">(Inputs!$C$13-Inputs!$C$70*$B24*(1-Inputs!$C$45)+Inputs!$C$30*'Liminal Projection'!$D$8)/Inputs!$C$8</f>
        <v>6.835546875</v>
      </c>
      <c r="D24" s="40" t="n">
        <f aca="false">(Inputs!$C$13-Inputs!$C$70*$B24*(1-Inputs!$C$45)+Inputs!$C$30*'Liminal Projection'!$D$8)/Inputs!$C$8</f>
        <v>6.835546875</v>
      </c>
      <c r="E24" s="40" t="n">
        <f aca="false">(Inputs!$C$13-Inputs!$C$70*$B24*(1-Inputs!$C$45)+Inputs!$C$30*'Liminal Projection'!$D$8)/Inputs!$C$8</f>
        <v>6.835546875</v>
      </c>
      <c r="F24" s="40" t="n">
        <f aca="false">(Inputs!$C$13-Inputs!$C$70*$B24*(1-Inputs!$C$45)+Inputs!$C$30*'Liminal Projection'!$D$8)/Inputs!$C$8</f>
        <v>6.835546875</v>
      </c>
      <c r="G24" s="1"/>
      <c r="H24" s="1"/>
    </row>
    <row r="25" customFormat="false" ht="15" hidden="false" customHeight="false" outlineLevel="0" collapsed="false">
      <c r="A25" s="1"/>
      <c r="B25" s="30" t="n">
        <v>0.07</v>
      </c>
      <c r="C25" s="40" t="n">
        <f aca="false">(Inputs!$C$13-Inputs!$C$70*$B25*(1-Inputs!$C$45)+Inputs!$C$30*'Liminal Projection'!$D$8)/Inputs!$C$8</f>
        <v>6.718359375</v>
      </c>
      <c r="D25" s="40" t="n">
        <f aca="false">(Inputs!$C$13-Inputs!$C$70*$B25*(1-Inputs!$C$45)+Inputs!$C$30*'Liminal Projection'!$D$8)/Inputs!$C$8</f>
        <v>6.718359375</v>
      </c>
      <c r="E25" s="40" t="n">
        <f aca="false">(Inputs!$C$13-Inputs!$C$70*$B25*(1-Inputs!$C$45)+Inputs!$C$30*'Liminal Projection'!$D$8)/Inputs!$C$8</f>
        <v>6.718359375</v>
      </c>
      <c r="F25" s="40" t="n">
        <f aca="false">(Inputs!$C$13-Inputs!$C$70*$B25*(1-Inputs!$C$45)+Inputs!$C$30*'Liminal Projection'!$D$8)/Inputs!$C$8</f>
        <v>6.718359375</v>
      </c>
      <c r="G25" s="1"/>
      <c r="H25" s="1"/>
    </row>
    <row r="26" customFormat="false" ht="15" hidden="false" customHeight="false" outlineLevel="0" collapsed="false">
      <c r="A26" s="1"/>
      <c r="B26" s="8" t="s">
        <v>394</v>
      </c>
      <c r="C26" s="32" t="n">
        <f aca="false">-Inputs!$C$70*Inputs!$C$43*(1-Inputs!$C$45)-C$22</f>
        <v>-45</v>
      </c>
      <c r="D26" s="32" t="n">
        <f aca="false">-Inputs!$C$70*Inputs!$C$43*(1-Inputs!$C$45)-D$22</f>
        <v>-145</v>
      </c>
      <c r="E26" s="32" t="n">
        <f aca="false">-Inputs!$C$70*Inputs!$C$43*(1-Inputs!$C$45)-E$22</f>
        <v>-240</v>
      </c>
      <c r="F26" s="32" t="n">
        <f aca="false">-Inputs!$C$70*Inputs!$C$43*(1-Inputs!$C$45)-F$22</f>
        <v>-795</v>
      </c>
      <c r="G26" s="1"/>
      <c r="H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  <c r="H27" s="1"/>
    </row>
    <row r="28" customFormat="false" ht="15" hidden="false" customHeight="false" outlineLevel="0" collapsed="false">
      <c r="A28" s="1"/>
      <c r="B28" s="24" t="s">
        <v>395</v>
      </c>
      <c r="C28" s="25"/>
      <c r="D28" s="25"/>
      <c r="E28" s="25"/>
      <c r="F28" s="25"/>
      <c r="G28" s="25"/>
      <c r="H28" s="25"/>
    </row>
    <row r="29" customFormat="false" ht="25.35" hidden="false" customHeight="false" outlineLevel="0" collapsed="false">
      <c r="A29" s="1"/>
      <c r="B29" s="16" t="s">
        <v>396</v>
      </c>
      <c r="C29" s="54" t="n">
        <v>0.1</v>
      </c>
      <c r="D29" s="54" t="n">
        <v>0.2</v>
      </c>
      <c r="E29" s="54" t="n">
        <v>0.3</v>
      </c>
      <c r="F29" s="54" t="n">
        <v>0.4</v>
      </c>
      <c r="G29" s="16" t="s">
        <v>397</v>
      </c>
      <c r="H29" s="1"/>
    </row>
    <row r="30" customFormat="false" ht="15" hidden="false" customHeight="false" outlineLevel="0" collapsed="false">
      <c r="A30" s="1"/>
      <c r="B30" s="8" t="s">
        <v>398</v>
      </c>
      <c r="C30" s="50" t="n">
        <f aca="false">(Inputs!$C$21*(1+C$29)^1*MIN(Inputs!$C$53*1,Inputs!$C$54)*Inputs!$C$55*Inputs!$C$56)/(1+Inputs!$C$46)^1+(Inputs!$C$21*(1+C$29)^2*MIN(Inputs!$C$53*2,Inputs!$C$54)*Inputs!$C$55*Inputs!$C$56)/(1+Inputs!$C$46)^2+(Inputs!$C$21*(1+C$29)^3*MIN(Inputs!$C$53*3,Inputs!$C$54)*Inputs!$C$55*Inputs!$C$56)/(1+Inputs!$C$46)^3+(Inputs!$C$21*(1+C$29)^4*MIN(Inputs!$C$53*4,Inputs!$C$54)*Inputs!$C$55*Inputs!$C$56)/(1+Inputs!$C$46)^4+(Inputs!$C$21*(1+C$29)^5*MIN(Inputs!$C$53*5,Inputs!$C$54)*Inputs!$C$55*Inputs!$C$56)/(1+Inputs!$C$46)^5+(Inputs!$C$21*(1+C$29)^6*MIN(Inputs!$C$53*6,Inputs!$C$54)*Inputs!$C$55*Inputs!$C$56)/(1+Inputs!$C$46)^6+(Inputs!$C$21*(1+C$29)^7*MIN(Inputs!$C$53*7,Inputs!$C$54)*Inputs!$C$55*Inputs!$C$56)/(1+Inputs!$C$46)^7+(Inputs!$C$21*(1+C$29)^8*MIN(Inputs!$C$53*8,Inputs!$C$54)*Inputs!$C$55*Inputs!$C$56)/(1+Inputs!$C$46)^8+(Inputs!$C$21*(1+C$29)^9*MIN(Inputs!$C$53*9,Inputs!$C$54)*Inputs!$C$55*Inputs!$C$56)/(1+Inputs!$C$46)^9+(Inputs!$C$21*(1+C$29)^10*MIN(Inputs!$C$53*10,Inputs!$C$54)*Inputs!$C$55*Inputs!$C$56)/(1+Inputs!$C$46)^10+(Inputs!$C$21*(1+C$29)^10*Inputs!$C$54*Inputs!$C$55*Inputs!$C$56)*(1+Inputs!$C$47)/(Inputs!$C$46-Inputs!$C$47)/(1+Inputs!$C$46)^10</f>
        <v>811.21641814475</v>
      </c>
      <c r="D30" s="50" t="n">
        <f aca="false">(Inputs!$C$21*(1+D$29)^1*MIN(Inputs!$C$53*1,Inputs!$C$54)*Inputs!$C$55*Inputs!$C$56)/(1+Inputs!$C$46)^1+(Inputs!$C$21*(1+D$29)^2*MIN(Inputs!$C$53*2,Inputs!$C$54)*Inputs!$C$55*Inputs!$C$56)/(1+Inputs!$C$46)^2+(Inputs!$C$21*(1+D$29)^3*MIN(Inputs!$C$53*3,Inputs!$C$54)*Inputs!$C$55*Inputs!$C$56)/(1+Inputs!$C$46)^3+(Inputs!$C$21*(1+D$29)^4*MIN(Inputs!$C$53*4,Inputs!$C$54)*Inputs!$C$55*Inputs!$C$56)/(1+Inputs!$C$46)^4+(Inputs!$C$21*(1+D$29)^5*MIN(Inputs!$C$53*5,Inputs!$C$54)*Inputs!$C$55*Inputs!$C$56)/(1+Inputs!$C$46)^5+(Inputs!$C$21*(1+D$29)^6*MIN(Inputs!$C$53*6,Inputs!$C$54)*Inputs!$C$55*Inputs!$C$56)/(1+Inputs!$C$46)^6+(Inputs!$C$21*(1+D$29)^7*MIN(Inputs!$C$53*7,Inputs!$C$54)*Inputs!$C$55*Inputs!$C$56)/(1+Inputs!$C$46)^7+(Inputs!$C$21*(1+D$29)^8*MIN(Inputs!$C$53*8,Inputs!$C$54)*Inputs!$C$55*Inputs!$C$56)/(1+Inputs!$C$46)^8+(Inputs!$C$21*(1+D$29)^9*MIN(Inputs!$C$53*9,Inputs!$C$54)*Inputs!$C$55*Inputs!$C$56)/(1+Inputs!$C$46)^9+(Inputs!$C$21*(1+D$29)^10*MIN(Inputs!$C$53*10,Inputs!$C$54)*Inputs!$C$55*Inputs!$C$56)/(1+Inputs!$C$46)^10+(Inputs!$C$21*(1+D$29)^10*Inputs!$C$54*Inputs!$C$55*Inputs!$C$56)*(1+Inputs!$C$47)/(Inputs!$C$46-Inputs!$C$47)/(1+Inputs!$C$46)^10</f>
        <v>1753.36175639572</v>
      </c>
      <c r="E30" s="50" t="n">
        <f aca="false">(Inputs!$C$21*(1+E$29)^1*MIN(Inputs!$C$53*1,Inputs!$C$54)*Inputs!$C$55*Inputs!$C$56)/(1+Inputs!$C$46)^1+(Inputs!$C$21*(1+E$29)^2*MIN(Inputs!$C$53*2,Inputs!$C$54)*Inputs!$C$55*Inputs!$C$56)/(1+Inputs!$C$46)^2+(Inputs!$C$21*(1+E$29)^3*MIN(Inputs!$C$53*3,Inputs!$C$54)*Inputs!$C$55*Inputs!$C$56)/(1+Inputs!$C$46)^3+(Inputs!$C$21*(1+E$29)^4*MIN(Inputs!$C$53*4,Inputs!$C$54)*Inputs!$C$55*Inputs!$C$56)/(1+Inputs!$C$46)^4+(Inputs!$C$21*(1+E$29)^5*MIN(Inputs!$C$53*5,Inputs!$C$54)*Inputs!$C$55*Inputs!$C$56)/(1+Inputs!$C$46)^5+(Inputs!$C$21*(1+E$29)^6*MIN(Inputs!$C$53*6,Inputs!$C$54)*Inputs!$C$55*Inputs!$C$56)/(1+Inputs!$C$46)^6+(Inputs!$C$21*(1+E$29)^7*MIN(Inputs!$C$53*7,Inputs!$C$54)*Inputs!$C$55*Inputs!$C$56)/(1+Inputs!$C$46)^7+(Inputs!$C$21*(1+E$29)^8*MIN(Inputs!$C$53*8,Inputs!$C$54)*Inputs!$C$55*Inputs!$C$56)/(1+Inputs!$C$46)^8+(Inputs!$C$21*(1+E$29)^9*MIN(Inputs!$C$53*9,Inputs!$C$54)*Inputs!$C$55*Inputs!$C$56)/(1+Inputs!$C$46)^9+(Inputs!$C$21*(1+E$29)^10*MIN(Inputs!$C$53*10,Inputs!$C$54)*Inputs!$C$55*Inputs!$C$56)/(1+Inputs!$C$46)^10+(Inputs!$C$21*(1+E$29)^10*Inputs!$C$54*Inputs!$C$55*Inputs!$C$56)*(1+Inputs!$C$47)/(Inputs!$C$46-Inputs!$C$47)/(1+Inputs!$C$46)^10</f>
        <v>3658.44308496469</v>
      </c>
      <c r="F30" s="50" t="n">
        <f aca="false">(Inputs!$C$21*(1+F$29)^1*MIN(Inputs!$C$53*1,Inputs!$C$54)*Inputs!$C$55*Inputs!$C$56)/(1+Inputs!$C$46)^1+(Inputs!$C$21*(1+F$29)^2*MIN(Inputs!$C$53*2,Inputs!$C$54)*Inputs!$C$55*Inputs!$C$56)/(1+Inputs!$C$46)^2+(Inputs!$C$21*(1+F$29)^3*MIN(Inputs!$C$53*3,Inputs!$C$54)*Inputs!$C$55*Inputs!$C$56)/(1+Inputs!$C$46)^3+(Inputs!$C$21*(1+F$29)^4*MIN(Inputs!$C$53*4,Inputs!$C$54)*Inputs!$C$55*Inputs!$C$56)/(1+Inputs!$C$46)^4+(Inputs!$C$21*(1+F$29)^5*MIN(Inputs!$C$53*5,Inputs!$C$54)*Inputs!$C$55*Inputs!$C$56)/(1+Inputs!$C$46)^5+(Inputs!$C$21*(1+F$29)^6*MIN(Inputs!$C$53*6,Inputs!$C$54)*Inputs!$C$55*Inputs!$C$56)/(1+Inputs!$C$46)^6+(Inputs!$C$21*(1+F$29)^7*MIN(Inputs!$C$53*7,Inputs!$C$54)*Inputs!$C$55*Inputs!$C$56)/(1+Inputs!$C$46)^7+(Inputs!$C$21*(1+F$29)^8*MIN(Inputs!$C$53*8,Inputs!$C$54)*Inputs!$C$55*Inputs!$C$56)/(1+Inputs!$C$46)^8+(Inputs!$C$21*(1+F$29)^9*MIN(Inputs!$C$53*9,Inputs!$C$54)*Inputs!$C$55*Inputs!$C$56)/(1+Inputs!$C$46)^9+(Inputs!$C$21*(1+F$29)^10*MIN(Inputs!$C$53*10,Inputs!$C$54)*Inputs!$C$55*Inputs!$C$56)/(1+Inputs!$C$46)^10+(Inputs!$C$21*(1+F$29)^10*Inputs!$C$54*Inputs!$C$55*Inputs!$C$56)*(1+Inputs!$C$47)/(Inputs!$C$46-Inputs!$C$47)/(1+Inputs!$C$46)^10</f>
        <v>7344.87120151519</v>
      </c>
      <c r="G30" s="56" t="s">
        <v>399</v>
      </c>
      <c r="H30" s="1"/>
    </row>
    <row r="31" customFormat="false" ht="15" hidden="false" customHeight="false" outlineLevel="0" collapsed="false">
      <c r="A31" s="1"/>
      <c r="B31" s="8" t="s">
        <v>400</v>
      </c>
      <c r="C31" s="33" t="n">
        <f aca="false">C30/Inputs!$C$21</f>
        <v>3.68734735520341</v>
      </c>
      <c r="D31" s="33" t="n">
        <f aca="false">D30/Inputs!$C$21</f>
        <v>7.96982616543509</v>
      </c>
      <c r="E31" s="33" t="n">
        <f aca="false">E30/Inputs!$C$21</f>
        <v>16.6292867498395</v>
      </c>
      <c r="F31" s="33" t="n">
        <f aca="false">F30/Inputs!$C$21</f>
        <v>33.3857781887054</v>
      </c>
      <c r="G31" s="1"/>
      <c r="H31" s="1"/>
    </row>
    <row r="32" customFormat="false" ht="15" hidden="false" customHeight="false" outlineLevel="0" collapsed="false">
      <c r="A32" s="1"/>
      <c r="B32" s="8" t="s">
        <v>401</v>
      </c>
      <c r="C32" s="27" t="str">
        <f aca="false">IF(C30&gt;=Inputs!$C$18,"Yes","No")</f>
        <v>No</v>
      </c>
      <c r="D32" s="27" t="str">
        <f aca="false">IF(D30&gt;=Inputs!$C$18,"Yes","No")</f>
        <v>No</v>
      </c>
      <c r="E32" s="27" t="str">
        <f aca="false">IF(E30&gt;=Inputs!$C$18,"Yes","No")</f>
        <v>No</v>
      </c>
      <c r="F32" s="27" t="str">
        <f aca="false">IF(F30&gt;=Inputs!$C$18,"Yes","No")</f>
        <v>Yes</v>
      </c>
      <c r="G32" s="1"/>
      <c r="H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</row>
    <row r="34" customFormat="false" ht="15" hidden="false" customHeight="false" outlineLevel="0" collapsed="false">
      <c r="A34" s="1"/>
      <c r="B34" s="24" t="s">
        <v>402</v>
      </c>
      <c r="C34" s="25"/>
      <c r="D34" s="25"/>
      <c r="E34" s="25"/>
      <c r="F34" s="25"/>
      <c r="G34" s="25"/>
      <c r="H34" s="25"/>
    </row>
    <row r="35" customFormat="false" ht="15" hidden="false" customHeight="false" outlineLevel="0" collapsed="false">
      <c r="A35" s="1"/>
      <c r="B35" s="16" t="s">
        <v>403</v>
      </c>
      <c r="C35" s="16" t="s">
        <v>404</v>
      </c>
      <c r="D35" s="16" t="s">
        <v>405</v>
      </c>
      <c r="E35" s="1"/>
      <c r="F35" s="1"/>
      <c r="G35" s="1"/>
      <c r="H35" s="1"/>
    </row>
    <row r="36" customFormat="false" ht="15" hidden="false" customHeight="false" outlineLevel="0" collapsed="false">
      <c r="A36" s="1"/>
      <c r="B36" s="41" t="s">
        <v>406</v>
      </c>
      <c r="C36" s="17" t="n">
        <f aca="false">'Valuation &amp; Churn'!E11</f>
        <v>33.0578512396694</v>
      </c>
      <c r="D36" s="8" t="s">
        <v>407</v>
      </c>
      <c r="E36" s="1"/>
      <c r="F36" s="1"/>
      <c r="G36" s="1"/>
      <c r="H36" s="1"/>
    </row>
    <row r="37" customFormat="false" ht="15" hidden="false" customHeight="false" outlineLevel="0" collapsed="false">
      <c r="A37" s="1"/>
      <c r="B37" s="41" t="s">
        <v>408</v>
      </c>
      <c r="C37" s="22" t="str">
        <f aca="false">'PAT &amp; FCF Breakeven'!C32</f>
        <v>Not within 10 years</v>
      </c>
      <c r="D37" s="8" t="s">
        <v>409</v>
      </c>
      <c r="E37" s="1"/>
      <c r="F37" s="1"/>
      <c r="G37" s="1"/>
      <c r="H37" s="1"/>
    </row>
    <row r="38" customFormat="false" ht="15" hidden="false" customHeight="false" outlineLevel="0" collapsed="false">
      <c r="A38" s="1"/>
      <c r="B38" s="41" t="s">
        <v>410</v>
      </c>
      <c r="C38" s="20" t="n">
        <f aca="false">'Valuation &amp; Churn'!E21</f>
        <v>0.75</v>
      </c>
      <c r="D38" s="8" t="s">
        <v>411</v>
      </c>
      <c r="E38" s="1"/>
      <c r="F38" s="1"/>
      <c r="G38" s="1"/>
      <c r="H38" s="1"/>
    </row>
    <row r="39" customFormat="false" ht="15" hidden="false" customHeight="false" outlineLevel="0" collapsed="false">
      <c r="A39" s="1"/>
      <c r="B39" s="41" t="s">
        <v>412</v>
      </c>
      <c r="C39" s="20" t="n">
        <f aca="false">'Call Option &amp; Earn-out'!E22</f>
        <v>0.0113684210526316</v>
      </c>
      <c r="D39" s="8" t="s">
        <v>413</v>
      </c>
      <c r="E39" s="1"/>
      <c r="F39" s="1"/>
      <c r="G39" s="1"/>
      <c r="H39" s="1"/>
    </row>
    <row r="40" customFormat="false" ht="15" hidden="false" customHeight="false" outlineLevel="0" collapsed="false">
      <c r="A40" s="1"/>
      <c r="B40" s="41" t="s">
        <v>414</v>
      </c>
      <c r="C40" s="22" t="n">
        <f aca="false">'PAT &amp; FCF Breakeven'!C31</f>
        <v>8</v>
      </c>
      <c r="D40" s="8" t="s">
        <v>415</v>
      </c>
      <c r="E40" s="1"/>
      <c r="F40" s="1"/>
      <c r="G40" s="1"/>
      <c r="H40" s="1"/>
    </row>
    <row r="41" customFormat="false" ht="15" hidden="false" customHeight="false" outlineLevel="0" collapsed="false">
      <c r="A41" s="1"/>
      <c r="B41" s="41" t="s">
        <v>416</v>
      </c>
      <c r="C41" s="8" t="s">
        <v>417</v>
      </c>
      <c r="D41" s="8" t="s">
        <v>418</v>
      </c>
      <c r="E41" s="1"/>
      <c r="F41" s="1"/>
      <c r="G41" s="1"/>
      <c r="H41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2026-09-24T16:31:35Z</dcterms:created>
  <dc:creator/>
  <dc:description/>
  <dc:language>en-US</dc:language>
  <cp:lastModifiedBy/>
  <dcterms:modified xsi:type="dcterms:W3CDTF">2026-09-24T16:31:36Z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