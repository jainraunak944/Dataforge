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comments3.xml" ContentType="application/vnd.openxmlformats-officedocument.spreadsheetml.comments+xml"/>
  <Override PartName="/xl/styles.xml" ContentType="application/vnd.openxmlformats-officedocument.spreadsheetml.styles+xml"/>
  <Override PartName="/xl/worksheets/_rels/sheet2.xml.rels" ContentType="application/vnd.openxmlformats-package.relationships+xml"/>
  <Override PartName="/xl/worksheets/_rels/sheet3.xml.rels" ContentType="application/vnd.openxmlformats-package.relationships+xml"/>
  <Override PartName="/xl/worksheets/_rels/sheet13.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21.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comments2.xml" ContentType="application/vnd.openxmlformats-officedocument.spreadsheetml.comments+xml"/>
  <Override PartName="/xl/drawings/vmlDrawing1.vml" ContentType="application/vnd.openxmlformats-officedocument.vmlDrawing"/>
  <Override PartName="/xl/drawings/vmlDrawing2.vml" ContentType="application/vnd.openxmlformats-officedocument.vmlDrawing"/>
  <Override PartName="/xl/drawings/vmlDrawing3.vml" ContentType="application/vnd.openxmlformats-officedocument.vmlDrawing"/>
  <Override PartName="/xl/comments13.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600" firstSheet="0" activeTab="1"/>
  </bookViews>
  <sheets>
    <sheet name="README" sheetId="1" state="visible" r:id="rId3"/>
    <sheet name="Dashboard" sheetId="2" state="visible" r:id="rId4"/>
    <sheet name="Inputs" sheetId="3" state="visible" r:id="rId5"/>
    <sheet name="Liminal_Ops" sheetId="4" state="visible" r:id="rId6"/>
    <sheet name="DCF" sheetId="5" state="visible" r:id="rId7"/>
    <sheet name="Financing" sheetId="6" state="visible" r:id="rId8"/>
    <sheet name="Sources_Uses" sheetId="7" state="visible" r:id="rId9"/>
    <sheet name="Accretion" sheetId="8" state="visible" r:id="rId10"/>
    <sheet name="Deal_CF" sheetId="9" state="visible" r:id="rId11"/>
    <sheet name="Capital_Drag" sheetId="10" state="visible" r:id="rId12"/>
    <sheet name="Churn" sheetId="11" state="visible" r:id="rId13"/>
    <sheet name="Structures" sheetId="12" state="visible" r:id="rId14"/>
    <sheet name="Earnout" sheetId="13" state="visible" r:id="rId15"/>
    <sheet name="Scenarios" sheetId="14" state="visible" r:id="rId16"/>
    <sheet name="Thresholds" sheetId="15" state="visible" r:id="rId17"/>
    <sheet name="Synergies" sheetId="16" state="visible" r:id="rId18"/>
    <sheet name="Comps" sheetId="17" state="visible" r:id="rId19"/>
    <sheet name="Precedents" sheetId="18" state="visible" r:id="rId20"/>
    <sheet name="Regulatory" sheetId="19" state="visible" r:id="rId21"/>
    <sheet name="Sources" sheetId="20" state="visible" r:id="rId22"/>
    <sheet name="Audit_Trail" sheetId="21" state="visible" r:id="rId23"/>
  </sheets>
  <definedNames>
    <definedName function="false" hidden="false" name="a_be_gate" vbProcedure="false">Inputs!$B$82</definedName>
    <definedName function="false" hidden="false" name="a_build_cost" vbProcedure="false">Inputs!$B$102</definedName>
    <definedName function="false" hidden="false" name="a_build_years" vbProcedure="false">Inputs!$B$103</definedName>
    <definedName function="false" hidden="false" name="a_capex" vbProcedure="false">Inputs!$B$59</definedName>
    <definedName function="false" hidden="false" name="a_churn_year" vbProcedure="false">Inputs!$B$62</definedName>
    <definedName function="false" hidden="false" name="a_ctrl_churn" vbProcedure="false">Inputs!$B$91</definedName>
    <definedName function="false" hidden="false" name="a_ctrl_debt" vbProcedure="false">Inputs!$B$93</definedName>
    <definedName function="false" hidden="false" name="a_ctrl_drag" vbProcedure="false">Inputs!$B$97</definedName>
    <definedName function="false" hidden="false" name="a_ctrl_mult" vbProcedure="false">Inputs!$B$92</definedName>
    <definedName function="false" hidden="false" name="a_da" vbProcedure="false">Inputs!$B$58</definedName>
    <definedName function="false" hidden="false" name="a_eo_collar" vbProcedure="false">Inputs!$B$96</definedName>
    <definedName function="false" hidden="false" name="a_eo_floor" vbProcedure="false">Inputs!$B$94</definedName>
    <definedName function="false" hidden="false" name="a_eo_full" vbProcedure="false">Inputs!$B$95</definedName>
    <definedName function="false" hidden="false" name="a_fees_pct" vbProcedure="false">Inputs!$B$69</definedName>
    <definedName function="false" hidden="false" name="a_g_base" vbProcedure="false">Inputs!$B$52</definedName>
    <definedName function="false" hidden="false" name="a_g_bear" vbProcedure="false">Inputs!$B$51</definedName>
    <definedName function="false" hidden="false" name="a_g_bull" vbProcedure="false">Inputs!$B$53</definedName>
    <definedName function="false" hidden="false" name="a_horizon" vbProcedure="false">Inputs!$B$63</definedName>
    <definedName function="false" hidden="false" name="a_integ_full" vbProcedure="false">Inputs!$B$70</definedName>
    <definedName function="false" hidden="false" name="a_integ_min" vbProcedure="false">Inputs!$B$71</definedName>
    <definedName function="false" hidden="false" name="a_issue_disc" vbProcedure="false">Inputs!$B$68</definedName>
    <definedName function="false" hidden="false" name="a_jv_capital" vbProcedure="false">Inputs!$B$99</definedName>
    <definedName function="false" hidden="false" name="a_jv_margin" vbProcedure="false">Inputs!$B$101</definedName>
    <definedName function="false" hidden="false" name="a_jv_paytm_share" vbProcedure="false">Inputs!$B$98</definedName>
    <definedName function="false" hidden="false" name="a_jv_rev_y3" vbProcedure="false">Inputs!$B$100</definedName>
    <definedName function="false" hidden="false" name="a_kd" vbProcedure="false">Inputs!$B$67</definedName>
    <definedName function="false" hidden="false" name="a_m0" vbProcedure="false">Inputs!$B$54</definedName>
    <definedName function="false" hidden="false" name="a_max_lev" vbProcedure="false">Inputs!$B$73</definedName>
    <definedName function="false" hidden="false" name="a_mcap" vbProcedure="false">Inputs!$B$56</definedName>
    <definedName function="false" hidden="false" name="a_mdr_flow" vbProcedure="false">Inputs!$B$77</definedName>
    <definedName function="false" hidden="false" name="a_min_cash" vbProcedure="false">Inputs!$B$72</definedName>
    <definedName function="false" hidden="false" name="a_min_churn" vbProcedure="false">Inputs!$B$88</definedName>
    <definedName function="false" hidden="false" name="a_min_drag_mode" vbProcedure="false">Inputs!$B$89</definedName>
    <definedName function="false" hidden="false" name="a_min_val100" vbProcedure="false">Inputs!$B$86</definedName>
    <definedName function="false" hidden="false" name="a_mstep" vbProcedure="false">Inputs!$B$55</definedName>
    <definedName function="false" hidden="false" name="a_opt_year" vbProcedure="false">Inputs!$B$90</definedName>
    <definedName function="false" hidden="false" name="a_pat_growth" vbProcedure="false">Inputs!$B$78</definedName>
    <definedName function="false" hidden="false" name="a_ppa_life" vbProcedure="false">Inputs!$B$76</definedName>
    <definedName function="false" hidden="false" name="a_ppa_on" vbProcedure="false">Inputs!$B$74</definedName>
    <definedName function="false" hidden="false" name="a_ppa_share" vbProcedure="false">Inputs!$B$75</definedName>
    <definedName function="false" hidden="false" name="a_primary_share" vbProcedure="false">Inputs!$B$87</definedName>
    <definedName function="false" hidden="false" name="a_recovery" vbProcedure="false">Inputs!$B$81</definedName>
    <definedName function="false" hidden="false" name="a_stake" vbProcedure="false">Inputs!$B$85</definedName>
    <definedName function="false" hidden="false" name="a_sticky" vbProcedure="false">Inputs!$B$61</definedName>
    <definedName function="false" hidden="false" name="a_syn_cost" vbProcedure="false">Inputs!$B$109</definedName>
    <definedName function="false" hidden="false" name="a_syn_on" vbProcedure="false">Inputs!$B$106</definedName>
    <definedName function="false" hidden="false" name="a_syn_partner_rev_y3" vbProcedure="false">Inputs!$B$107</definedName>
    <definedName function="false" hidden="false" name="a_syn_ramp1" vbProcedure="false">Inputs!$B$110</definedName>
    <definedName function="false" hidden="false" name="a_syn_ramp2" vbProcedure="false">Inputs!$B$111</definedName>
    <definedName function="false" hidden="false" name="a_syn_xsell_y3" vbProcedure="false">Inputs!$B$108</definedName>
    <definedName function="false" hidden="false" name="a_tax" vbProcedure="false">Inputs!$B$57</definedName>
    <definedName function="false" hidden="false" name="a_tg" vbProcedure="false">Inputs!$B$80</definedName>
    <definedName function="false" hidden="false" name="a_wacc_base" vbProcedure="false">Inputs!$B$79</definedName>
    <definedName function="false" hidden="false" name="a_wc" vbProcedure="false">Inputs!$B$60</definedName>
    <definedName function="false" hidden="false" name="a_yield" vbProcedure="false">Inputs!$B$66</definedName>
    <definedName function="false" hidden="false" name="cd_max_drag" vbProcedure="false">Capital_Drag!$B$44</definedName>
    <definedName function="false" hidden="false" name="cd_max_drag_gate" vbProcedure="false">Capital_Drag!$B$45</definedName>
    <definedName function="false" hidden="false" name="cf_arr" vbProcedure="false">Inputs!$B$19</definedName>
    <definedName function="false" hidden="false" name="cf_cash" vbProcedure="false">Inputs!$B$7</definedName>
    <definedName function="false" hidden="false" name="cf_churn_hi" vbProcedure="false">Inputs!$B$23</definedName>
    <definedName function="false" hidden="false" name="cf_churn_lo" vbProcedure="false">Inputs!$B$22</definedName>
    <definedName function="false" hidden="false" name="cf_deal" vbProcedure="false">Inputs!$B$16</definedName>
    <definedName function="false" hidden="false" name="cf_deal_cash" vbProcedure="false">Inputs!$B$17</definedName>
    <definedName function="false" hidden="false" name="cf_deal_eq" vbProcedure="false">Inputs!$B$18</definedName>
    <definedName function="false" hidden="false" name="cf_debt" vbProcedure="false">Inputs!$B$8</definedName>
    <definedName function="false" hidden="false" name="cf_drag" vbProcedure="false">Inputs!$B$24</definedName>
    <definedName function="false" hidden="false" name="cf_ebitda" vbProcedure="false">Inputs!$B$10</definedName>
    <definedName function="false" hidden="false" name="cf_eps" vbProcedure="false">Inputs!$B$12</definedName>
    <definedName function="false" hidden="false" name="cf_lim_pat" vbProcedure="false">Inputs!$B$20</definedName>
    <definedName function="false" hidden="false" name="cf_mcap" vbProcedure="false">Inputs!$B$5</definedName>
    <definedName function="false" hidden="false" name="cf_mdr" vbProcedure="false">Inputs!$B$25</definedName>
    <definedName function="false" hidden="false" name="cf_pat" vbProcedure="false">Inputs!$B$11</definedName>
    <definedName function="false" hidden="false" name="cf_rev" vbProcedure="false">Inputs!$B$9</definedName>
    <definedName function="false" hidden="false" name="cf_shares" vbProcedure="false">Inputs!$B$6</definedName>
    <definedName function="false" hidden="false" name="cf_top4" vbProcedure="false">Inputs!$B$21</definedName>
    <definedName function="false" hidden="false" name="ch_max_churn" vbProcedure="false">Churn!$B$24</definedName>
    <definedName function="false" hidden="false" name="ch_max_churn_nodrag" vbProcedure="false">Churn!$B$25</definedName>
    <definedName function="false" hidden="false" name="c_churn_hi_arr" vbProcedure="false">Inputs!$B$38</definedName>
    <definedName function="false" hidden="false" name="c_churn_lo_arr" vbProcedure="false">Inputs!$B$37</definedName>
    <definedName function="false" hidden="false" name="c_churn_of_top4_hi" vbProcedure="false">Inputs!$B$40</definedName>
    <definedName function="false" hidden="false" name="c_churn_of_top4_lo" vbProcedure="false">Inputs!$B$39</definedName>
    <definedName function="false" hidden="false" name="c_deal_v_cash" vbProcedure="false">Inputs!$B$46</definedName>
    <definedName function="false" hidden="false" name="c_deal_v_mcap" vbProcedure="false">Inputs!$B$45</definedName>
    <definedName function="false" hidden="false" name="c_drag_v_arr" vbProcedure="false">Inputs!$B$43</definedName>
    <definedName function="false" hidden="false" name="c_drag_v_ebitda" vbProcedure="false">Inputs!$B$41</definedName>
    <definedName function="false" hidden="false" name="c_drag_v_pat" vbProcedure="false">Inputs!$B$42</definedName>
    <definedName function="false" hidden="false" name="c_earn_yield" vbProcedure="false">Inputs!$B$32</definedName>
    <definedName function="false" hidden="false" name="c_lev0" vbProcedure="false">Inputs!$B$48</definedName>
    <definedName function="false" hidden="false" name="c_mdr_v_drag" vbProcedure="false">Inputs!$B$44</definedName>
    <definedName function="false" hidden="false" name="c_mult" vbProcedure="false">Inputs!$B$33</definedName>
    <definedName function="false" hidden="false" name="c_netcash0" vbProcedure="false">Inputs!$B$47</definedName>
    <definedName function="false" hidden="false" name="c_new_shares_case" vbProcedure="false">Inputs!$B$34</definedName>
    <definedName function="false" hidden="false" name="c_pct_co_case" vbProcedure="false">Inputs!$B$35</definedName>
    <definedName function="false" hidden="false" name="c_pe" vbProcedure="false">Inputs!$B$31</definedName>
    <definedName function="false" hidden="false" name="c_price" vbProcedure="false">Inputs!$B$30</definedName>
    <definedName function="false" hidden="false" name="c_top4_arr" vbProcedure="false">Inputs!$B$36</definedName>
    <definedName function="false" hidden="false" name="dcf_be_growth" vbProcedure="false">DCF!$B$60</definedName>
    <definedName function="false" hidden="false" name="dcf_ev" vbProcedure="false">DCF!$B$12</definedName>
    <definedName function="false" hidden="false" name="eo_cash" vbProcedure="false">Earnout!$B$11</definedName>
    <definedName function="false" hidden="false" name="eo_max" vbProcedure="false">Earnout!$B$10</definedName>
    <definedName function="false" hidden="false" name="eo_total" vbProcedure="false">Earnout!$B$8</definedName>
    <definedName function="false" hidden="false" name="eo_upfront" vbProcedure="false">Earnout!$B$9</definedName>
    <definedName function="false" hidden="false" name="e_cash_after" vbProcedure="false">Deal_CF!$C$78</definedName>
    <definedName function="false" hidden="false" name="e_cash_y3" vbProcedure="false">Deal_CF!$C$81</definedName>
    <definedName function="false" hidden="false" name="e_cum10" vbProcedure="false">Deal_CF!$C$62</definedName>
    <definedName function="false" hidden="false" name="e_debt_after" vbProcedure="false">Deal_CF!$C$79</definedName>
    <definedName function="false" hidden="false" name="e_eff_mult" vbProcedure="false">Deal_CF!$C$72</definedName>
    <definedName function="false" hidden="false" name="e_eff_mult_drag" vbProcedure="false">Deal_CF!$C$73</definedName>
    <definedName function="false" hidden="false" name="e_eps_y1" vbProcedure="false">Deal_CF!$C$75</definedName>
    <definedName function="false" hidden="false" name="e_eps_y3" vbProcedure="false">Deal_CF!$C$76</definedName>
    <definedName function="false" hidden="false" name="e_ev_lim" vbProcedure="false">Deal_CF!$C$66</definedName>
    <definedName function="false" hidden="false" name="e_fcf_be" vbProcedure="false">Deal_CF!$C$59</definedName>
    <definedName function="false" hidden="false" name="e_fcf_be_mdr" vbProcedure="false">Deal_CF!$C$60</definedName>
    <definedName function="false" hidden="false" name="e_fcf_y1" vbProcedure="false">Deal_CF!$C$77</definedName>
    <definedName function="false" hidden="false" name="e_lev_after" vbProcedure="false">Deal_CF!$C$80</definedName>
    <definedName function="false" hidden="false" name="e_max_drag" vbProcedure="false">Deal_CF!$C$74</definedName>
    <definedName function="false" hidden="false" name="e_npv" vbProcedure="false">Deal_CF!$C$70</definedName>
    <definedName function="false" hidden="false" name="e_npv_mdr" vbProcedure="false">Deal_CF!$C$71</definedName>
    <definedName function="false" hidden="false" name="e_pat_be" vbProcedure="false">Deal_CF!$C$57</definedName>
    <definedName function="false" hidden="false" name="e_pat_be_mdr" vbProcedure="false">Deal_CF!$C$58</definedName>
    <definedName function="false" hidden="false" name="e_payback" vbProcedure="false">Deal_CF!$C$61</definedName>
    <definedName function="false" hidden="false" name="e_pv_drag" vbProcedure="false">Deal_CF!$C$67</definedName>
    <definedName function="false" hidden="false" name="e_pv_onetime" vbProcedure="false">Deal_CF!$C$69</definedName>
    <definedName function="false" hidden="false" name="e_pv_syn" vbProcedure="false">Deal_CF!$C$68</definedName>
    <definedName function="false" hidden="false" name="hy_max_total" vbProcedure="false">Sources_Uses!$B$31</definedName>
    <definedName function="false" hidden="false" name="lv_churn" vbProcedure="false">Dashboard!$B$6</definedName>
    <definedName function="false" hidden="false" name="lv_drag" vbProcedure="false">Dashboard!$B$7</definedName>
    <definedName function="false" hidden="false" name="lv_drag_mode" vbProcedure="false">Dashboard!$B$8</definedName>
    <definedName function="false" hidden="false" name="lv_g" vbProcedure="false">Dashboard!$B$11</definedName>
    <definedName function="false" hidden="false" name="lv_gcase" vbProcedure="false">Dashboard!$B$5</definedName>
    <definedName function="false" hidden="false" name="lv_mdr_in_deal" vbProcedure="false">Dashboard!$B$10</definedName>
    <definedName function="false" hidden="false" name="lv_min_churn" vbProcedure="false">Dashboard!$B$24</definedName>
    <definedName function="false" hidden="false" name="lv_min_drag_mode" vbProcedure="false">Dashboard!$B$25</definedName>
    <definedName function="false" hidden="false" name="lv_min_price" vbProcedure="false">Dashboard!$B$26</definedName>
    <definedName function="false" hidden="false" name="lv_min_val100" vbProcedure="false">Dashboard!$B$23</definedName>
    <definedName function="false" hidden="false" name="lv_mix_cash" vbProcedure="false">Dashboard!$B$14</definedName>
    <definedName function="false" hidden="false" name="lv_mix_debt" vbProcedure="false">Dashboard!$B$15</definedName>
    <definedName function="false" hidden="false" name="lv_mix_eq" vbProcedure="false">Dashboard!$B$16</definedName>
    <definedName function="false" hidden="false" name="lv_mix_total" vbProcedure="false">Dashboard!$B$17</definedName>
    <definedName function="false" hidden="false" name="lv_price" vbProcedure="false">Dashboard!$B$18</definedName>
    <definedName function="false" hidden="false" name="lv_stake" vbProcedure="false">Dashboard!$B$22</definedName>
    <definedName function="false" hidden="false" name="lv_wacc" vbProcedure="false">Dashboard!$B$9</definedName>
    <definedName function="false" hidden="false" name="th_be_growth" vbProcedure="false">Thresholds!$B$6</definedName>
    <definedName function="false" hidden="false" name="th_consent" vbProcedure="false">Thresholds!$B$18</definedName>
    <definedName function="false" hidden="false" name="th_dcf" vbProcedure="false">Thresholds!$B$5</definedName>
    <definedName function="false" hidden="false" name="th_dil_case" vbProcedure="false">Thresholds!$B$27</definedName>
    <definedName function="false" hidden="false" name="th_dil_like" vbProcedure="false">Thresholds!$B$28</definedName>
    <definedName function="false" hidden="false" name="th_drag_years" vbProcedure="false">Thresholds!$B$23</definedName>
    <definedName function="false" hidden="false" name="th_hy_gate" vbProcedure="false">Thresholds!$B$30</definedName>
    <definedName function="false" hidden="false" name="th_hy_npv" vbProcedure="false">Thresholds!$B$31</definedName>
    <definedName function="false" hidden="false" name="th_max_cash" vbProcedure="false">Thresholds!$B$26</definedName>
    <definedName function="false" hidden="false" name="th_max_churn" vbProcedure="false">Thresholds!$B$16</definedName>
    <definedName function="false" hidden="false" name="th_max_churn_nodrag" vbProcedure="false">Thresholds!$B$17</definedName>
    <definedName function="false" hidden="false" name="th_max_debt" vbProcedure="false">Thresholds!$B$25</definedName>
    <definedName function="false" hidden="false" name="th_max_drag" vbProcedure="false">Thresholds!$B$21</definedName>
    <definedName function="false" hidden="false" name="th_max_drag_gate" vbProcedure="false">Thresholds!$B$22</definedName>
    <definedName function="false" hidden="false" name="th_max_price_full" vbProcedure="false">Thresholds!$B$7</definedName>
    <definedName function="false" hidden="false" name="th_max_price_nodrag" vbProcedure="false">Thresholds!$B$8</definedName>
    <definedName function="false" hidden="false" name="th_min_npv" vbProcedure="false">Thresholds!$B$32</definedName>
    <definedName function="false" hidden="false" name="th_min_prem" vbProcedure="false">Thresholds!$B$14</definedName>
    <definedName function="false" hidden="false" name="th_min_val" vbProcedure="false">Thresholds!$B$10</definedName>
    <definedName function="false" hidden="false" name="th_min_val_base" vbProcedure="false">Thresholds!$B$12</definedName>
    <definedName function="false" hidden="false" name="th_min_val_bear" vbProcedure="false">Thresholds!$B$11</definedName>
    <definedName function="false" hidden="false" name="th_min_val_bull" vbProcedure="false">Thresholds!$B$13</definedName>
    <definedName function="false" hidden="false" name="th_strat_prem" vbProcedure="false">Thresholds!$B$9</definedName>
    <definedName function="false" hidden="false" name="th_top4_floor" vbProcedure="false">Thresholds!$B$19</definedName>
  </definedName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Unknown Author</author>
  </authors>
  <commentList>
    <comment ref="B5" authorId="0">
      <text>
        <r>
          <rPr>
            <sz val="10"/>
            <rFont val="Arial"/>
            <family val="2"/>
          </rPr>
          <t xml:space="preserve">Selects a_g_bear / a_g_base / a_g_bull.</t>
        </r>
      </text>
    </comment>
    <comment ref="B6" authorId="0">
      <text>
        <r>
          <rPr>
            <sz val="10"/>
            <rFont val="Arial"/>
            <family val="2"/>
          </rPr>
          <t xml:space="preserve">Case §3.1 range 30–45%; base = midpoint 37.5%. Set 0% to see the no-churn case.</t>
        </r>
      </text>
    </comment>
    <comment ref="B7" authorId="0">
      <text>
        <r>
          <rPr>
            <sz val="10"/>
            <rFont val="Arial"/>
            <family val="2"/>
          </rPr>
          <t xml:space="preserve">Case §3.2. Flex to test.</t>
        </r>
      </text>
    </comment>
    <comment ref="B8" authorId="0">
      <text>
        <r>
          <rPr>
            <sz val="10"/>
            <rFont val="Arial"/>
            <family val="2"/>
          </rPr>
          <t xml:space="preserve">See Capital_Drag for the three readings. Reading 1 is the case's literal wording.</t>
        </r>
      </text>
    </comment>
    <comment ref="B9" authorId="0">
      <text>
        <r>
          <rPr>
            <sz val="10"/>
            <rFont val="Arial"/>
            <family val="2"/>
          </rPr>
          <t xml:space="preserve">Defaults to the Inputs base; overwrite to flex.</t>
        </r>
      </text>
    </comment>
    <comment ref="B10" authorId="0">
      <text>
        <r>
          <rPr>
            <sz val="10"/>
            <rFont val="Arial"/>
            <family val="2"/>
          </rPr>
          <t xml:space="preserve">The MDR accrues to Paytm with or without Liminal. Both views are always shown; this lever picks which one the verdict lines use.</t>
        </r>
      </text>
    </comment>
    <comment ref="B14" authorId="0">
      <text>
        <r>
          <rPr>
            <sz val="10"/>
            <rFont val="Arial"/>
            <family val="2"/>
          </rPr>
          <t xml:space="preserve">Case headline: ₹2,100 Cr from existing cash.</t>
        </r>
      </text>
    </comment>
    <comment ref="B15" authorId="0">
      <text>
        <r>
          <rPr>
            <sz val="10"/>
            <rFont val="Arial"/>
            <family val="2"/>
          </rPr>
          <t xml:space="preserve">Case headline: none.</t>
        </r>
      </text>
    </comment>
    <comment ref="B16" authorId="0">
      <text>
        <r>
          <rPr>
            <sz val="10"/>
            <rFont val="Arial"/>
            <family val="2"/>
          </rPr>
          <t xml:space="preserve">Case headline: ₹1,900 Cr.</t>
        </r>
      </text>
    </comment>
    <comment ref="B18" authorId="0">
      <text>
        <r>
          <rPr>
            <sz val="10"/>
            <rFont val="Arial"/>
            <family val="2"/>
          </rPr>
          <t xml:space="preserve">Defaults to the case headline; overwrite to test a lower negotiated price. The mix above must sum to this.</t>
        </r>
      </text>
    </comment>
    <comment ref="B22" authorId="0">
      <text>
        <r>
          <rPr>
            <sz val="10"/>
            <rFont val="Arial"/>
            <family val="2"/>
          </rPr>
          <t xml:space="preserve">Defaults to Inputs (26%).</t>
        </r>
      </text>
    </comment>
    <comment ref="B23" authorId="0">
      <text>
        <r>
          <rPr>
            <sz val="10"/>
            <rFont val="Arial"/>
            <family val="2"/>
          </rPr>
          <t xml:space="preserve">Defaults to Inputs (₹2,500 Cr = 11.4x ARR).</t>
        </r>
      </text>
    </comment>
    <comment ref="B24" authorId="0">
      <text>
        <r>
          <rPr>
            <sz val="10"/>
            <rFont val="Arial"/>
            <family val="2"/>
          </rPr>
          <t xml:space="preserve">Defaults to Inputs (0%; a gate).</t>
        </r>
      </text>
    </comment>
    <comment ref="B25" authorId="0">
      <text>
        <r>
          <rPr>
            <sz val="10"/>
            <rFont val="Arial"/>
            <family val="2"/>
          </rPr>
          <t xml:space="preserve">Defaults to Inputs (0).</t>
        </r>
      </text>
    </comment>
  </commentList>
</comments>
</file>

<file path=xl/comments3.xml><?xml version="1.0" encoding="utf-8"?>
<comments xmlns="http://schemas.openxmlformats.org/spreadsheetml/2006/main" xmlns:xdr="http://schemas.openxmlformats.org/drawingml/2006/spreadsheetDrawing">
  <authors>
    <author>Unknown Author</author>
  </authors>
  <commentList>
    <comment ref="B5" authorId="0">
      <text>
        <r>
          <rPr>
            <sz val="10"/>
            <rFont val="Arial"/>
            <family val="2"/>
          </rPr>
          <t xml:space="preserve">Case §1 and §2 table: ₹1,18,750 Cr (~$14B), mid-Sep 2026. Case note: real, verified fact.</t>
        </r>
      </text>
    </comment>
    <comment ref="B6" authorId="0">
      <text>
        <r>
          <rPr>
            <sz val="10"/>
            <rFont val="Arial"/>
            <family val="2"/>
          </rPr>
          <t xml:space="preserve">Case §1: 64 Cr diluted shares.</t>
        </r>
      </text>
    </comment>
    <comment ref="B7" authorId="0">
      <text>
        <r>
          <rPr>
            <sz val="10"/>
            <rFont val="Arial"/>
            <family val="2"/>
          </rPr>
          <t xml:space="preserve">Case §1: ₹8,900 Cr cash.</t>
        </r>
      </text>
    </comment>
    <comment ref="B8" authorId="0">
      <text>
        <r>
          <rPr>
            <sz val="10"/>
            <rFont val="Arial"/>
            <family val="2"/>
          </rPr>
          <t xml:space="preserve">Case §1: ₹350 Cr gross debt.</t>
        </r>
      </text>
    </comment>
    <comment ref="B9" authorId="0">
      <text>
        <r>
          <rPr>
            <sz val="10"/>
            <rFont val="Arial"/>
            <family val="2"/>
          </rPr>
          <t xml:space="preserve">Case §1: trailing revenue ₹8,450 Cr.</t>
        </r>
      </text>
    </comment>
    <comment ref="B10" authorId="0">
      <text>
        <r>
          <rPr>
            <sz val="10"/>
            <rFont val="Arial"/>
            <family val="2"/>
          </rPr>
          <t xml:space="preserve">Case §1: EBITDA ₹640 Cr.</t>
        </r>
      </text>
    </comment>
    <comment ref="B11" authorId="0">
      <text>
        <r>
          <rPr>
            <sz val="10"/>
            <rFont val="Arial"/>
            <family val="2"/>
          </rPr>
          <t xml:space="preserve">Case §1: PAT ₹480 Cr. Starting point for all dilution calculations (case §5.3).</t>
        </r>
      </text>
    </comment>
    <comment ref="B12" authorId="0">
      <text>
        <r>
          <rPr>
            <sz val="10"/>
            <rFont val="Arial"/>
            <family val="2"/>
          </rPr>
          <t xml:space="preserve">Case §1: diluted EPS ₹7.50. Baseline for §5.3.</t>
        </r>
      </text>
    </comment>
    <comment ref="B13" authorId="0">
      <text>
        <r>
          <rPr>
            <sz val="10"/>
            <rFont val="Arial"/>
            <family val="2"/>
          </rPr>
          <t xml:space="preserve">Case §1.</t>
        </r>
      </text>
    </comment>
    <comment ref="B16" authorId="0">
      <text>
        <r>
          <rPr>
            <sz val="10"/>
            <rFont val="Arial"/>
            <family val="2"/>
          </rPr>
          <t xml:space="preserve">Case §2: ₹4,000 Cr (~$470M).</t>
        </r>
      </text>
    </comment>
    <comment ref="B17" authorId="0">
      <text>
        <r>
          <rPr>
            <sz val="10"/>
            <rFont val="Arial"/>
            <family val="2"/>
          </rPr>
          <t xml:space="preserve">Case §2: ₹2,100 Cr cash; may be funded from balance-sheet cash, new debt, or a mix.</t>
        </r>
      </text>
    </comment>
    <comment ref="B18" authorId="0">
      <text>
        <r>
          <rPr>
            <sz val="10"/>
            <rFont val="Arial"/>
            <family val="2"/>
          </rPr>
          <t xml:space="preserve">Case §2: ₹1,900 Cr equity (Paytm shares issued to Liminal shareholders).</t>
        </r>
      </text>
    </comment>
    <comment ref="B19" authorId="0">
      <text>
        <r>
          <rPr>
            <sz val="10"/>
            <rFont val="Arial"/>
            <family val="2"/>
          </rPr>
          <t xml:space="preserve">Case §2 table: Target ARR ₹220 Cr (~$26M).</t>
        </r>
      </text>
    </comment>
    <comment ref="B20" authorId="0">
      <text>
        <r>
          <rPr>
            <sz val="10"/>
            <rFont val="Arial"/>
            <family val="2"/>
          </rPr>
          <t xml:space="preserve">Case §2: 'approximately breakeven at the net income level today'.</t>
        </r>
      </text>
    </comment>
    <comment ref="B21" authorId="0">
      <text>
        <r>
          <rPr>
            <sz val="10"/>
            <rFont val="Arial"/>
            <family val="2"/>
          </rPr>
          <t xml:space="preserve">Case §2: together 60% of Liminal's ARR.</t>
        </r>
      </text>
    </comment>
    <comment ref="B22" authorId="0">
      <text>
        <r>
          <rPr>
            <sz val="10"/>
            <rFont val="Arial"/>
            <family val="2"/>
          </rPr>
          <t xml:space="preserve">Case §3.1: assume 30% to 45% of ARR lost within 12 months of a full acquisition.</t>
        </r>
      </text>
    </comment>
    <comment ref="B23" authorId="0">
      <text>
        <r>
          <rPr>
            <sz val="10"/>
            <rFont val="Arial"/>
            <family val="2"/>
          </rPr>
          <t xml:space="preserve">Case §3.1.</t>
        </r>
      </text>
    </comment>
    <comment ref="B24" authorId="0">
      <text>
        <r>
          <rPr>
            <sz val="10"/>
            <rFont val="Arial"/>
            <family val="2"/>
          </rPr>
          <t xml:space="preserve">Case §3.2: RBI requires bank-like capital reserves against custodied assets because Paytm holds a PA licence, not a banking licence → recurring annual FCF drag ₹750 Cr (~$88M).</t>
        </r>
      </text>
    </comment>
    <comment ref="B25" authorId="0">
      <text>
        <r>
          <rPr>
            <sz val="10"/>
            <rFont val="Arial"/>
            <family val="2"/>
          </rPr>
          <t xml:space="preserve">Case §3.4: 0.4% MDR on P2M UPI &gt; ₹2,000, capped ₹300/txn, effective 15 Oct 2026; assume ₹115 Cr/yr incremental net revenue for Paytm. Case note: the MDR framework is a real fact; the ₹115 Cr is the case's modelling input.</t>
        </r>
      </text>
    </comment>
    <comment ref="B26" authorId="0">
      <text>
        <r>
          <rPr>
            <sz val="10"/>
            <rFont val="Arial"/>
            <family val="2"/>
          </rPr>
          <t xml:space="preserve">Case §2: formed to acquire Liminal should Paytm walk away. No price or terms given.</t>
        </r>
      </text>
    </comment>
    <comment ref="B27" authorId="0">
      <text>
        <r>
          <rPr>
            <sz val="10"/>
            <rFont val="Arial"/>
            <family val="2"/>
          </rPr>
          <t xml:space="preserve">Case §2 table.</t>
        </r>
      </text>
    </comment>
    <comment ref="B51" authorId="0">
      <text>
        <r>
          <rPr>
            <sz val="10"/>
            <rFont val="Arial"/>
            <family val="2"/>
          </rPr>
          <t xml:space="preserve">Bear: growth slows to a mature-SaaS rate. Range tested 0–40% on DCF sheet.</t>
        </r>
      </text>
    </comment>
    <comment ref="B52" authorId="0">
      <text>
        <r>
          <rPr>
            <sz val="10"/>
            <rFont val="Arial"/>
            <family val="2"/>
          </rPr>
          <t xml:space="preserve">Base: an infrastructure SaaS provider at ₹220 Cr ARR growing 20%. Deliberately below the growth that justifies 18x (see DCF 'what you need to believe').</t>
        </r>
      </text>
    </comment>
    <comment ref="B53" authorId="0">
      <text>
        <r>
          <rPr>
            <sz val="10"/>
            <rFont val="Arial"/>
            <family val="2"/>
          </rPr>
          <t xml:space="preserve">Bull: sustained 30% for a decade; consistent with institutional digital-asset adoption scaling in India/UAE/Singapore.</t>
        </r>
      </text>
    </comment>
    <comment ref="B54" authorId="0">
      <text>
        <r>
          <rPr>
            <sz val="10"/>
            <rFont val="Arial"/>
            <family val="2"/>
          </rPr>
          <t xml:space="preserve">Case: ~breakeven at net income. We set EBITDA ≈ 0 today (D&amp;A ≈ capex, no tax).</t>
        </r>
      </text>
    </comment>
    <comment ref="B55" authorId="0">
      <text>
        <r>
          <rPr>
            <sz val="10"/>
            <rFont val="Arial"/>
            <family val="2"/>
          </rPr>
          <t xml:space="preserve">Operating leverage of an infrastructure SaaS: +5pp per year.</t>
        </r>
      </text>
    </comment>
    <comment ref="B56" authorId="0">
      <text>
        <r>
          <rPr>
            <sz val="10"/>
            <rFont val="Arial"/>
            <family val="2"/>
          </rPr>
          <t xml:space="preserve">Mature margin of a regulated custody/infra business with compliance and security cost load; below pure software (30–40%).</t>
        </r>
      </text>
    </comment>
    <comment ref="B57" authorId="0">
      <text>
        <r>
          <rPr>
            <sz val="10"/>
            <rFont val="Arial"/>
            <family val="2"/>
          </rPr>
          <t xml:space="preserve">Indian corporate rate ~25.2% (s.115BAA). Losses not group-relieved (no group relief in India); Liminal's own carry-forwards ignored (conservative).</t>
        </r>
      </text>
    </comment>
    <comment ref="B58" authorId="0">
      <text>
        <r>
          <rPr>
            <sz val="10"/>
            <rFont val="Arial"/>
            <family val="2"/>
          </rPr>
          <t xml:space="preserve">Asset-light: mostly software, HSMs, security infrastructure.</t>
        </r>
      </text>
    </comment>
    <comment ref="B59" authorId="0">
      <text>
        <r>
          <rPr>
            <sz val="10"/>
            <rFont val="Arial"/>
            <family val="2"/>
          </rPr>
          <t xml:space="preserve">≈ D&amp;A in steady state.</t>
        </r>
      </text>
    </comment>
    <comment ref="B60" authorId="0">
      <text>
        <r>
          <rPr>
            <sz val="10"/>
            <rFont val="Arial"/>
            <family val="2"/>
          </rPr>
          <t xml:space="preserve">Custody fees billed monthly/quarterly; modest receivables.</t>
        </r>
      </text>
    </comment>
    <comment ref="B61" authorId="0">
      <text>
        <r>
          <rPr>
            <sz val="10"/>
            <rFont val="Arial"/>
            <family val="2"/>
          </rPr>
          <t xml:space="preserve">Costs do not fall as fast as revenue: half of the cost base tied to lost clients persists for 12 months (a 37.5% revenue loss on a breakeven cost base is a loss, not zero).</t>
        </r>
      </text>
    </comment>
    <comment ref="B62" authorId="0">
      <text>
        <r>
          <rPr>
            <sz val="10"/>
            <rFont val="Arial"/>
            <family val="2"/>
          </rPr>
          <t xml:space="preserve">Case §3.1: within 12 months of a full acquisition → year 1.</t>
        </r>
      </text>
    </comment>
    <comment ref="B63" authorId="0">
      <text>
        <r>
          <rPr>
            <sz val="10"/>
            <rFont val="Arial"/>
            <family val="2"/>
          </rPr>
          <t xml:space="preserve">10 years; terminal value thereafter.</t>
        </r>
      </text>
    </comment>
    <comment ref="B66" authorId="0">
      <text>
        <r>
          <rPr>
            <sz val="10"/>
            <rFont val="Arial"/>
            <family val="2"/>
          </rPr>
          <t xml:space="preserve">Treasury yield on liquid Indian debt funds/deposits; tested 5–7%.</t>
        </r>
      </text>
    </comment>
    <comment ref="B67" authorId="0">
      <text>
        <r>
          <rPr>
            <sz val="10"/>
            <rFont val="Arial"/>
            <family val="2"/>
          </rPr>
          <t xml:space="preserve">AA- corporate bond/term-loan pricing; tested 8–10%. Interest is tax-deductible.</t>
        </r>
      </text>
    </comment>
    <comment ref="B68" authorId="0">
      <text>
        <r>
          <rPr>
            <sz val="10"/>
            <rFont val="Arial"/>
            <family val="2"/>
          </rPr>
          <t xml:space="preserve">0% base: SEBI ICDR preferential-issue floor pricing (90-day / 10-day VWAP) usually allows issuance near market; flex for a compressed stock.</t>
        </r>
      </text>
    </comment>
    <comment ref="B69" authorId="0">
      <text>
        <r>
          <rPr>
            <sz val="10"/>
            <rFont val="Arial"/>
            <family val="2"/>
          </rPr>
          <t xml:space="preserve">Advisory, legal, diligence, stamp duty: ~1.5% of consideration (one-time, expensed, not in run-rate EPS).</t>
        </r>
      </text>
    </comment>
    <comment ref="B70" authorId="0">
      <text>
        <r>
          <rPr>
            <sz val="10"/>
            <rFont val="Arial"/>
            <family val="2"/>
          </rPr>
          <t xml:space="preserve">Ring-fence build-out, information barriers, independent compliance, retention pool (cash, year 1).</t>
        </r>
      </text>
    </comment>
    <comment ref="B71" authorId="0">
      <text>
        <r>
          <rPr>
            <sz val="10"/>
            <rFont val="Arial"/>
            <family val="2"/>
          </rPr>
          <t xml:space="preserve">Diligence, documentation, shareholder agreement.</t>
        </r>
      </text>
    </comment>
    <comment ref="B72" authorId="0">
      <text>
        <r>
          <rPr>
            <sz val="10"/>
            <rFont val="Arial"/>
            <family val="2"/>
          </rPr>
          <t xml:space="preserve">Team guardrail to protect the AA- rating and PA-licence net-worth/escrow needs: keep ≥ ₹5,000 Cr (~7 months of revenue).</t>
        </r>
      </text>
    </comment>
    <comment ref="B73" authorId="0">
      <text>
        <r>
          <rPr>
            <sz val="10"/>
            <rFont val="Arial"/>
            <family val="2"/>
          </rPr>
          <t xml:space="preserve">Team guardrail for an AA- issuer with volatile earnings: ≤ 1.5x gross debt/EBITDA.</t>
        </r>
      </text>
    </comment>
    <comment ref="B74" authorId="0">
      <text>
        <r>
          <rPr>
            <sz val="10"/>
            <rFont val="Arial"/>
            <family val="2"/>
          </rPr>
          <t xml:space="preserve">0 = case basis (case §2: EPS impact from new shares and financing costs). 1 = Ind AS reported basis (amortisation of acquired intangibles). The reported-basis EPS is always shown as a separate line.</t>
        </r>
      </text>
    </comment>
    <comment ref="B75" authorId="0">
      <text>
        <r>
          <rPr>
            <sz val="10"/>
            <rFont val="Arial"/>
            <family val="2"/>
          </rPr>
          <t xml:space="preserve">Typical for software/infra targets: 20–35% to identifiable intangibles; the rest is goodwill (not amortised, tested for impairment).</t>
        </r>
      </text>
    </comment>
    <comment ref="B76" authorId="0">
      <text>
        <r>
          <rPr>
            <sz val="10"/>
            <rFont val="Arial"/>
            <family val="2"/>
          </rPr>
          <t xml:space="preserve">Technology 5–7 yrs, customer relationships 8–10 yrs → blended 8.</t>
        </r>
      </text>
    </comment>
    <comment ref="B77" authorId="0">
      <text>
        <r>
          <rPr>
            <sz val="10"/>
            <rFont val="Arial"/>
            <family val="2"/>
          </rPr>
          <t xml:space="preserve">Net revenue is after interchange/processing; some incremental collection, dispute and compliance cost → 80% reaches EBITDA. Tested 60–100%.</t>
        </r>
      </text>
    </comment>
    <comment ref="B78" authorId="0">
      <text>
        <r>
          <rPr>
            <sz val="10"/>
            <rFont val="Arial"/>
            <family val="2"/>
          </rPr>
          <t xml:space="preserve">Held at 0% so that the deal's effect on EPS is isolated; the case gives no forecast. Flex to test.</t>
        </r>
      </text>
    </comment>
    <comment ref="B79" authorId="0">
      <text>
        <r>
          <rPr>
            <sz val="10"/>
            <rFont val="Arial"/>
            <family val="2"/>
          </rPr>
          <t xml:space="preserve">Build-up: India 10-yr G-sec ~6.5% + β 1.0 × ERP 6.5% ≈ 13% for an all-equity infra business. Risk is placed in the cash flows (churn, drag, growth scenarios), not inflated in the rate. Tested 11–15%.</t>
        </r>
      </text>
    </comment>
    <comment ref="B80" authorId="0">
      <text>
        <r>
          <rPr>
            <sz val="10"/>
            <rFont val="Arial"/>
            <family val="2"/>
          </rPr>
          <t xml:space="preserve">Below India nominal GDP growth; tested 3–6%.</t>
        </r>
      </text>
    </comment>
    <comment ref="B81" authorId="0">
      <text>
        <r>
          <rPr>
            <sz val="10"/>
            <rFont val="Arial"/>
            <family val="2"/>
          </rPr>
          <t xml:space="preserve">0% = the case's literal reading (a permanent FCF drag). 100% = reserves are released on exit/deregulation. Only relevant under reading B (see Capital_Drag).</t>
        </r>
      </text>
    </comment>
    <comment ref="B82" authorId="0">
      <text>
        <r>
          <rPr>
            <sz val="10"/>
            <rFont val="Arial"/>
            <family val="2"/>
          </rPr>
          <t xml:space="preserve">Board gate used in the decision framework.</t>
        </r>
      </text>
    </comment>
    <comment ref="B85" authorId="0">
      <text>
        <r>
          <rPr>
            <sz val="10"/>
            <rFont val="Arial"/>
            <family val="2"/>
          </rPr>
          <t xml:space="preserve">26% = one share above the 25% special-resolution blocking threshold under the Companies Act 2013 (s.114): negative control without operational control.</t>
        </r>
      </text>
    </comment>
    <comment ref="B86" authorId="0">
      <text>
        <r>
          <rPr>
            <sz val="10"/>
            <rFont val="Arial"/>
            <family val="2"/>
          </rPr>
          <t xml:space="preserve">Entry valuation for the minority: ₹2,500 Cr = 11.4x ARR, i.e. Paytm's own EV/sales, the middle of the listed custody/infra comps range (5–11x) and the bull-case DCF pro-rata. Ceiling = ₹4,000 Cr headline (pro-rata ₹1,040 Cr); floor = base DCF (₹1,219 Cr).</t>
        </r>
      </text>
    </comment>
    <comment ref="B87" authorId="0">
      <text>
        <r>
          <rPr>
            <sz val="10"/>
            <rFont val="Arial"/>
            <family val="2"/>
          </rPr>
          <t xml:space="preserve">Primary capital funds Liminal's growth and stays in the group; secondary gives sellers liquidity. 50/50 base.</t>
        </r>
      </text>
    </comment>
    <comment ref="B88" authorId="0">
      <text>
        <r>
          <rPr>
            <sz val="10"/>
            <rFont val="Arial"/>
            <family val="2"/>
          </rPr>
          <t xml:space="preserve">Base 0% because no change of control occurs and contracts are unaffected; this is a GATE to be validated by client consents, not a belief. Flex 0–20%.</t>
        </r>
      </text>
    </comment>
    <comment ref="B89" authorId="0">
      <text>
        <r>
          <rPr>
            <sz val="10"/>
            <rFont val="Arial"/>
            <family val="2"/>
          </rPr>
          <t xml:space="preserve">Case ties the reserve to Paytm 'owning' the custody infrastructure. At a non-consolidated 26% we assume none, tested pro-rata and full. Written RBI comfort is a signing condition.</t>
        </r>
      </text>
    </comment>
    <comment ref="B90" authorId="0">
      <text>
        <r>
          <rPr>
            <sz val="10"/>
            <rFont val="Arial"/>
            <family val="2"/>
          </rPr>
          <t xml:space="preserve">Validation period 12 months; option window months 12–24.</t>
        </r>
      </text>
    </comment>
    <comment ref="B91" authorId="0">
      <text>
        <r>
          <rPr>
            <sz val="10"/>
            <rFont val="Arial"/>
            <family val="2"/>
          </rPr>
          <t xml:space="preserve">Control is only exercised if clients representing ≥ 80% of ARR have consented in writing; residual 20% churn assumed.</t>
        </r>
      </text>
    </comment>
    <comment ref="B92" authorId="0">
      <text>
        <r>
          <rPr>
            <sz val="10"/>
            <rFont val="Arial"/>
            <family val="2"/>
          </rPr>
          <t xml:space="preserve">10x = the listed custody leader's subscription multiple (BitGo 9–11x) and a premium to FI-infrastructure software (4–6x); below the 18.2x headline. Strike = remaining stake × multiple × ARR at exercise, capped at the headline-equivalent; paid as 55% upfront (worst-case retained ARR) + retention earn-out. Tested 8–14x.</t>
        </r>
      </text>
    </comment>
    <comment ref="B93" authorId="0">
      <text>
        <r>
          <rPr>
            <sz val="10"/>
            <rFont val="Arial"/>
            <family val="2"/>
          </rPr>
          <t xml:space="preserve">≤ 1.5x gross debt/EBITDA.</t>
        </r>
      </text>
    </comment>
    <comment ref="B94" authorId="0">
      <text>
        <r>
          <rPr>
            <sz val="10"/>
            <rFont val="Arial"/>
            <family val="2"/>
          </rPr>
          <t xml:space="preserve">The case's worst case (45% churn) → sellers receive nothing extra below 55% retention.</t>
        </r>
      </text>
    </comment>
    <comment ref="B95" authorId="0">
      <text>
        <r>
          <rPr>
            <sz val="10"/>
            <rFont val="Arial"/>
            <family val="2"/>
          </rPr>
          <t xml:space="preserve">100% retention → full headline.</t>
        </r>
      </text>
    </comment>
    <comment ref="B96" authorId="0">
      <text>
        <r>
          <rPr>
            <sz val="10"/>
            <rFont val="Arial"/>
            <family val="2"/>
          </rPr>
          <t xml:space="preserve">Protects both sides against stock moves between exercise and settlement.</t>
        </r>
      </text>
    </comment>
    <comment ref="B97" authorId="0">
      <text>
        <r>
          <rPr>
            <sz val="10"/>
            <rFont val="Arial"/>
            <family val="2"/>
          </rPr>
          <t xml:space="preserve">0 by construction of the gate: control is not exercised unless RBI treatment is written and the recurring cost is nil/structured away. Flex to test.</t>
        </r>
      </text>
    </comment>
    <comment ref="B98" authorId="0">
      <text>
        <r>
          <rPr>
            <sz val="10"/>
            <rFont val="Arial"/>
            <family val="2"/>
          </rPr>
          <t xml:space="preserve">Paytm-majority 'SettleCo' for e₹/tokenised-treasury/cross-border settlement products.</t>
        </r>
      </text>
    </comment>
    <comment ref="B99" authorId="0">
      <text>
        <r>
          <rPr>
            <sz val="10"/>
            <rFont val="Arial"/>
            <family val="2"/>
          </rPr>
          <t xml:space="preserve">Working capital, licences, build.</t>
        </r>
      </text>
    </comment>
    <comment ref="B100" authorId="0">
      <text>
        <r>
          <rPr>
            <sz val="10"/>
            <rFont val="Arial"/>
            <family val="2"/>
          </rPr>
          <t xml:space="preserve">Illustrative: Paytm merchant/B2B settlement volumes on Liminal-licensed MPC; ramps from year 1.</t>
        </r>
      </text>
    </comment>
    <comment ref="B101" authorId="0">
      <text>
        <r>
          <rPr>
            <sz val="10"/>
            <rFont val="Arial"/>
            <family val="2"/>
          </rPr>
          <t xml:space="preserve">Licence royalty to Liminal reduces margin vs owning the tech.</t>
        </r>
      </text>
    </comment>
    <comment ref="B102" authorId="0">
      <text>
        <r>
          <rPr>
            <sz val="10"/>
            <rFont val="Arial"/>
            <family val="2"/>
          </rPr>
          <t xml:space="preserve">Team estimate: engineering, certifications (ISO 27001, SOC 2), licences, 24–36 months. Excludes the institutional franchise, which cannot be built.</t>
        </r>
      </text>
    </comment>
    <comment ref="B103" authorId="0">
      <text>
        <r>
          <rPr>
            <sz val="10"/>
            <rFont val="Arial"/>
            <family val="2"/>
          </rPr>
          <t xml:space="preserve">24–36 months.</t>
        </r>
      </text>
    </comment>
    <comment ref="B106" authorId="0">
      <text>
        <r>
          <rPr>
            <sz val="10"/>
            <rFont val="Arial"/>
            <family val="2"/>
          </rPr>
          <t xml:space="preserve">Base excludes synergies: none is proven, most are not ownership-dependent, and the MDR is a standalone Paytm item.</t>
        </r>
      </text>
    </comment>
    <comment ref="B107" authorId="0">
      <text>
        <r>
          <rPr>
            <sz val="10"/>
            <rFont val="Arial"/>
            <family val="2"/>
          </rPr>
          <t xml:space="preserve">Custody/MPC fees on Paytm's tokenised-treasury, e₹ and cross-border pilots. Achievable under a commercial agreement WITHOUT ownership (not ownership-dependent).</t>
        </r>
      </text>
    </comment>
    <comment ref="B108" authorId="0">
      <text>
        <r>
          <rPr>
            <sz val="10"/>
            <rFont val="Arial"/>
            <family val="2"/>
          </rPr>
          <t xml:space="preserve">Ownership-dependent share only partly; requires the ring-fence not to be breached.</t>
        </r>
      </text>
    </comment>
    <comment ref="B109" authorId="0">
      <text>
        <r>
          <rPr>
            <sz val="10"/>
            <rFont val="Arial"/>
            <family val="2"/>
          </rPr>
          <t xml:space="preserve">Deliberately zero: any shared-services integration breaches the information barrier that protects the franchise.</t>
        </r>
      </text>
    </comment>
  </commentList>
</comments>
</file>

<file path=xl/comments13.xml><?xml version="1.0" encoding="utf-8"?>
<comments xmlns="http://schemas.openxmlformats.org/spreadsheetml/2006/main" xmlns:xdr="http://schemas.openxmlformats.org/drawingml/2006/spreadsheetDrawing">
  <authors>
    <author>Unknown Author</author>
  </authors>
  <commentList>
    <comment ref="B34" authorId="0">
      <text>
        <r>
          <rPr>
            <sz val="10"/>
            <rFont val="Arial"/>
            <family val="2"/>
          </rPr>
          <t xml:space="preserve">Team assumption: 4,000 × 55% = 2,200, i.e. the case's worst-case retained ARR at the headline multiple.</t>
        </r>
      </text>
    </comment>
  </commentList>
</comments>
</file>

<file path=xl/sharedStrings.xml><?xml version="1.0" encoding="utf-8"?>
<sst xmlns="http://schemas.openxmlformats.org/spreadsheetml/2006/main" count="4605" uniqueCount="1551">
  <si>
    <t xml:space="preserve">PROJECT SATOSHI GATE — Paytm × Liminal Custody Solutions: transaction &amp; accretion/dilution model</t>
  </si>
  <si>
    <t xml:space="preserve">Prepared for the Board / Investment Committee discussion. All ₹ figures in Cr unless stated. Model date: 23 Sep 2026.</t>
  </si>
  <si>
    <t xml:space="preserve">Purpose</t>
  </si>
  <si>
    <t xml:space="preserve">One workbook that traces every decision-relevant number from a labelled input to an output: valuation → FCF → leverage → EPS → transaction economics → decision thresholds.</t>
  </si>
  <si>
    <t xml:space="preserve">Source of truth</t>
  </si>
  <si>
    <t xml:space="preserve">The case document 'Project Satoshi Gate' (5 pp.) and 'Addendum 1: Modeling Inputs and Clarifications' (1 p.). Case inputs are never replaced by outside figures. External facts are used only for context, comparables and regulatory sequencing, and are labelled as such.</t>
  </si>
  <si>
    <t xml:space="preserve">Colour code</t>
  </si>
  <si>
    <t xml:space="preserve">Blue text on light-blue fill = CASE FACT (from the case document, cell comment gives the section). Blue text on yellow fill = TEAM / ANALYST ASSUMPTION (changeable). Blue text on orange fill = EXTERNAL FACT (sourced, dated). Black = formula. Green = link to another sheet. Green fill = key output.</t>
  </si>
  <si>
    <t xml:space="preserve">How to use</t>
  </si>
  <si>
    <t xml:space="preserve">Change the levers on 'Dashboard' (growth case, churn, capital drag level and interpretation, financing mix, minority stake terms, WACC). Every downstream sheet recalculates. Do not type over black formula cells.</t>
  </si>
  <si>
    <t xml:space="preserve">Sheet map</t>
  </si>
  <si>
    <t xml:space="preserve">Dashboard (levers + headline outputs) · Inputs (case facts, calculations on case facts, team assumptions) · Liminal_Ops (10-yr operating forecast, standalone and post-churn) · DCF (standalone value, what-you-need-to-believe, WACC×growth and churn×growth grids) · Financing (cash/debt/equity mixes, leverage, liquidity, cost of funds) · Sources_Uses · Accretion (EPS Y0–Y3 from the ₹7.50 baseline; accounting vs economic view) · Capital_Drag (three readings of the ₹750 Cr drag, ₹500–1,250 Cr grid, break-even drag, MDR offset) · Churn (0–60% grid, effective multiple, breakevens, maximum acceptable churn) · Structures (full / minority / JV / walk-away / hybrid side by side) · Earnout (retention-linked consideration, call-option strike, escrow) · Scenarios (base, upside, moderate, severe, break; dominant-variable test) · Thresholds (decision triggers, computed) · Synergies (tree with incrementality tests) · Comps · Precedents · Regulatory (external, sourced) · Audit_Trail.</t>
  </si>
  <si>
    <t xml:space="preserve">Conventions</t>
  </si>
  <si>
    <t xml:space="preserve">Y0 = trailing twelve months at signing (mid-Sep 2026). Y1 = first 12 months after close. Liminal revenue is modelled as ARR run-rate. Percentages stored as fractions. Negative = outflow. Breakeven year = first year in which the incremental line is ≥ 0 (PAT: accounting; FCF: cash, after capital drag and cost of funds).</t>
  </si>
  <si>
    <t xml:space="preserve">Evidence classes</t>
  </si>
  <si>
    <t xml:space="preserve">CASE FACT · CALCULATION (arithmetic on case facts) · ANALYST ASSUMPTION · EXTERNAL FACT (sourced) · INFERENCE · UNKNOWN. Every important number on the Audit_Trail sheet carries one of these tags.</t>
  </si>
  <si>
    <t xml:space="preserve">Not modelled</t>
  </si>
  <si>
    <t xml:space="preserve">Purchase-price-allocation amortisation is shown as a switchable line (default on for reported EPS, off for cash EPS). Liminal's tax-loss carry-forwards are ignored (conservative). Paytm standalone earnings are held flat at ₹480 Cr unless the growth lever is changed, so that the deal effect is isolated. Currency: ₹ only; the ~$470M is the case's own conversion.</t>
  </si>
  <si>
    <t xml:space="preserve">DASHBOARD — key levers (yellow) and headline outputs (green). Change a lever; every sheet recalculates.</t>
  </si>
  <si>
    <t xml:space="preserve">Levers are TEAM ASSUMPTIONS / scenario choices. Case facts live on 'Inputs' and are not levers.</t>
  </si>
  <si>
    <t xml:space="preserve">1. SCENARIO LEVERS</t>
  </si>
  <si>
    <t xml:space="preserve">Liminal growth case (1 = bear, 2 = base, 3 = bull)</t>
  </si>
  <si>
    <t xml:space="preserve">Selects a_g_bear / a_g_base / a_g_bull.</t>
  </si>
  <si>
    <t xml:space="preserve">ARR churn within 12 months of a FULL acquisition (case range 30–45%)</t>
  </si>
  <si>
    <t xml:space="preserve">Case §3.1 range 30–45%; base = midpoint 37.5%. Set 0% to see the no-churn case.</t>
  </si>
  <si>
    <t xml:space="preserve">Recurring capital drag at full ownership (₹ Cr/yr) — case value 750; grid 500 / 750 / 1,000 / 1,250</t>
  </si>
  <si>
    <t xml:space="preserve">Case §3.2. Flex to test.</t>
  </si>
  <si>
    <t xml:space="preserve">Capital drag reading (1 = fixed cash drag as the case states; 2 = scales with retained/growing custodied assets; 3 = P&amp;L operating cost)</t>
  </si>
  <si>
    <t xml:space="preserve">See Capital_Drag for the three readings. Reading 1 is the case's literal wording.</t>
  </si>
  <si>
    <t xml:space="preserve">Discount rate for Liminal cash flows</t>
  </si>
  <si>
    <t xml:space="preserve">Defaults to the Inputs base; overwrite to flex.</t>
  </si>
  <si>
    <t xml:space="preserve">Credit the ₹115 Cr MDR to the DEAL's breakeven? (0 = no: standalone Paytm item; 1 = yes: case-style offset)</t>
  </si>
  <si>
    <t xml:space="preserve">The MDR accrues to Paytm with or without Liminal. Both views are always shown; this lever picks which one the verdict lines use.</t>
  </si>
  <si>
    <t xml:space="preserve">→ Selected Liminal growth rate</t>
  </si>
  <si>
    <t xml:space="preserve">2. FINANCING LEVERS — full acquisition (₹4,000 Cr headline; case: ₹2,100 Cr cash portion from cash, new debt or mix; ₹1,900 Cr in Paytm shares)</t>
  </si>
  <si>
    <t xml:space="preserve">Cash consideration funded from balance-sheet cash (₹ Cr)</t>
  </si>
  <si>
    <t xml:space="preserve">Case headline: ₹2,100 Cr from existing cash.</t>
  </si>
  <si>
    <t xml:space="preserve">Cash consideration funded from new debt (₹ Cr)</t>
  </si>
  <si>
    <t xml:space="preserve">Case headline: none.</t>
  </si>
  <si>
    <t xml:space="preserve">Consideration paid in new Paytm shares (₹ Cr)</t>
  </si>
  <si>
    <t xml:space="preserve">Case headline: ₹1,900 Cr.</t>
  </si>
  <si>
    <t xml:space="preserve">→ Total consideration from the mix (must equal the price paid)</t>
  </si>
  <si>
    <t xml:space="preserve">Price paid for 100% (₹ Cr) — case headline 4,000; lower to test a renegotiated price</t>
  </si>
  <si>
    <t xml:space="preserve">→ Check: mix = price (should read 0)</t>
  </si>
  <si>
    <t xml:space="preserve">3. MINORITY / HYBRID LEVERS</t>
  </si>
  <si>
    <t xml:space="preserve">Minority stake</t>
  </si>
  <si>
    <t xml:space="preserve">Defaults to Inputs (26%).</t>
  </si>
  <si>
    <t xml:space="preserve">Implied 100% valuation for the minority entry (₹ Cr) — ceiling 4,000 (headline), floor = base DCF</t>
  </si>
  <si>
    <t xml:space="preserve">Defaults to Inputs (₹2,500 Cr = 11.4x ARR).</t>
  </si>
  <si>
    <t xml:space="preserve">Churn triggered at minority</t>
  </si>
  <si>
    <t xml:space="preserve">Defaults to Inputs (0%; a gate).</t>
  </si>
  <si>
    <t xml:space="preserve">Drag applied at minority (0 none / 1 pro-rata / 2 full)</t>
  </si>
  <si>
    <t xml:space="preserve">Defaults to Inputs (0).</t>
  </si>
  <si>
    <t xml:space="preserve">→ Minority price (₹ Cr) = stake × implied 100% valuation</t>
  </si>
  <si>
    <t xml:space="preserve">→ Implied entry multiple (× ARR) / discount to the headline pro-rata</t>
  </si>
  <si>
    <t xml:space="preserve">4. HEADLINE OUTPUTS — valuation → FCF → leverage → EPS → transaction economics → decision thresholds (green = key outputs)</t>
  </si>
  <si>
    <t xml:space="preserve">Output</t>
  </si>
  <si>
    <t xml:space="preserve">Full acquisition (levers)</t>
  </si>
  <si>
    <t xml:space="preserve">Hybrid (minority + option)</t>
  </si>
  <si>
    <t xml:space="preserve">JV</t>
  </si>
  <si>
    <t xml:space="preserve">Walk away</t>
  </si>
  <si>
    <t xml:space="preserve">Read-across</t>
  </si>
  <si>
    <t xml:space="preserve">VALUATION — standalone DCF of 100% (₹ Cr)</t>
  </si>
  <si>
    <t xml:space="preserve">n/a</t>
  </si>
  <si>
    <t xml:space="preserve">Financial value before churn and drag; compare with ₹4,000 Cr.</t>
  </si>
  <si>
    <t xml:space="preserve">Headline multiple / effective multiple on retained ARR</t>
  </si>
  <si>
    <t xml:space="preserve">Full: price ÷ year-1 retained ARR. Minority: entry valuation ÷ ARR. Hybrid: total consideration ÷ retained ARR at exercise.</t>
  </si>
  <si>
    <t xml:space="preserve">Breakeven 10-yr growth for DCF = price</t>
  </si>
  <si>
    <t xml:space="preserve">What you need to believe.</t>
  </si>
  <si>
    <t xml:space="preserve">FCF — year-1 incremental FCF after drag and cost of funds (₹ Cr)</t>
  </si>
  <si>
    <t xml:space="preserve">Cash consumed in year 1.</t>
  </si>
  <si>
    <t xml:space="preserve">FCF breakeven year (99 = never within 10 yrs)</t>
  </si>
  <si>
    <t xml:space="preserve">Case §5.3.</t>
  </si>
  <si>
    <t xml:space="preserve">PAT breakeven year (99 = never within 10 yrs)</t>
  </si>
  <si>
    <t xml:space="preserve">Addendum 1: accounting breakeven.</t>
  </si>
  <si>
    <t xml:space="preserve">LEVERAGE — gross debt ÷ EBITDA after close</t>
  </si>
  <si>
    <t xml:space="preserve">Guardrail ≤ a_max_lev.</t>
  </si>
  <si>
    <t xml:space="preserve">Cash after close (₹ Cr)</t>
  </si>
  <si>
    <t xml:space="preserve">Guardrail ≥ a_min_cash.</t>
  </si>
  <si>
    <t xml:space="preserve">EPS — year-1 pro-forma ex-MDR (₹)</t>
  </si>
  <si>
    <t xml:space="preserve">From the ₹7.50 baseline.</t>
  </si>
  <si>
    <t xml:space="preserve">EPS — year-1 accretion / (dilution) vs ₹7.50</t>
  </si>
  <si>
    <t xml:space="preserve">Case §3.3 lens.</t>
  </si>
  <si>
    <t xml:space="preserve">EPS — year-3 pro-forma ex-MDR (₹)</t>
  </si>
  <si>
    <t xml:space="preserve">TRANSACTION ECONOMICS — NPV to Paytm (₹ Cr)</t>
  </si>
  <si>
    <t xml:space="preserve">Economic verdict.</t>
  </si>
  <si>
    <t xml:space="preserve">Maximum total commitment (₹ Cr)</t>
  </si>
  <si>
    <t xml:space="preserve">Maximum unconditional commitment (₹ Cr)</t>
  </si>
  <si>
    <t xml:space="preserve">Cash at risk before any gate.</t>
  </si>
  <si>
    <t xml:space="preserve">DECISION THRESHOLDS — max churn at headline price (NPV ≥ 0)</t>
  </si>
  <si>
    <t xml:space="preserve">Above this: renegotiate or walk.</t>
  </si>
  <si>
    <t xml:space="preserve">Break-even capital drag (₹ Cr/yr)</t>
  </si>
  <si>
    <t xml:space="preserve">Negative: no capacity for any reserve.</t>
  </si>
  <si>
    <t xml:space="preserve">Reservation value for 100% at these levers (₹ Cr)</t>
  </si>
  <si>
    <t xml:space="preserve">Walk-away line vs the consortium.</t>
  </si>
  <si>
    <t xml:space="preserve">Strategic premium embedded in the headline (₹ Cr)</t>
  </si>
  <si>
    <t xml:space="preserve">Must be justified by option value.</t>
  </si>
  <si>
    <t xml:space="preserve">Hybrid passes the breakeven gate after exercise? (1 = yes)</t>
  </si>
  <si>
    <t xml:space="preserve">0 → hold the minority.</t>
  </si>
  <si>
    <t xml:space="preserve">5. VERDICT LINES (formulas)</t>
  </si>
  <si>
    <t xml:space="preserve">Full acquisition at these levers</t>
  </si>
  <si>
    <t xml:space="preserve">Minority stake at these levers</t>
  </si>
  <si>
    <t xml:space="preserve">Hybrid: exercise the option at these gate settings?</t>
  </si>
  <si>
    <t xml:space="preserve">INPUTS — case facts, calculations on case facts, and team assumptions</t>
  </si>
  <si>
    <t xml:space="preserve">Blue on light-blue = CASE FACT (comment = case section). Blue on yellow = TEAM ASSUMPTION (per Addendum 1, disclosed and flexed). Black = calculation.</t>
  </si>
  <si>
    <t xml:space="preserve">A. CASE FACTS — Paytm baseline (case §1, 'Baseline financials (assume for modeling)')</t>
  </si>
  <si>
    <t xml:space="preserve">Market capitalisation (₹ Cr)</t>
  </si>
  <si>
    <t xml:space="preserve">Case §1 and §2 table: ₹1,18,750 Cr (~$14B), mid-Sep 2026. Case note: real, verified fact.</t>
  </si>
  <si>
    <t xml:space="preserve">Diluted shares outstanding (Cr)</t>
  </si>
  <si>
    <t xml:space="preserve">Case §1: 64 Cr diluted shares.</t>
  </si>
  <si>
    <t xml:space="preserve">Cash (₹ Cr)</t>
  </si>
  <si>
    <t xml:space="preserve">Case §1: ₹8,900 Cr cash.</t>
  </si>
  <si>
    <t xml:space="preserve">Gross debt (₹ Cr)</t>
  </si>
  <si>
    <t xml:space="preserve">Case §1: ₹350 Cr gross debt.</t>
  </si>
  <si>
    <t xml:space="preserve">Trailing revenue (₹ Cr)</t>
  </si>
  <si>
    <t xml:space="preserve">Case §1: trailing revenue ₹8,450 Cr.</t>
  </si>
  <si>
    <t xml:space="preserve">EBITDA (₹ Cr)</t>
  </si>
  <si>
    <t xml:space="preserve">Case §1: EBITDA ₹640 Cr.</t>
  </si>
  <si>
    <t xml:space="preserve">PAT (₹ Cr)</t>
  </si>
  <si>
    <t xml:space="preserve">Case §1: PAT ₹480 Cr. Starting point for all dilution calculations (case §5.3).</t>
  </si>
  <si>
    <t xml:space="preserve">Diluted EPS (₹)</t>
  </si>
  <si>
    <t xml:space="preserve">Case §1: diluted EPS ₹7.50. Baseline for §5.3.</t>
  </si>
  <si>
    <t xml:space="preserve">Credit rating</t>
  </si>
  <si>
    <t xml:space="preserve">CRISIL AA- (Stable)</t>
  </si>
  <si>
    <t xml:space="preserve">B. CASE FACTS — Liminal and the proposed transaction (case §2, §3)</t>
  </si>
  <si>
    <t xml:space="preserve">Headline deal value (₹ Cr)</t>
  </si>
  <si>
    <t xml:space="preserve">Case §2: ₹4,000 Cr (~$470M).</t>
  </si>
  <si>
    <t xml:space="preserve">  of which cash consideration (₹ Cr)</t>
  </si>
  <si>
    <t xml:space="preserve">Case §2: ₹2,100 Cr cash; may be funded from balance-sheet cash, new debt, or a mix.</t>
  </si>
  <si>
    <t xml:space="preserve">  of which equity consideration (₹ Cr)</t>
  </si>
  <si>
    <t xml:space="preserve">Case §2: ₹1,900 Cr equity (Paytm shares issued to Liminal shareholders).</t>
  </si>
  <si>
    <t xml:space="preserve">Liminal ARR (₹ Cr)</t>
  </si>
  <si>
    <t xml:space="preserve">Case §2 table: Target ARR ₹220 Cr (~$26M).</t>
  </si>
  <si>
    <t xml:space="preserve">Liminal net income today (₹ Cr)</t>
  </si>
  <si>
    <t xml:space="preserve">Case §2: 'approximately breakeven at the net income level today'.</t>
  </si>
  <si>
    <t xml:space="preserve">Top-4 clients' share of ARR (HDFC Bank, Axis Bank, CoinDCX, ZebPay)</t>
  </si>
  <si>
    <t xml:space="preserve">Case §2: together 60% of Liminal's ARR.</t>
  </si>
  <si>
    <t xml:space="preserve">ARR lost within 12 months of a FULL acquisition — low end</t>
  </si>
  <si>
    <t xml:space="preserve">Case §3.1: assume 30% to 45% of ARR lost within 12 months of a full acquisition.</t>
  </si>
  <si>
    <t xml:space="preserve">ARR lost within 12 months of a FULL acquisition — high end</t>
  </si>
  <si>
    <t xml:space="preserve">Case §3.1.</t>
  </si>
  <si>
    <t xml:space="preserve">Recurring annual FCF drag from bank-like capital reserves if Paytm owns the custody infrastructure (₹ Cr/yr)</t>
  </si>
  <si>
    <t xml:space="preserve">Case §3.2: RBI requires bank-like capital reserves against custodied assets because Paytm holds a PA licence, not a banking licence → recurring annual FCF drag ₹750 Cr (~$88M).</t>
  </si>
  <si>
    <t xml:space="preserve">Incremental net revenue to Paytm from the new UPI MDR (₹ Cr/yr)</t>
  </si>
  <si>
    <t xml:space="preserve">Case §3.4: 0.4% MDR on P2M UPI &gt; ₹2,000, capped ₹300/txn, effective 15 Oct 2026; assume ₹115 Cr/yr incremental net revenue for Paytm. Case note: the MDR framework is a real fact; the ₹115 Cr is the case's modelling input.</t>
  </si>
  <si>
    <t xml:space="preserve">Competing bidder</t>
  </si>
  <si>
    <t xml:space="preserve">PhonePe–Mastercard exploratory consortium</t>
  </si>
  <si>
    <t xml:space="preserve">Case's stated implied multiple</t>
  </si>
  <si>
    <t xml:space="preserve">18x Deal Value / ARR</t>
  </si>
  <si>
    <t xml:space="preserve">C. CALCULATIONS on case facts (no assumptions involved)</t>
  </si>
  <si>
    <t xml:space="preserve">Implied Paytm share price (₹) = market cap ÷ diluted shares</t>
  </si>
  <si>
    <t xml:space="preserve">Paytm trailing P/E = market cap ÷ PAT</t>
  </si>
  <si>
    <t xml:space="preserve">Paytm earnings yield = PAT ÷ market cap</t>
  </si>
  <si>
    <t xml:space="preserve">Headline multiple = deal value ÷ ARR</t>
  </si>
  <si>
    <t xml:space="preserve">New Paytm shares for the ₹1,900 Cr equity leg (Cr) = equity ÷ share price</t>
  </si>
  <si>
    <t xml:space="preserve">…as % of existing share count</t>
  </si>
  <si>
    <t xml:space="preserve">Top-4 clients' ARR (₹ Cr)</t>
  </si>
  <si>
    <t xml:space="preserve">ARR at risk — low (₹ Cr)</t>
  </si>
  <si>
    <t xml:space="preserve">ARR at risk — high (₹ Cr)</t>
  </si>
  <si>
    <t xml:space="preserve">Case churn as % of top-4 book — low</t>
  </si>
  <si>
    <t xml:space="preserve">Case churn as % of top-4 book — high</t>
  </si>
  <si>
    <t xml:space="preserve">Capital drag ÷ Paytm EBITDA</t>
  </si>
  <si>
    <t xml:space="preserve">Capital drag ÷ Paytm PAT</t>
  </si>
  <si>
    <t xml:space="preserve">Capital drag ÷ Liminal ARR</t>
  </si>
  <si>
    <t xml:space="preserve">MDR net revenue ÷ capital drag (gross, revenue line)</t>
  </si>
  <si>
    <t xml:space="preserve">Deal value ÷ Paytm market cap</t>
  </si>
  <si>
    <t xml:space="preserve">Cash consideration ÷ Paytm cash</t>
  </si>
  <si>
    <t xml:space="preserve">Paytm net cash today (₹ Cr)</t>
  </si>
  <si>
    <t xml:space="preserve">Gross debt ÷ EBITDA today</t>
  </si>
  <si>
    <t xml:space="preserve">D. TEAM ASSUMPTIONS — Liminal operating model (Addendum 1: unstated parameters are team assumptions)</t>
  </si>
  <si>
    <t xml:space="preserve">Liminal ARR growth — bear case (p.a.)</t>
  </si>
  <si>
    <t xml:space="preserve">Bear: growth slows to a mature-SaaS rate. Range tested 0–40% on DCF sheet.</t>
  </si>
  <si>
    <t xml:space="preserve">Liminal ARR growth — base case (p.a.)</t>
  </si>
  <si>
    <t xml:space="preserve">Base: an infrastructure SaaS provider at ₹220 Cr ARR growing 20%. Deliberately below the growth that justifies 18x (see DCF 'what you need to believe').</t>
  </si>
  <si>
    <t xml:space="preserve">Liminal ARR growth — bull case (p.a.)</t>
  </si>
  <si>
    <t xml:space="preserve">Bull: sustained 30% for a decade; consistent with institutional digital-asset adoption scaling in India/UAE/Singapore.</t>
  </si>
  <si>
    <t xml:space="preserve">EBITDA margin today</t>
  </si>
  <si>
    <t xml:space="preserve">Case: ~breakeven at net income. We set EBITDA ≈ 0 today (D&amp;A ≈ capex, no tax).</t>
  </si>
  <si>
    <t xml:space="preserve">EBITDA margin improvement per year (pp)</t>
  </si>
  <si>
    <t xml:space="preserve">Operating leverage of an infrastructure SaaS: +5pp per year.</t>
  </si>
  <si>
    <t xml:space="preserve">EBITDA margin cap (mature)</t>
  </si>
  <si>
    <t xml:space="preserve">Mature margin of a regulated custody/infra business with compliance and security cost load; below pure software (30–40%).</t>
  </si>
  <si>
    <t xml:space="preserve">Tax rate</t>
  </si>
  <si>
    <t xml:space="preserve">Indian corporate rate ~25.2% (s.115BAA). Losses not group-relieved (no group relief in India); Liminal's own carry-forwards ignored (conservative).</t>
  </si>
  <si>
    <t xml:space="preserve">D&amp;A as % of revenue</t>
  </si>
  <si>
    <t xml:space="preserve">Asset-light: mostly software, HSMs, security infrastructure.</t>
  </si>
  <si>
    <t xml:space="preserve">Capex as % of revenue</t>
  </si>
  <si>
    <t xml:space="preserve">≈ D&amp;A in steady state.</t>
  </si>
  <si>
    <t xml:space="preserve">Working capital as % of incremental revenue</t>
  </si>
  <si>
    <t xml:space="preserve">Custody fees billed monthly/quarterly; modest receivables.</t>
  </si>
  <si>
    <t xml:space="preserve">Share of lost revenue's cost base that stays for one year after churn</t>
  </si>
  <si>
    <t xml:space="preserve">Costs do not fall as fast as revenue: half of the cost base tied to lost clients persists for 12 months (a 37.5% revenue loss on a breakeven cost base is a loss, not zero).</t>
  </si>
  <si>
    <t xml:space="preserve">Year in which full-acquisition churn hits (case: within 12 months)</t>
  </si>
  <si>
    <t xml:space="preserve">Case §3.1: within 12 months of a full acquisition → year 1.</t>
  </si>
  <si>
    <t xml:space="preserve">Explicit forecast horizon (years)</t>
  </si>
  <si>
    <t xml:space="preserve">10 years; terminal value thereafter.</t>
  </si>
  <si>
    <t xml:space="preserve">E. TEAM ASSUMPTIONS — financing, cost of capital, accounting</t>
  </si>
  <si>
    <t xml:space="preserve">Pre-tax yield on Paytm surplus cash (opportunity cost of cash used)</t>
  </si>
  <si>
    <t xml:space="preserve">Treasury yield on liquid Indian debt funds/deposits; tested 5–7%.</t>
  </si>
  <si>
    <t xml:space="preserve">Pre-tax cost of new debt for a CRISIL AA- issuer</t>
  </si>
  <si>
    <t xml:space="preserve">AA- corporate bond/term-loan pricing; tested 8–10%. Interest is tax-deductible.</t>
  </si>
  <si>
    <t xml:space="preserve">Discount to market on Paytm shares issued as consideration</t>
  </si>
  <si>
    <t xml:space="preserve">0% base: SEBI ICDR preferential-issue floor pricing (90-day / 10-day VWAP) usually allows issuance near market; flex for a compressed stock.</t>
  </si>
  <si>
    <t xml:space="preserve">Transaction costs as % of consideration</t>
  </si>
  <si>
    <t xml:space="preserve">Advisory, legal, diligence, stamp duty: ~1.5% of consideration (one-time, expensed, not in run-rate EPS).</t>
  </si>
  <si>
    <t xml:space="preserve">One-time integration/separation cost at full acquisition (₹ Cr)</t>
  </si>
  <si>
    <t xml:space="preserve">Ring-fence build-out, information barriers, independent compliance, retention pool (cash, year 1).</t>
  </si>
  <si>
    <t xml:space="preserve">One-time costs for a minority investment (₹ Cr)</t>
  </si>
  <si>
    <t xml:space="preserve">Diligence, documentation, shareholder agreement.</t>
  </si>
  <si>
    <t xml:space="preserve">Liquidity guardrail — minimum cash to hold (₹ Cr)</t>
  </si>
  <si>
    <t xml:space="preserve">Team guardrail to protect the AA- rating and PA-licence net-worth/escrow needs: keep ≥ ₹5,000 Cr (~7 months of revenue).</t>
  </si>
  <si>
    <t xml:space="preserve">Leverage guardrail — maximum gross debt ÷ EBITDA</t>
  </si>
  <si>
    <t xml:space="preserve">Team guardrail for an AA- issuer with volatile earnings: ≤ 1.5x gross debt/EBITDA.</t>
  </si>
  <si>
    <t xml:space="preserve">Charge purchase-price-allocation amortisation in the headline EPS? (1 = yes, 0 = no)</t>
  </si>
  <si>
    <t xml:space="preserve">0 = case basis (case §2: EPS impact from new shares and financing costs). 1 = Ind AS reported basis (amortisation of acquired intangibles). The reported-basis EPS is always shown as a separate line.</t>
  </si>
  <si>
    <t xml:space="preserve">Share of purchase price allocated to amortisable intangibles (technology, customer contracts)</t>
  </si>
  <si>
    <t xml:space="preserve">Typical for software/infra targets: 20–35% to identifiable intangibles; the rest is goodwill (not amortised, tested for impairment).</t>
  </si>
  <si>
    <t xml:space="preserve">Amortisation life of acquired intangibles (years)</t>
  </si>
  <si>
    <t xml:space="preserve">Technology 5–7 yrs, customer relationships 8–10 yrs → blended 8.</t>
  </si>
  <si>
    <t xml:space="preserve">EBITDA flow-through of the ₹115 Cr MDR net revenue</t>
  </si>
  <si>
    <t xml:space="preserve">Net revenue is after interchange/processing; some incremental collection, dispute and compliance cost → 80% reaches EBITDA. Tested 60–100%.</t>
  </si>
  <si>
    <t xml:space="preserve">Paytm standalone PAT growth p.a. (excluding MDR)</t>
  </si>
  <si>
    <t xml:space="preserve">Held at 0% so that the deal's effect on EPS is isolated; the case gives no forecast. Flex to test.</t>
  </si>
  <si>
    <t xml:space="preserve">WACC / discount rate for Liminal cash flows (base)</t>
  </si>
  <si>
    <t xml:space="preserve">Build-up: India 10-yr G-sec ~6.5% + β 1.0 × ERP 6.5% ≈ 13% for an all-equity infra business. Risk is placed in the cash flows (churn, drag, growth scenarios), not inflated in the rate. Tested 11–15%.</t>
  </si>
  <si>
    <t xml:space="preserve">Terminal growth (p.a., nominal)</t>
  </si>
  <si>
    <t xml:space="preserve">Below India nominal GDP growth; tested 3–6%.</t>
  </si>
  <si>
    <t xml:space="preserve">Share of cumulative trapped reserve capital recovered at the end of the horizon (drag reading B)</t>
  </si>
  <si>
    <t xml:space="preserve">0% = the case's literal reading (a permanent FCF drag). 100% = reserves are released on exit/deregulation. Only relevant under reading B (see Capital_Drag).</t>
  </si>
  <si>
    <t xml:space="preserve">Breakeven gate: PAT and FCF must break even within N years of taking control</t>
  </si>
  <si>
    <t xml:space="preserve">Board gate used in the decision framework.</t>
  </si>
  <si>
    <t xml:space="preserve">F. TEAM ASSUMPTIONS — alternative structures (minority, call option, JV, walk-away)</t>
  </si>
  <si>
    <t xml:space="preserve">Minority stake (case range 20–30%)</t>
  </si>
  <si>
    <t xml:space="preserve">26% = one share above the 25% special-resolution blocking threshold under the Companies Act 2013 (s.114): negative control without operational control.</t>
  </si>
  <si>
    <t xml:space="preserve">Implied valuation of 100% at which the minority stake is bought (₹ Cr)</t>
  </si>
  <si>
    <t xml:space="preserve">Entry valuation for the minority: ₹2,500 Cr = 11.4x ARR, i.e. Paytm's own EV/sales, the middle of the listed custody/infra comps range (5–11x) and the bull-case DCF pro-rata. Ceiling = ₹4,000 Cr headline (pro-rata ₹1,040 Cr); floor = base DCF (₹1,219 Cr).</t>
  </si>
  <si>
    <t xml:space="preserve">Share of the minority cheque that is primary (new shares into Liminal) vs secondary</t>
  </si>
  <si>
    <t xml:space="preserve">Primary capital funds Liminal's growth and stays in the group; secondary gives sellers liquidity. 50/50 base.</t>
  </si>
  <si>
    <t xml:space="preserve">ARR churn triggered by a ring-fenced minority stake (year 1)</t>
  </si>
  <si>
    <t xml:space="preserve">Base 0% because no change of control occurs and contracts are unaffected; this is a GATE to be validated by client consents, not a belief. Flex 0–20%.</t>
  </si>
  <si>
    <t xml:space="preserve">Capital drag applied to Paytm at minority (0 = none, 1 = pro-rata to stake, 2 = full ₹ drag)</t>
  </si>
  <si>
    <t xml:space="preserve">Case ties the reserve to Paytm 'owning' the custody infrastructure. At a non-consolidated 26% we assume none, tested pro-rata and full. Written RBI comfort is a signing condition.</t>
  </si>
  <si>
    <t xml:space="preserve">Year at end of which the call option is exercised (if gates pass)</t>
  </si>
  <si>
    <t xml:space="preserve">Validation period 12 months; option window months 12–24.</t>
  </si>
  <si>
    <t xml:space="preserve">ARR churn on exercising control (post-consent)</t>
  </si>
  <si>
    <t xml:space="preserve">Control is only exercised if clients representing ≥ 80% of ARR have consented in writing; residual 20% churn assumed.</t>
  </si>
  <si>
    <t xml:space="preserve">Call-option strike multiple (× ARR at exercise) applied to the remaining stake, before the retention earn-out</t>
  </si>
  <si>
    <t xml:space="preserve">10x = the listed custody leader's subscription multiple (BitGo 9–11x) and a premium to FI-infrastructure software (4–6x); below the 18.2x headline. Strike = remaining stake × multiple × ARR at exercise, capped at the headline-equivalent; paid as 55% upfront (worst-case retained ARR) + retention earn-out. Tested 8–14x.</t>
  </si>
  <si>
    <t xml:space="preserve">Control tranche: amount funded from new debt (₹ Cr); the rest of the upfront comes from cash</t>
  </si>
  <si>
    <t xml:space="preserve">≤ 1.5x gross debt/EBITDA.</t>
  </si>
  <si>
    <t xml:space="preserve">Retained-ARR level at which the earn-out is zero</t>
  </si>
  <si>
    <t xml:space="preserve">The case's worst case (45% churn) → sellers receive nothing extra below 55% retention.</t>
  </si>
  <si>
    <t xml:space="preserve">Retained-ARR level at which the earn-out is fully paid</t>
  </si>
  <si>
    <t xml:space="preserve">100% retention → full headline.</t>
  </si>
  <si>
    <t xml:space="preserve">Collar on Paytm shares used to settle the earn-out (± band)</t>
  </si>
  <si>
    <t xml:space="preserve">Protects both sides against stock moves between exercise and settlement.</t>
  </si>
  <si>
    <t xml:space="preserve">Capital drag on taking control (₹ Cr/yr) — gate value</t>
  </si>
  <si>
    <t xml:space="preserve">0 by construction of the gate: control is not exercised unless RBI treatment is written and the recurring cost is nil/structured away. Flex to test.</t>
  </si>
  <si>
    <t xml:space="preserve">JV: Paytm economic share of the settlement JV</t>
  </si>
  <si>
    <t xml:space="preserve">Paytm-majority 'SettleCo' for e₹/tokenised-treasury/cross-border settlement products.</t>
  </si>
  <si>
    <t xml:space="preserve">JV: Paytm capital contribution (₹ Cr)</t>
  </si>
  <si>
    <t xml:space="preserve">Working capital, licences, build.</t>
  </si>
  <si>
    <t xml:space="preserve">JV: revenue in year 3 (₹ Cr)</t>
  </si>
  <si>
    <t xml:space="preserve">Illustrative: Paytm merchant/B2B settlement volumes on Liminal-licensed MPC; ramps from year 1.</t>
  </si>
  <si>
    <t xml:space="preserve">JV: mature EBITDA margin</t>
  </si>
  <si>
    <t xml:space="preserve">Licence royalty to Liminal reduces margin vs owning the tech.</t>
  </si>
  <si>
    <t xml:space="preserve">Walk-away: cost to build/partner an equivalent custody capability (₹ Cr, total)</t>
  </si>
  <si>
    <t xml:space="preserve">Team estimate: engineering, certifications (ISO 27001, SOC 2), licences, 24–36 months. Excludes the institutional franchise, which cannot be built.</t>
  </si>
  <si>
    <t xml:space="preserve">Walk-away: time to build/partner (years)</t>
  </si>
  <si>
    <t xml:space="preserve">24–36 months.</t>
  </si>
  <si>
    <t xml:space="preserve">G. TEAM ASSUMPTIONS — synergies (base case = zero; upside quantified on 'Synergies')</t>
  </si>
  <si>
    <t xml:space="preserve">Include synergies in the base case? (1 = yes, 0 = no)</t>
  </si>
  <si>
    <t xml:space="preserve">Base excludes synergies: none is proven, most are not ownership-dependent, and the MDR is a standalone Paytm item.</t>
  </si>
  <si>
    <t xml:space="preserve">Partnership revenue to Liminal from Paytm use cases by year 3 (₹ Cr)</t>
  </si>
  <si>
    <t xml:space="preserve">Custody/MPC fees on Paytm's tokenised-treasury, e₹ and cross-border pilots. Achievable under a commercial agreement WITHOUT ownership (not ownership-dependent).</t>
  </si>
  <si>
    <t xml:space="preserve">Cross-sell revenue to Liminal from Paytm's merchant/institutional base by year 3 (₹ Cr)</t>
  </si>
  <si>
    <t xml:space="preserve">Ownership-dependent share only partly; requires the ring-fence not to be breached.</t>
  </si>
  <si>
    <t xml:space="preserve">Cost synergies (₹ Cr/yr) from year 2</t>
  </si>
  <si>
    <t xml:space="preserve">Deliberately zero: any shared-services integration breaches the information barrier that protects the franchise.</t>
  </si>
  <si>
    <t xml:space="preserve">Synergy ramp — share achieved in year 1</t>
  </si>
  <si>
    <t xml:space="preserve">Synergy ramp — share achieved in year 2</t>
  </si>
  <si>
    <t xml:space="preserve">LIMINAL OPERATING FORECAST — 10 years, from case ARR ₹220 Cr and team assumptions (Inputs §D)</t>
  </si>
  <si>
    <t xml:space="preserve">Block 1: standalone, no churn, at the Dashboard growth case. Block 2: after a full acquisition, with the Dashboard churn applied in the churn year. Revenue = ARR run-rate.</t>
  </si>
  <si>
    <t xml:space="preserve">BLOCK 1 — Standalone Liminal (no churn) at the selected growth case</t>
  </si>
  <si>
    <t xml:space="preserve">Year</t>
  </si>
  <si>
    <t xml:space="preserve">Revenue (ARR run-rate) before churn</t>
  </si>
  <si>
    <t xml:space="preserve">Retention factor (1 − churn from churn year)</t>
  </si>
  <si>
    <t xml:space="preserve">Revenue after churn</t>
  </si>
  <si>
    <t xml:space="preserve">EBITDA margin (ramp)</t>
  </si>
  <si>
    <t xml:space="preserve">Sticky cost of lost revenue (churn year only)</t>
  </si>
  <si>
    <t xml:space="preserve">EBITDA</t>
  </si>
  <si>
    <t xml:space="preserve">Depreciation &amp; amortisation</t>
  </si>
  <si>
    <t xml:space="preserve">EBIT</t>
  </si>
  <si>
    <t xml:space="preserve">Tax (only on positive EBIT; no group relief)</t>
  </si>
  <si>
    <t xml:space="preserve">PAT (net income)</t>
  </si>
  <si>
    <t xml:space="preserve">Capex</t>
  </si>
  <si>
    <t xml:space="preserve">Increase in working capital</t>
  </si>
  <si>
    <t xml:space="preserve">Unlevered free cash flow = PAT + D&amp;A − capex − ΔWC</t>
  </si>
  <si>
    <t xml:space="preserve">BLOCK 2 — Liminal after a FULL acquisition (case churn applied in year 1)</t>
  </si>
  <si>
    <t xml:space="preserve">BLOCK 3 — Standalone revenue and PAT by growth case (no churn), for reference</t>
  </si>
  <si>
    <t xml:space="preserve">Bear — revenue</t>
  </si>
  <si>
    <t xml:space="preserve">Bear — PAT (margin ramp, tax on positive EBIT)</t>
  </si>
  <si>
    <t xml:space="preserve">Base — revenue</t>
  </si>
  <si>
    <t xml:space="preserve">Base — PAT (margin ramp, tax on positive EBIT)</t>
  </si>
  <si>
    <t xml:space="preserve">Bull — revenue</t>
  </si>
  <si>
    <t xml:space="preserve">Bull — PAT (margin ramp, tax on positive EBIT)</t>
  </si>
  <si>
    <t xml:space="preserve">DCF — standalone value of Liminal, what you need to believe for ₹4,000 Cr, and sensitivity grids</t>
  </si>
  <si>
    <t xml:space="preserve">Unlevered FCF from Liminal_Ops Block 1 (standalone, no churn). End-year discounting. Terminal value = Gordon growth. This is the STANDALONE FINANCIAL value; strategic/option value is assessed separately (Structures, Synergies).</t>
  </si>
  <si>
    <t xml:space="preserve">1. Standalone DCF at Dashboard settings (growth case, WACC)</t>
  </si>
  <si>
    <t xml:space="preserve">Unlevered FCF (from Liminal_Ops Block 1)</t>
  </si>
  <si>
    <t xml:space="preserve">Discount factor</t>
  </si>
  <si>
    <t xml:space="preserve">PV of FCF</t>
  </si>
  <si>
    <t xml:space="preserve">Sum of PV of FCF, years 1–10 (₹ Cr)</t>
  </si>
  <si>
    <t xml:space="preserve">Terminal value at Y10 (₹ Cr) = FCF10 × (1 + g) ÷ (WACC − g)</t>
  </si>
  <si>
    <t xml:space="preserve">PV of terminal value (₹ Cr)</t>
  </si>
  <si>
    <t xml:space="preserve">Standalone DCF value of 100% of Liminal (₹ Cr)</t>
  </si>
  <si>
    <t xml:space="preserve">Share of value from terminal value</t>
  </si>
  <si>
    <t xml:space="preserve">Implied EV ÷ current ARR</t>
  </si>
  <si>
    <t xml:space="preserve">DCF value − headline price (₹ Cr): negative = price exceeds standalone value</t>
  </si>
  <si>
    <t xml:space="preserve">Price ÷ DCF value − 1 = premium over standalone value</t>
  </si>
  <si>
    <t xml:space="preserve">DCF value of the minority stake (pro-rata, before minority discount) (₹ Cr)</t>
  </si>
  <si>
    <t xml:space="preserve">Minority price ÷ pro-rata DCF value − 1</t>
  </si>
  <si>
    <t xml:space="preserve">2. WHAT YOU NEED TO BELIEVE — standalone DCF by 10-year growth rate (no churn, no drag), at the Dashboard WACC</t>
  </si>
  <si>
    <t xml:space="preserve">Helper rows compute unlevered FCF for each growth rate with the same formulas as Liminal_Ops (closed form). The grid then discounts each row at several WACCs.</t>
  </si>
  <si>
    <t xml:space="preserve">Growth 10% p.a. — unlevered FCF</t>
  </si>
  <si>
    <t xml:space="preserve">Growth 15% p.a. — unlevered FCF</t>
  </si>
  <si>
    <t xml:space="preserve">Growth 20% p.a. — unlevered FCF</t>
  </si>
  <si>
    <t xml:space="preserve">Growth 25% p.a. — unlevered FCF</t>
  </si>
  <si>
    <t xml:space="preserve">Growth 30% p.a. — unlevered FCF</t>
  </si>
  <si>
    <t xml:space="preserve">Growth 35% p.a. — unlevered FCF</t>
  </si>
  <si>
    <t xml:space="preserve">Growth 40% p.a. — unlevered FCF</t>
  </si>
  <si>
    <t xml:space="preserve">Growth 45% p.a. — unlevered FCF</t>
  </si>
  <si>
    <t xml:space="preserve">Growth 50% p.a. — unlevered FCF</t>
  </si>
  <si>
    <t xml:space="preserve">WACC →</t>
  </si>
  <si>
    <t xml:space="preserve">Growth ↓  /  DCF value of 100% (₹ Cr)</t>
  </si>
  <si>
    <t xml:space="preserve">Growth 10%</t>
  </si>
  <si>
    <t xml:space="preserve">Growth 15%</t>
  </si>
  <si>
    <t xml:space="preserve">Growth 20%</t>
  </si>
  <si>
    <t xml:space="preserve">Growth 25%</t>
  </si>
  <si>
    <t xml:space="preserve">Growth 30%</t>
  </si>
  <si>
    <t xml:space="preserve">Growth 35%</t>
  </si>
  <si>
    <t xml:space="preserve">Growth 40%</t>
  </si>
  <si>
    <t xml:space="preserve">Growth 45%</t>
  </si>
  <si>
    <t xml:space="preserve">Growth 50%</t>
  </si>
  <si>
    <t xml:space="preserve">Same grid as EV ÷ current ARR</t>
  </si>
  <si>
    <t xml:space="preserve">3. BREAKEVEN GROWTH — growth rate at which the standalone DCF equals the price paid (at Dashboard WACC)</t>
  </si>
  <si>
    <t xml:space="preserve">DCF at the Dashboard WACC by growth (helper)</t>
  </si>
  <si>
    <t xml:space="preserve">Growth grid (helper)</t>
  </si>
  <si>
    <t xml:space="preserve">Number of grid points with DCF below the price (helper)</t>
  </si>
  <si>
    <t xml:space="preserve">Breakeven 10-year growth rate for DCF = price (linear interpolation; 'n/a' if outside 10–50%)</t>
  </si>
  <si>
    <t xml:space="preserve">Reading: the price is rational as a STANDALONE investment only if Liminal compounds ARR at ≥ this rate for ten years with zero churn and no capital drag, and still reaches a 25% EBITDA margin.</t>
  </si>
  <si>
    <t xml:space="preserve">4. VALUE OF THE RETAINED BUSINESS — churn (year 1) × growth, at Dashboard WACC; value of 100% (₹ Cr)</t>
  </si>
  <si>
    <t xml:space="preserve">Exact closed-form rows: churn removes revenue permanently from year 1 and leaves half of its cost base for one year (Inputs a_sticky).</t>
  </si>
  <si>
    <t xml:space="preserve">Churn ↓ / growth →</t>
  </si>
  <si>
    <t xml:space="preserve">Churn 0.0%</t>
  </si>
  <si>
    <t xml:space="preserve">Churn 30.0%</t>
  </si>
  <si>
    <t xml:space="preserve">Churn 37.5%</t>
  </si>
  <si>
    <t xml:space="preserve">Churn 45.0%</t>
  </si>
  <si>
    <t xml:space="preserve">Helper FCF rows (churn, growth):</t>
  </si>
  <si>
    <t xml:space="preserve">FCF: churn 0.0%, growth 10%</t>
  </si>
  <si>
    <t xml:space="preserve">FCF: churn 0.0%, growth 20%</t>
  </si>
  <si>
    <t xml:space="preserve">FCF: churn 0.0%, growth 30%</t>
  </si>
  <si>
    <t xml:space="preserve">FCF: churn 0.0%, growth 40%</t>
  </si>
  <si>
    <t xml:space="preserve">FCF: churn 30.0%, growth 10%</t>
  </si>
  <si>
    <t xml:space="preserve">FCF: churn 30.0%, growth 20%</t>
  </si>
  <si>
    <t xml:space="preserve">FCF: churn 30.0%, growth 30%</t>
  </si>
  <si>
    <t xml:space="preserve">FCF: churn 30.0%, growth 40%</t>
  </si>
  <si>
    <t xml:space="preserve">FCF: churn 37.5%, growth 10%</t>
  </si>
  <si>
    <t xml:space="preserve">FCF: churn 37.5%, growth 20%</t>
  </si>
  <si>
    <t xml:space="preserve">FCF: churn 37.5%, growth 30%</t>
  </si>
  <si>
    <t xml:space="preserve">FCF: churn 37.5%, growth 40%</t>
  </si>
  <si>
    <t xml:space="preserve">FCF: churn 45.0%, growth 10%</t>
  </si>
  <si>
    <t xml:space="preserve">FCF: churn 45.0%, growth 20%</t>
  </si>
  <si>
    <t xml:space="preserve">FCF: churn 45.0%, growth 30%</t>
  </si>
  <si>
    <t xml:space="preserve">FCF: churn 45.0%, growth 40%</t>
  </si>
  <si>
    <t xml:space="preserve">FINANCING — cash / debt / equity mixes for the ₹4,000 Cr payout: liquidity, leverage, cost of funds, shares, year-1 EPS</t>
  </si>
  <si>
    <t xml:space="preserve">Row 1 is the Dashboard mix. Rows 2–6 are preset mixes (blue inputs, editable). Case: the ₹2,100 Cr cash portion may come from existing cash, new debt or a mix; ₹1,900 Cr is paid in Paytm shares.</t>
  </si>
  <si>
    <t xml:space="preserve">Structure</t>
  </si>
  <si>
    <t xml:space="preserve">Cash used (₹ Cr)</t>
  </si>
  <si>
    <t xml:space="preserve">New debt (₹ Cr)</t>
  </si>
  <si>
    <t xml:space="preserve">New equity (₹ Cr)</t>
  </si>
  <si>
    <t xml:space="preserve">Total (₹ Cr)</t>
  </si>
  <si>
    <t xml:space="preserve">Check vs price</t>
  </si>
  <si>
    <t xml:space="preserve">New shares (Cr)</t>
  </si>
  <si>
    <t xml:space="preserve">Shares after (Cr)</t>
  </si>
  <si>
    <t xml:space="preserve">% of count issued</t>
  </si>
  <si>
    <t xml:space="preserve">Gross debt after (₹ Cr)</t>
  </si>
  <si>
    <t xml:space="preserve">Gross debt ÷ EBITDA</t>
  </si>
  <si>
    <t xml:space="preserve">Net cash after (₹ Cr)</t>
  </si>
  <si>
    <t xml:space="preserve">Cost of funds after tax (₹ Cr/yr)</t>
  </si>
  <si>
    <t xml:space="preserve">Year-1 EPS ex-MDR (₹)</t>
  </si>
  <si>
    <t xml:space="preserve">Guardrails</t>
  </si>
  <si>
    <t xml:space="preserve">Dashboard mix (selected)</t>
  </si>
  <si>
    <t xml:space="preserve">Case headline: ₹2,100 Cr from cash + ₹1,900 Cr shares</t>
  </si>
  <si>
    <t xml:space="preserve">₹2,100 Cr new debt + ₹1,900 Cr shares</t>
  </si>
  <si>
    <t xml:space="preserve">₹1,400 Cr cash + ₹700 Cr debt + ₹1,900 Cr shares</t>
  </si>
  <si>
    <t xml:space="preserve">All cash ₹4,000 Cr</t>
  </si>
  <si>
    <t xml:space="preserve">All equity ₹4,000 Cr</t>
  </si>
  <si>
    <t xml:space="preserve">₹2,100 Cr cash + ₹1,900 Cr debt (no dilution)</t>
  </si>
  <si>
    <t xml:space="preserve">Reading the table</t>
  </si>
  <si>
    <t xml:space="preserve">Year-1 EPS here uses the Liminal post-churn PAT from Liminal_Ops Block 2 at the Dashboard churn, the after-tax cost of funds of each mix, and PPA amortisation if switched on; MDR excluded (it is a standalone Paytm item).</t>
  </si>
  <si>
    <t xml:space="preserve">At ~247x trailing earnings, Paytm shares are its cheapest currency in EPS terms (earnings yield 0.4% vs 4.5% after-tax cash yield), so more equity = less EPS dilution — but issuing 3.3% of the company for a breakeven asset is only 'cheap' while the stock holds its multiple.</t>
  </si>
  <si>
    <t xml:space="preserve">Debt-funding the ₹2,100 Cr cash leg takes gross debt/EBITDA from 0.5x to 3.8x — outside any reasonable AA- headroom. The guardrail column flags cash-floor and leverage-cap breaches.</t>
  </si>
  <si>
    <t xml:space="preserve">None of the mixes changes the economics of the deal (NPV); they only move the cost between shareholders (dilution), the P&amp;L (interest, foregone yield) and the balance sheet (liquidity, leverage).</t>
  </si>
  <si>
    <t xml:space="preserve">Sensitivity of year-1 EPS (case headline mix) to the cost-of-funds assumptions</t>
  </si>
  <si>
    <t xml:space="preserve">Cash yield ↓ / cost of debt →</t>
  </si>
  <si>
    <t xml:space="preserve">Uses the Dashboard mix. With the case headline mix (no new debt) only the cash-yield row matters.</t>
  </si>
  <si>
    <t xml:space="preserve">SOURCES &amp; USES — full acquisition (Dashboard mix), minority stake, and the hybrid control tranche</t>
  </si>
  <si>
    <t xml:space="preserve">A. FULL ACQUISITION — headline ₹4,000 Cr at the Dashboard mix</t>
  </si>
  <si>
    <t xml:space="preserve">USES</t>
  </si>
  <si>
    <t xml:space="preserve">SOURCES</t>
  </si>
  <si>
    <t xml:space="preserve">Purchase consideration — cash portion</t>
  </si>
  <si>
    <t xml:space="preserve">Existing balance-sheet cash</t>
  </si>
  <si>
    <t xml:space="preserve">Purchase consideration — Paytm shares issued to Liminal shareholders</t>
  </si>
  <si>
    <t xml:space="preserve">New debt</t>
  </si>
  <si>
    <t xml:space="preserve">Transaction costs (fees % × price)</t>
  </si>
  <si>
    <t xml:space="preserve">New Paytm equity issued to sellers (seller paper)</t>
  </si>
  <si>
    <t xml:space="preserve">Integration / ring-fence build-out (one-time)</t>
  </si>
  <si>
    <t xml:space="preserve">Deferred / contingent consideration</t>
  </si>
  <si>
    <t xml:space="preserve">Total uses</t>
  </si>
  <si>
    <t xml:space="preserve">Total sources</t>
  </si>
  <si>
    <t xml:space="preserve">Check: sources − uses (must be 0)</t>
  </si>
  <si>
    <t xml:space="preserve">Note: the case headline pays 100% upfront; deferred/contingent consideration is zero. The Earnout sheet shows how the same ₹4,000 Cr cap can be re-cut so that up to ~₹1,300–2,000 Cr becomes contingent.</t>
  </si>
  <si>
    <t xml:space="preserve">B. MINORITY STAKE — Dashboard stake and price</t>
  </si>
  <si>
    <t xml:space="preserve">Secondary purchase from existing shareholders</t>
  </si>
  <si>
    <t xml:space="preserve">Primary subscription (new Liminal shares; cash stays in Liminal)</t>
  </si>
  <si>
    <t xml:space="preserve">Transaction costs</t>
  </si>
  <si>
    <t xml:space="preserve">New Paytm equity</t>
  </si>
  <si>
    <t xml:space="preserve">C. HYBRID — control tranche on exercising the call option (remaining stake), if all gates pass</t>
  </si>
  <si>
    <t xml:space="preserve">Upfront control consideration at exercise</t>
  </si>
  <si>
    <t xml:space="preserve">Retention earn-out (maximum; paid only for retained ARR)</t>
  </si>
  <si>
    <t xml:space="preserve">Integration / ring-fence (one-time)</t>
  </si>
  <si>
    <t xml:space="preserve">Paytm shares (earn-out settled in shares, collared)</t>
  </si>
  <si>
    <t xml:space="preserve">Check: upfront control cash + debt = upfront consideration (must be 0)</t>
  </si>
  <si>
    <t xml:space="preserve">Maximum total ever payable under the hybrid (minority + upfront + max earn-out) (₹ Cr)</t>
  </si>
  <si>
    <t xml:space="preserve">Maximum unconditional commitment under the hybrid (₹ Cr)</t>
  </si>
  <si>
    <t xml:space="preserve">ACCRETION / DILUTION — full acquisition from the ₹7.50 baseline: Y0 (day-one annualised), Y1, Y2, Y3 (and to Y10)</t>
  </si>
  <si>
    <t xml:space="preserve">Accounting view (EPS) and economic view (NPV) are deliberately separated: Liminal is breakeven, so EPS accretion is driven by shares and financing costs (case §2), not by value creation.</t>
  </si>
  <si>
    <t xml:space="preserve">1. EPS bridge at the Dashboard levers (links to Deal_CF)</t>
  </si>
  <si>
    <t xml:space="preserve">Paytm standalone PAT ex-MDR (₹ Cr)</t>
  </si>
  <si>
    <t xml:space="preserve">MDR PAT — standalone Paytm item (₹ Cr)</t>
  </si>
  <si>
    <t xml:space="preserve">Liminal PAT after churn (₹ Cr)</t>
  </si>
  <si>
    <t xml:space="preserve">(−) Cost of funds after tax (₹ Cr)</t>
  </si>
  <si>
    <t xml:space="preserve">(−) PPA amortisation after tax (₹ Cr)</t>
  </si>
  <si>
    <t xml:space="preserve">(−) Drag hitting PAT (reading 3 only) (₹ Cr)</t>
  </si>
  <si>
    <t xml:space="preserve">(−) Foregone yield on trapped reserve capital (₹ Cr)</t>
  </si>
  <si>
    <t xml:space="preserve">→ Incremental PAT from the deal (₹ Cr)</t>
  </si>
  <si>
    <t xml:space="preserve">Pro-forma PAT ex-MDR (₹ Cr)</t>
  </si>
  <si>
    <t xml:space="preserve">New shares issued (Cr)</t>
  </si>
  <si>
    <t xml:space="preserve">Pro-forma diluted shares (Cr)</t>
  </si>
  <si>
    <t xml:space="preserve">Standalone EPS ex-MDR (₹)</t>
  </si>
  <si>
    <t xml:space="preserve">Pro-forma EPS ex-MDR (₹)</t>
  </si>
  <si>
    <t xml:space="preserve">Accretion / (dilution) vs ₹7.50</t>
  </si>
  <si>
    <t xml:space="preserve">Standalone EPS incl. MDR — like-for-like baseline (₹)</t>
  </si>
  <si>
    <t xml:space="preserve">Pro-forma EPS incl. MDR (₹)</t>
  </si>
  <si>
    <t xml:space="preserve">Accretion / (dilution) vs like-for-like baseline</t>
  </si>
  <si>
    <t xml:space="preserve">Cash EPS ex-MDR, ex-PPA (₹)</t>
  </si>
  <si>
    <t xml:space="preserve">Reported EPS ex-MDR incl. PPA amortisation (₹) — Ind AS view, whatever the toggle</t>
  </si>
  <si>
    <t xml:space="preserve">'Mechanical' share-count-only EPS (₹) — the number that hides the dilution</t>
  </si>
  <si>
    <t xml:space="preserve">2. Year-1 EPS bridge in ₹ per share (case headline mix as on Dashboard)</t>
  </si>
  <si>
    <t xml:space="preserve">Baseline EPS (case)</t>
  </si>
  <si>
    <t xml:space="preserve">Effect of new shares alone (mechanical)</t>
  </si>
  <si>
    <t xml:space="preserve">Effect of cost of funds (foregone yield + interest)</t>
  </si>
  <si>
    <t xml:space="preserve">Effect of Liminal's post-churn result</t>
  </si>
  <si>
    <t xml:space="preserve">Effect of PPA amortisation</t>
  </si>
  <si>
    <t xml:space="preserve">Effect of drag on PAT / trapped-capital yield (readings 3 / 1–2)</t>
  </si>
  <si>
    <t xml:space="preserve">Effect of synergies (if switched on)</t>
  </si>
  <si>
    <t xml:space="preserve">→ Year-1 pro-forma EPS ex-MDR (₹)</t>
  </si>
  <si>
    <t xml:space="preserve">Check vs Deal_CF (must be 0)</t>
  </si>
  <si>
    <t xml:space="preserve">Add: MDR (standalone Paytm item) per share</t>
  </si>
  <si>
    <t xml:space="preserve">→ Year-1 pro-forma EPS incl. MDR (₹)</t>
  </si>
  <si>
    <t xml:space="preserve">3. Accounting accretion vs economic value — the two are not the same thing</t>
  </si>
  <si>
    <t xml:space="preserve">Year-3 EPS accretion / (dilution) vs ₹7.50</t>
  </si>
  <si>
    <t xml:space="preserve">PAT breakeven year (accounting)</t>
  </si>
  <si>
    <t xml:space="preserve">NPV to Paytm at the Dashboard levers (economic) (₹ Cr)</t>
  </si>
  <si>
    <t xml:space="preserve">Value of Liminal to Paytm before drag (₹ Cr)</t>
  </si>
  <si>
    <t xml:space="preserve">PV of the capital drag (₹ Cr)</t>
  </si>
  <si>
    <t xml:space="preserve">An EPS-accretive deal can destroy value (issue cheap paper for a low-return asset) and a dilutive deal can create it. Paytm at ~247x earnings makes almost any equity-funded purchase look 'cheap' on EPS. The Board should decide on NPV, retained-ARR economics and the capital drag, and treat EPS as a constraint (shareholder pressure, case §3.3), not as the objective.</t>
  </si>
  <si>
    <t xml:space="preserve">DEAL CASH FLOWS &amp; VALUE — full acquisition at the Dashboard levers (growth, churn, drag, mix, WACC, price)</t>
  </si>
  <si>
    <t xml:space="preserve">This is the master engine. The same engine is replicated on Churn, Capital_Drag and Scenarios with different parameter sets. Read the scalar outputs at the bottom.</t>
  </si>
  <si>
    <t xml:space="preserve">FULL ACQUISITION — Dashboard levers — Liminal operating block (post-churn)</t>
  </si>
  <si>
    <t xml:space="preserve">FULL ACQUISITION — Dashboard levers — deal cash flows, earnings and value to Paytm</t>
  </si>
  <si>
    <t xml:space="preserve">New Paytm shares issued (Cr) = equity consideration ÷ issue price</t>
  </si>
  <si>
    <t xml:space="preserve">Cost of funds after tax (₹ Cr/yr) = foregone yield on cash used + interest on new debt</t>
  </si>
  <si>
    <t xml:space="preserve">PPA amortisation after tax (₹ Cr/yr) — always computed (price × intangible share ÷ life × (1 − tax))</t>
  </si>
  <si>
    <t xml:space="preserve">PPA amortisation charged in the headline EPS (₹ Cr/yr) = above × toggle a_ppa_on</t>
  </si>
  <si>
    <t xml:space="preserve">One-time costs (₹ Cr): fees + integration, year 1</t>
  </si>
  <si>
    <t xml:space="preserve">Synergy EBITDA credited (₹ Cr) — zero unless switched on</t>
  </si>
  <si>
    <t xml:space="preserve">Capital drag applied (₹ Cr/yr) — reading 1 fixed; 2 scales with revenue; 3 P&amp;L cost (after-tax cash)</t>
  </si>
  <si>
    <t xml:space="preserve">Capital drag hitting PAT (₹ Cr/yr) — only under reading 3</t>
  </si>
  <si>
    <t xml:space="preserve">Cumulative trapped reserve capital (₹ Cr) — readings 1 and 2</t>
  </si>
  <si>
    <t xml:space="preserve">Foregone after-tax yield on trapped capital (₹ Cr/yr) — hits PAT</t>
  </si>
  <si>
    <t xml:space="preserve">Paytm standalone PAT excluding MDR</t>
  </si>
  <si>
    <t xml:space="preserve">MDR contribution to PAT (standalone Paytm item) = 115 × flow-through × (1 − tax)</t>
  </si>
  <si>
    <t xml:space="preserve">Standalone EPS excluding MDR (₹)</t>
  </si>
  <si>
    <t xml:space="preserve">Standalone EPS including MDR (₹) — like-for-like baseline</t>
  </si>
  <si>
    <t xml:space="preserve">Incremental PAT from the deal = Liminal PAT + synergies×(1−t) − cost of funds − PPA − drag(P&amp;L) − foregone yield on trapped capital</t>
  </si>
  <si>
    <t xml:space="preserve">Pro-forma PAT excluding MDR</t>
  </si>
  <si>
    <t xml:space="preserve">Pro-forma EPS excluding MDR (₹)</t>
  </si>
  <si>
    <t xml:space="preserve">Accretion / (dilution) vs ₹7.50 case baseline</t>
  </si>
  <si>
    <t xml:space="preserve">Pro-forma EPS including MDR (₹)</t>
  </si>
  <si>
    <t xml:space="preserve">Accretion / (dilution) vs like-for-like standalone-with-MDR EPS</t>
  </si>
  <si>
    <t xml:space="preserve">Cash EPS excluding MDR (adds back PPA amortisation) (₹)</t>
  </si>
  <si>
    <t xml:space="preserve">Reported EPS ex-MDR including PPA amortisation whatever the toggle (₹) — Ind AS view</t>
  </si>
  <si>
    <t xml:space="preserve">'Mechanical' EPS: share count only, no financing cost or Liminal result (₹) — for reference</t>
  </si>
  <si>
    <t xml:space="preserve">Incremental FCF before financing = Liminal FCF + synergies×(1−t) − drag − one-time</t>
  </si>
  <si>
    <t xml:space="preserve">Incremental FCF after cost of funds (cash view)</t>
  </si>
  <si>
    <t xml:space="preserve">MDR after-tax cash (standalone Paytm item, shown beside the deal)</t>
  </si>
  <si>
    <t xml:space="preserve">Incremental FCF after cost of funds, WITH the MDR credited (case-style view)</t>
  </si>
  <si>
    <t xml:space="preserve">FCF line used for the verdict (per Dashboard lever lv_mdr_in_deal)</t>
  </si>
  <si>
    <t xml:space="preserve">Cumulative cash: −total consideration at Y0, then FCF after cost of funds (payback view)</t>
  </si>
  <si>
    <t xml:space="preserve">Discount factor at the selected WACC (end-year)</t>
  </si>
  <si>
    <t xml:space="preserve">helper: year if incremental PAT ≥ 0 else 99</t>
  </si>
  <si>
    <t xml:space="preserve">helper: year if incremental PAT + MDR ≥ 0 else 99</t>
  </si>
  <si>
    <t xml:space="preserve">helper: year if FCF after cost of funds ≥ 0 else 99</t>
  </si>
  <si>
    <t xml:space="preserve">helper: year if FCF after cost of funds + MDR ≥ 0 else 99</t>
  </si>
  <si>
    <t xml:space="preserve">helper: year if cumulative cash ≥ 0 else 99</t>
  </si>
  <si>
    <t xml:space="preserve">PAT breakeven year (first year incremental PAT ≥ 0; 99 = beyond horizon)</t>
  </si>
  <si>
    <t xml:space="preserve">PAT breakeven year if the MDR is credited to the deal</t>
  </si>
  <si>
    <t xml:space="preserve">FCF breakeven year, after drag and cost of funds (99 = beyond horizon)</t>
  </si>
  <si>
    <t xml:space="preserve">FCF breakeven year if the MDR is credited to the deal</t>
  </si>
  <si>
    <t xml:space="preserve">Payback year (cumulative cash ≥ 0; 99 = beyond horizon)</t>
  </si>
  <si>
    <t xml:space="preserve">Cumulative cash after 10 years (₹ Cr)</t>
  </si>
  <si>
    <t xml:space="preserve">PV of Liminal unlevered FCF, years 1–10 (₹ Cr)</t>
  </si>
  <si>
    <t xml:space="preserve">Terminal value at Y10 = FCF10 × (1+g_t) ÷ (WACC − g_t) (₹ Cr)</t>
  </si>
  <si>
    <t xml:space="preserve">Value of Liminal to Paytm on these cash flows, before drag (₹ Cr)</t>
  </si>
  <si>
    <t xml:space="preserve">PV of the capital drag over 10 years, net of any recovery of trapped capital (₹ Cr)</t>
  </si>
  <si>
    <t xml:space="preserve">PV of synergies after tax (₹ Cr)</t>
  </si>
  <si>
    <t xml:space="preserve">PV of one-time costs (₹ Cr)</t>
  </si>
  <si>
    <t xml:space="preserve">NPV to Paytm = value of Liminal + synergies − drag − one-time − price paid (₹ Cr)</t>
  </si>
  <si>
    <t xml:space="preserve">NPV if the MDR were (wrongly) credited to the deal (₹ Cr) — for the case-style view</t>
  </si>
  <si>
    <t xml:space="preserve">Effective multiple = price ÷ retained year-1 ARR</t>
  </si>
  <si>
    <t xml:space="preserve">Effective multiple including PV of drag = (price + PV drag) ÷ retained ARR</t>
  </si>
  <si>
    <t xml:space="preserve">Break-even capital drag (₹ Cr/yr, reading 1): drag at which NPV = 0</t>
  </si>
  <si>
    <t xml:space="preserve">Year-1 pro-forma EPS excluding MDR (₹)</t>
  </si>
  <si>
    <t xml:space="preserve">Year-3 pro-forma EPS excluding MDR (₹)</t>
  </si>
  <si>
    <t xml:space="preserve">Year-1 incremental FCF after cost of funds (₹ Cr)</t>
  </si>
  <si>
    <t xml:space="preserve">Paytm cash after close (₹ Cr) = cash − cash used − one-time</t>
  </si>
  <si>
    <t xml:space="preserve">Gross debt after close (₹ Cr)</t>
  </si>
  <si>
    <t xml:space="preserve">Gross debt ÷ EBITDA after close</t>
  </si>
  <si>
    <t xml:space="preserve">Paytm cash at end of year 3 if the deal's cash flows are absorbed (₹ Cr)</t>
  </si>
  <si>
    <t xml:space="preserve">CAPITAL DRAG — what the ₹750 Cr/yr means, three readings, the ₹500–1,250 Cr grid, the break-even drag, and the MDR offset</t>
  </si>
  <si>
    <t xml:space="preserve">Case §3.2: owning Liminal's custody infrastructure forces RBI to require bank-like capital reserves against custodied assets → a recurring annual FCF drag of ₹750 Cr. The case frames it as CASH (FCF), RECURRING, and OWNER-SPECIFIC (Paytm holds a PA licence, not a banking licence).</t>
  </si>
  <si>
    <t xml:space="preserve">1. THREE READINGS OF THE SAME SENTENCE (select on Dashboard: lv_drag_mode)</t>
  </si>
  <si>
    <t xml:space="preserve">Reading 1 — literal (case wording): a fixed ₹750 Cr leaves free cash flow every year</t>
  </si>
  <si>
    <t xml:space="preserve">Cash that must be set aside as reserve capital each year; not an expense, so PAT is untouched except for the yield foregone on the growing pile of trapped capital. Never recovered unless a_recovery &gt; 0. This is the base reading.</t>
  </si>
  <si>
    <t xml:space="preserve">Reading 2 — proportional: the reserve scales with custodied assets, proxied by Liminal's revenue</t>
  </si>
  <si>
    <t xml:space="preserve">If reserves are 'against custodied assets', they fall when clients leave (churn) and RISE as Liminal grows. Growth makes the trap deeper: at 20% growth the year-5 drag is ~2.5× the year-1 drag. Under this reading growth cannot rescue the deal.</t>
  </si>
  <si>
    <t xml:space="preserve">Reading 3 — operating cost: ₹750 Cr/yr is a P&amp;L expense (e.g., insurance, collateral fees, capital charge)</t>
  </si>
  <si>
    <t xml:space="preserve">Worst case for reported earnings: after tax it removes ~₹560 Cr of PAT, i.e. more than Paytm's entire ₹480 Cr PAT — EPS turns negative. Shown for completeness; the case says 'FCF drag', so this is not the base reading.</t>
  </si>
  <si>
    <t xml:space="preserve">2. THE DRAG IN CONTEXT (calculations on case facts)</t>
  </si>
  <si>
    <t xml:space="preserve">Drag ÷ Paytm EBITDA</t>
  </si>
  <si>
    <t xml:space="preserve">Drag ÷ Paytm PAT</t>
  </si>
  <si>
    <t xml:space="preserve">Drag ÷ Liminal ARR</t>
  </si>
  <si>
    <t xml:space="preserve">PV of a fixed ₹750 Cr/yr for 10 years at the Dashboard WACC (₹ Cr)</t>
  </si>
  <si>
    <t xml:space="preserve">PV of the same drag in perpetuity (₹ Cr)</t>
  </si>
  <si>
    <t xml:space="preserve">Liminal ARR needed to fund the drag from its own FCF at the mature margin (₹ Cr) = drag ÷ (margin cap × (1 − tax))</t>
  </si>
  <si>
    <t xml:space="preserve">…as a multiple of today's ARR</t>
  </si>
  <si>
    <t xml:space="preserve">Years to reach that ARR at the base growth rate (zero churn)</t>
  </si>
  <si>
    <t xml:space="preserve">Years to reach that ARR at the bull growth rate</t>
  </si>
  <si>
    <t xml:space="preserve">Years of drag fundable from cash after the headline deal, above the cash floor</t>
  </si>
  <si>
    <t xml:space="preserve">3. MDR OFFSET — is the ₹115 Cr incremental, and how much of the drag does it cover?</t>
  </si>
  <si>
    <t xml:space="preserve">MDR net revenue (case) (₹ Cr/yr)</t>
  </si>
  <si>
    <t xml:space="preserve">MDR ÷ drag at the revenue line (gross offset)</t>
  </si>
  <si>
    <t xml:space="preserve">MDR reaching PAT / FCF after flow-through and tax (₹ Cr/yr)</t>
  </si>
  <si>
    <t xml:space="preserve">MDR ÷ drag on a cash basis (net offset)</t>
  </si>
  <si>
    <t xml:space="preserve">Net annual cash cost of full ownership after the MDR (₹ Cr/yr) — case-style view</t>
  </si>
  <si>
    <t xml:space="preserve">MDR per Paytm share, standalone (₹) — accrues WITHOUT the deal</t>
  </si>
  <si>
    <t xml:space="preserve">Standalone Paytm EPS incl. MDR (₹) — the correct like-for-like baseline</t>
  </si>
  <si>
    <t xml:space="preserve">Verdict: the MDR is REAL (case §3.4) but NOT INCREMENTAL to the acquisition — Paytm earns it whether or not it buys Liminal. It is Paytm's own tailwind and belongs in the standalone baseline. Netting it against the drag flatters the deal by ~₹69 Cr/yr; the deal must stand on its own. It does, however, add ~₹69 Cr/yr of FCF capacity to absorb a drag, which matters for liquidity, not for value.</t>
  </si>
  <si>
    <t xml:space="preserve">4. DRAG GRID — ₹0 / 500 / 750 / 1,000 / 1,250 Cr/yr and the Dashboard value, all other levers as on Dashboard</t>
  </si>
  <si>
    <t xml:space="preserve">Each row is a full deal engine (below) with only the drag changed. Reading (1/2/3) follows the Dashboard lever.</t>
  </si>
  <si>
    <t xml:space="preserve">Drag (₹ Cr/yr)</t>
  </si>
  <si>
    <t xml:space="preserve">Year-1 FCF after cost of funds (₹ Cr)</t>
  </si>
  <si>
    <t xml:space="preserve">Cumulative cash after 10 yrs (₹ Cr)</t>
  </si>
  <si>
    <t xml:space="preserve">PV of drag (₹ Cr)</t>
  </si>
  <si>
    <t xml:space="preserve">NPV to Paytm (₹ Cr)</t>
  </si>
  <si>
    <t xml:space="preserve">FCF breakeven year</t>
  </si>
  <si>
    <t xml:space="preserve">FCF breakeven with MDR credited</t>
  </si>
  <si>
    <t xml:space="preserve">Payback year</t>
  </si>
  <si>
    <t xml:space="preserve">Effective multiple incl. PV of drag</t>
  </si>
  <si>
    <t xml:space="preserve">Year-1 EPS (₹)</t>
  </si>
  <si>
    <t xml:space="preserve">Cash at end of year 3 (₹ Cr)</t>
  </si>
  <si>
    <t xml:space="preserve">Drag 0</t>
  </si>
  <si>
    <t xml:space="preserve">Drag 500</t>
  </si>
  <si>
    <t xml:space="preserve">Drag Dashboard</t>
  </si>
  <si>
    <t xml:space="preserve">Drag 750</t>
  </si>
  <si>
    <t xml:space="preserve">Drag 1000</t>
  </si>
  <si>
    <t xml:space="preserve">Drag 1250</t>
  </si>
  <si>
    <t xml:space="preserve">Break-even capital drag (₹ Cr/yr): the fixed drag at which NPV = 0 at the Dashboard levers</t>
  </si>
  <si>
    <t xml:space="preserve">Maximum drag that still allows FCF breakeven by the gate year (₹ Cr/yr) = Liminal FCF in gate year − cost of funds</t>
  </si>
  <si>
    <t xml:space="preserve">If the break-even drag is negative, the deal has no capacity to absorb ANY recurring capital cost at that price: the price alone already exceeds the value of the retained cash flows.</t>
  </si>
  <si>
    <t xml:space="preserve">ENGINE — drag 0 — Liminal operating block (post-churn)</t>
  </si>
  <si>
    <t xml:space="preserve">ENGINE — drag 0 — deal cash flows, earnings and value to Paytm</t>
  </si>
  <si>
    <t xml:space="preserve">ENGINE — drag 500 — Liminal operating block (post-churn)</t>
  </si>
  <si>
    <t xml:space="preserve">ENGINE — drag 500 — deal cash flows, earnings and value to Paytm</t>
  </si>
  <si>
    <t xml:space="preserve">ENGINE — drag Dashboard — Liminal operating block (post-churn)</t>
  </si>
  <si>
    <t xml:space="preserve">ENGINE — drag Dashboard — deal cash flows, earnings and value to Paytm</t>
  </si>
  <si>
    <t xml:space="preserve">ENGINE — drag 750 — Liminal operating block (post-churn)</t>
  </si>
  <si>
    <t xml:space="preserve">ENGINE — drag 750 — deal cash flows, earnings and value to Paytm</t>
  </si>
  <si>
    <t xml:space="preserve">ENGINE — drag 1000 — Liminal operating block (post-churn)</t>
  </si>
  <si>
    <t xml:space="preserve">ENGINE — drag 1000 — deal cash flows, earnings and value to Paytm</t>
  </si>
  <si>
    <t xml:space="preserve">ENGINE — drag 1250 — Liminal operating block (post-churn)</t>
  </si>
  <si>
    <t xml:space="preserve">ENGINE — drag 1250 — deal cash flows, earnings and value to Paytm</t>
  </si>
  <si>
    <t xml:space="preserve">CHURN — 0% to 60% ARR loss after a full acquisition: retained ARR, effective multiple, earnings, cash, breakevens, and the maximum acceptable churn</t>
  </si>
  <si>
    <t xml:space="preserve">Case §3.1: 30–45% of ARR lost within 12 months of a full acquisition; top-4 clients (HDFC Bank, Axis Bank, CoinDCX, ZebPay) = 60% of ARR. Each grid row below is a full deal engine at the Dashboard levers with only churn changed.</t>
  </si>
  <si>
    <t xml:space="preserve">1. WHO LEAVES — the case's churn range expressed against the top-4 book (calculations)</t>
  </si>
  <si>
    <t xml:space="preserve">Top-4 ARR (₹ Cr)</t>
  </si>
  <si>
    <t xml:space="preserve">ARR at risk, case low / high (₹ Cr)</t>
  </si>
  <si>
    <t xml:space="preserve">…as % of the top-4 book: low / high</t>
  </si>
  <si>
    <t xml:space="preserve">Value destroyed per 10 points of churn at the headline multiple (₹ Cr)</t>
  </si>
  <si>
    <t xml:space="preserve">The case range therefore implies that between half and three-quarters of the top-4 book leaves; the two banks alone could be most of it. The 'long tail' (40% of ARR: exchanges, hedge funds, OTC desks) is assumed to stay.</t>
  </si>
  <si>
    <t xml:space="preserve">2. CHURN GRID (full acquisition, Dashboard mix / growth / drag / WACC)</t>
  </si>
  <si>
    <t xml:space="preserve">Churn</t>
  </si>
  <si>
    <t xml:space="preserve">Retained ARR (₹ Cr)</t>
  </si>
  <si>
    <t xml:space="preserve">ARR lost (₹ Cr)</t>
  </si>
  <si>
    <t xml:space="preserve">Effective multiple (price ÷ retained ARR)</t>
  </si>
  <si>
    <t xml:space="preserve">Value at headline multiple (₹ Cr)</t>
  </si>
  <si>
    <t xml:space="preserve">Gap vs price (₹ Cr)</t>
  </si>
  <si>
    <t xml:space="preserve">Year-1 Liminal PAT (₹ Cr)</t>
  </si>
  <si>
    <t xml:space="preserve">vs ₹7.50</t>
  </si>
  <si>
    <t xml:space="preserve">PAT breakeven yr</t>
  </si>
  <si>
    <t xml:space="preserve">FCF breakeven yr</t>
  </si>
  <si>
    <t xml:space="preserve">Payback yr</t>
  </si>
  <si>
    <t xml:space="preserve">NPV with drag = 0 (₹ Cr)</t>
  </si>
  <si>
    <t xml:space="preserve">Value-neutral price at this churn (₹ Cr)</t>
  </si>
  <si>
    <t xml:space="preserve">3. MAXIMUM ECONOMICALLY ACCEPTABLE CHURN</t>
  </si>
  <si>
    <t xml:space="preserve">Churn at which NPV = 0 at the Dashboard price and drag (linear interpolation on the grid; 'none' if NPV &lt; 0 even at 0% churn)</t>
  </si>
  <si>
    <t xml:space="preserve">Same test with the capital drag set to zero (isolates churn from the drag)</t>
  </si>
  <si>
    <t xml:space="preserve">Churn at which year-1 EPS dilution vs ₹7.50 exceeds 30% (interpolated; shareholder-pressure threshold, case §3.3)</t>
  </si>
  <si>
    <t xml:space="preserve">Price at which each churn level would be value-neutral (₹ Cr) = price + NPV (drag as on Dashboard) — see column P of the grid</t>
  </si>
  <si>
    <t xml:space="preserve">How to read: at the headline price the maximum acceptable churn is the point where the retained business, after the drag, is worth exactly what is paid. Column P shows the price that WOULD be acceptable at each churn level — the basis for retention-linked consideration (Earnout).</t>
  </si>
  <si>
    <t xml:space="preserve">4. PRICE × CHURN — NPV to Paytm (₹ Cr) for alternative prices, WITHOUT the capital drag (the negotiation exhibit)</t>
  </si>
  <si>
    <t xml:space="preserve">NPV at price P = NPV at the Dashboard price + (Dashboard price − P) × (1 + fees% × DF1): the price enters the NPV linearly (fees scale with price). Green = value-creating.</t>
  </si>
  <si>
    <t xml:space="preserve">Churn ↓ / price for 100% (₹ Cr) →</t>
  </si>
  <si>
    <t xml:space="preserve">5. PRICE × CHURN — NPV to Paytm (₹ Cr) WITH the Dashboard capital drag</t>
  </si>
  <si>
    <t xml:space="preserve">Reading: with the case's ₹750 Cr drag no price above zero is value-creating at the base growth rate; the drag, not the churn, sets the walk-away line. Without the drag, the value-creating price band is a function of churn and growth (see DCF §4).</t>
  </si>
  <si>
    <t xml:space="preserve">ENGINE — churn 0% — Liminal operating block (post-churn)</t>
  </si>
  <si>
    <t xml:space="preserve">ENGINE — churn 0% — deal cash flows, earnings and value to Paytm</t>
  </si>
  <si>
    <t xml:space="preserve">ENGINE — churn 0%, drag = 0 (isolation) — Liminal operating block (post-churn)</t>
  </si>
  <si>
    <t xml:space="preserve">ENGINE — churn 0%, drag = 0 (isolation) — deal cash flows, earnings and value to Paytm</t>
  </si>
  <si>
    <t xml:space="preserve">ENGINE — churn 10% — Liminal operating block (post-churn)</t>
  </si>
  <si>
    <t xml:space="preserve">ENGINE — churn 10% — deal cash flows, earnings and value to Paytm</t>
  </si>
  <si>
    <t xml:space="preserve">ENGINE — churn 10%, drag = 0 (isolation) — Liminal operating block (post-churn)</t>
  </si>
  <si>
    <t xml:space="preserve">ENGINE — churn 10%, drag = 0 (isolation) — deal cash flows, earnings and value to Paytm</t>
  </si>
  <si>
    <t xml:space="preserve">ENGINE — churn 20% — Liminal operating block (post-churn)</t>
  </si>
  <si>
    <t xml:space="preserve">ENGINE — churn 20% — deal cash flows, earnings and value to Paytm</t>
  </si>
  <si>
    <t xml:space="preserve">ENGINE — churn 20%, drag = 0 (isolation) — Liminal operating block (post-churn)</t>
  </si>
  <si>
    <t xml:space="preserve">ENGINE — churn 20%, drag = 0 (isolation) — deal cash flows, earnings and value to Paytm</t>
  </si>
  <si>
    <t xml:space="preserve">ENGINE — churn 30% — Liminal operating block (post-churn)</t>
  </si>
  <si>
    <t xml:space="preserve">ENGINE — churn 30% — deal cash flows, earnings and value to Paytm</t>
  </si>
  <si>
    <t xml:space="preserve">ENGINE — churn 30%, drag = 0 (isolation) — Liminal operating block (post-churn)</t>
  </si>
  <si>
    <t xml:space="preserve">ENGINE — churn 30%, drag = 0 (isolation) — deal cash flows, earnings and value to Paytm</t>
  </si>
  <si>
    <t xml:space="preserve">ENGINE — churn 35% — Liminal operating block (post-churn)</t>
  </si>
  <si>
    <t xml:space="preserve">ENGINE — churn 35% — deal cash flows, earnings and value to Paytm</t>
  </si>
  <si>
    <t xml:space="preserve">ENGINE — churn 35%, drag = 0 (isolation) — Liminal operating block (post-churn)</t>
  </si>
  <si>
    <t xml:space="preserve">ENGINE — churn 35%, drag = 0 (isolation) — deal cash flows, earnings and value to Paytm</t>
  </si>
  <si>
    <t xml:space="preserve">ENGINE — churn 40% — Liminal operating block (post-churn)</t>
  </si>
  <si>
    <t xml:space="preserve">ENGINE — churn 40% — deal cash flows, earnings and value to Paytm</t>
  </si>
  <si>
    <t xml:space="preserve">ENGINE — churn 40%, drag = 0 (isolation) — Liminal operating block (post-churn)</t>
  </si>
  <si>
    <t xml:space="preserve">ENGINE — churn 40%, drag = 0 (isolation) — deal cash flows, earnings and value to Paytm</t>
  </si>
  <si>
    <t xml:space="preserve">ENGINE — churn 45% — Liminal operating block (post-churn)</t>
  </si>
  <si>
    <t xml:space="preserve">ENGINE — churn 45% — deal cash flows, earnings and value to Paytm</t>
  </si>
  <si>
    <t xml:space="preserve">ENGINE — churn 45%, drag = 0 (isolation) — Liminal operating block (post-churn)</t>
  </si>
  <si>
    <t xml:space="preserve">ENGINE — churn 45%, drag = 0 (isolation) — deal cash flows, earnings and value to Paytm</t>
  </si>
  <si>
    <t xml:space="preserve">ENGINE — churn 50% — Liminal operating block (post-churn)</t>
  </si>
  <si>
    <t xml:space="preserve">ENGINE — churn 50% — deal cash flows, earnings and value to Paytm</t>
  </si>
  <si>
    <t xml:space="preserve">ENGINE — churn 50%, drag = 0 (isolation) — Liminal operating block (post-churn)</t>
  </si>
  <si>
    <t xml:space="preserve">ENGINE — churn 50%, drag = 0 (isolation) — deal cash flows, earnings and value to Paytm</t>
  </si>
  <si>
    <t xml:space="preserve">ENGINE — churn 60% — Liminal operating block (post-churn)</t>
  </si>
  <si>
    <t xml:space="preserve">ENGINE — churn 60% — deal cash flows, earnings and value to Paytm</t>
  </si>
  <si>
    <t xml:space="preserve">ENGINE — churn 60%, drag = 0 (isolation) — Liminal operating block (post-churn)</t>
  </si>
  <si>
    <t xml:space="preserve">ENGINE — churn 60%, drag = 0 (isolation) — deal cash flows, earnings and value to Paytm</t>
  </si>
  <si>
    <t xml:space="preserve">ALTERNATIVE STRUCTURES — full acquisition · minority stake · hybrid (minority + call option + retention earn-out) · JV · walk away</t>
  </si>
  <si>
    <t xml:space="preserve">Side-by-side on the same levers. Numbers where the structure can be modelled; text where the case gives no basis for a number. No arbitrary scores.</t>
  </si>
  <si>
    <t xml:space="preserve">1. SUMMARY (filled from the blocks below)</t>
  </si>
  <si>
    <t xml:space="preserve">Metric</t>
  </si>
  <si>
    <t xml:space="preserve">Full acquisition (Dashboard mix)</t>
  </si>
  <si>
    <t xml:space="preserve">Hybrid: minority + option</t>
  </si>
  <si>
    <t xml:space="preserve">Joint venture</t>
  </si>
  <si>
    <t xml:space="preserve">Upfront cash out (₹ Cr)</t>
  </si>
  <si>
    <t xml:space="preserve">New Paytm shares issued (Cr)</t>
  </si>
  <si>
    <t xml:space="preserve">Churn exposure (ARR lost)</t>
  </si>
  <si>
    <t xml:space="preserve">Capital drag exposure (₹ Cr/yr)</t>
  </si>
  <si>
    <t xml:space="preserve">Year-3 EPS ex-MDR (₹)</t>
  </si>
  <si>
    <t xml:space="preserve">PAT breakeven year</t>
  </si>
  <si>
    <t xml:space="preserve">n/a (small)</t>
  </si>
  <si>
    <t xml:space="preserve">n/a (no cash yield until exit)</t>
  </si>
  <si>
    <t xml:space="preserve">Cash at risk if the thesis fails (₹ Cr)</t>
  </si>
  <si>
    <t xml:space="preserve">Control</t>
  </si>
  <si>
    <t xml:space="preserve">Full, day one</t>
  </si>
  <si>
    <t xml:space="preserve">Negative control (≥ 25% blocks special resolutions); board seat; information rights</t>
  </si>
  <si>
    <t xml:space="preserve">Negative control now; full control optional after gates</t>
  </si>
  <si>
    <t xml:space="preserve">Shared; Paytm-majority in the JV only</t>
  </si>
  <si>
    <t xml:space="preserve">None</t>
  </si>
  <si>
    <t xml:space="preserve">Blocks the PhonePe–Mastercard consortium?</t>
  </si>
  <si>
    <t xml:space="preserve">Yes</t>
  </si>
  <si>
    <t xml:space="preserve">Partly: ROFR/ROFO on transfers + veto on new issuance/schemes; cannot stop a secondary sale of others' shares without ROFR</t>
  </si>
  <si>
    <t xml:space="preserve">Yes while the option lives (call + ROFR/ROFO + veto)</t>
  </si>
  <si>
    <t xml:space="preserve">No: Liminal itself remains for sale</t>
  </si>
  <si>
    <t xml:space="preserve">No</t>
  </si>
  <si>
    <t xml:space="preserve">Reversibility</t>
  </si>
  <si>
    <t xml:space="preserve">Low (integration, goodwill, reputational)</t>
  </si>
  <si>
    <t xml:space="preserve">Medium: tag/ROFO exit process; private stake is illiquid</t>
  </si>
  <si>
    <t xml:space="preserve">Medium before exercise; low after</t>
  </si>
  <si>
    <t xml:space="preserve">Medium: JV unwind clauses</t>
  </si>
  <si>
    <t xml:space="preserve">High</t>
  </si>
  <si>
    <t xml:space="preserve">Time to capability</t>
  </si>
  <si>
    <t xml:space="preserve">Immediate (if clients stay)</t>
  </si>
  <si>
    <t xml:space="preserve">Immediate via the commercial agreement</t>
  </si>
  <si>
    <t xml:space="preserve">12–24 months to build the JV products</t>
  </si>
  <si>
    <t xml:space="preserve">24–36 months build/partner (a_build_years)</t>
  </si>
  <si>
    <t xml:space="preserve">Regulatory exposure</t>
  </si>
  <si>
    <t xml:space="preserve">Highest: bank-like reserves (case §3.2), RBI change-in-control, CCI, SEBI preferential issue</t>
  </si>
  <si>
    <t xml:space="preserve">Lower: no consolidation; RBI comfort on minority treatment to be obtained; CCI depends on control rights</t>
  </si>
  <si>
    <t xml:space="preserve">As minority now; full set at exercise</t>
  </si>
  <si>
    <t xml:space="preserve">Moderate: JV licensing/PA scope</t>
  </si>
  <si>
    <t xml:space="preserve">Governance complexity</t>
  </si>
  <si>
    <t xml:space="preserve">High: must run a ring-fence inside a wholly-owned subsidiary</t>
  </si>
  <si>
    <t xml:space="preserve">Moderate: shareholder agreement, reserved matters, information barriers</t>
  </si>
  <si>
    <t xml:space="preserve">Moderate → high after exercise</t>
  </si>
  <si>
    <t xml:space="preserve">High: two-parent JV</t>
  </si>
  <si>
    <t xml:space="preserve">BLOCK A — MINORITY STAKE (Dashboard stake, price, churn, drag mode) — Liminal operating block (minority churn applied)</t>
  </si>
  <si>
    <t xml:space="preserve">BLOCK A — MINORITY STAKE (Dashboard stake, price, churn, drag mode) — Paytm economics (equity method)</t>
  </si>
  <si>
    <t xml:space="preserve">Price paid for the stake (₹ Cr)</t>
  </si>
  <si>
    <t xml:space="preserve">Foregone after-tax yield on the cash used (₹ Cr/yr)</t>
  </si>
  <si>
    <t xml:space="preserve">Paytm's share of Liminal PAT (equity method) (₹ Cr)</t>
  </si>
  <si>
    <t xml:space="preserve">Capital drag borne by Paytm at minority (₹ Cr/yr): 0 none / pro-rata / full</t>
  </si>
  <si>
    <t xml:space="preserve">Incremental PAT = associate share − foregone yield</t>
  </si>
  <si>
    <t xml:space="preserve">Pro-forma EPS ex-MDR (₹) — no new shares</t>
  </si>
  <si>
    <t xml:space="preserve">Incremental FCF to Paytm (cash view): −foregone yield − drag (no cash yield until dividends/exit)</t>
  </si>
  <si>
    <t xml:space="preserve">Economic share of Liminal FCF accruing to the stake (₹ Cr) = stake × Liminal FCF</t>
  </si>
  <si>
    <t xml:space="preserve">DCF value of 100% of Liminal on this block (₹ Cr)</t>
  </si>
  <si>
    <t xml:space="preserve">Value of the stake (pro-rata) (₹ Cr)</t>
  </si>
  <si>
    <t xml:space="preserve">PV of drag borne at minority (₹ Cr)</t>
  </si>
  <si>
    <t xml:space="preserve">NPV to Paytm = stake value − price − one-time − PV drag (₹ Cr)</t>
  </si>
  <si>
    <t xml:space="preserve">Year-3 EPS (₹)</t>
  </si>
  <si>
    <t xml:space="preserve">Year in which the associate share covers the foregone yield (99 = never in horizon)</t>
  </si>
  <si>
    <t xml:space="preserve">Paytm cash after the investment (₹ Cr)</t>
  </si>
  <si>
    <t xml:space="preserve">Cheque as % of Paytm market cap</t>
  </si>
  <si>
    <t xml:space="preserve">BLOCK A2 — MINORITY STAKE AS AN INVESTMENT: IRR on exit at end of year 5 (stake × exit multiple × ARR5 ÷ price; no dividends)</t>
  </si>
  <si>
    <t xml:space="preserve">Growth ↓ / exit multiple (× ARR at year 5) →</t>
  </si>
  <si>
    <t xml:space="preserve">Bear growth — IRR</t>
  </si>
  <si>
    <t xml:space="preserve">Base growth — IRR</t>
  </si>
  <si>
    <t xml:space="preserve">Bull growth — IRR</t>
  </si>
  <si>
    <t xml:space="preserve">Against a hurdle equal to the Dashboard WACC, the stake earns its cost of capital only in the cells at or above that rate. The strategic value (blocking, access, option) is what the Board pays for in the other cells.</t>
  </si>
  <si>
    <t xml:space="preserve">BLOCK B — HYBRID: minority now, call option exercised at end of the option year if gates pass; consolidated thereafter</t>
  </si>
  <si>
    <t xml:space="preserve">Hybrid — Liminal operating block (control churn applied in the year after exercise)</t>
  </si>
  <si>
    <t xml:space="preserve">Hybrid — Paytm economics</t>
  </si>
  <si>
    <t xml:space="preserve">Earn-out paid at retention = 1 − control churn (₹ Cr)</t>
  </si>
  <si>
    <t xml:space="preserve">Control consideration = upfront + earn-out (₹ Cr)</t>
  </si>
  <si>
    <t xml:space="preserve">Total consideration incl. minority (₹ Cr)</t>
  </si>
  <si>
    <t xml:space="preserve">Shares issued for the earn-out (Cr)</t>
  </si>
  <si>
    <t xml:space="preserve">Cost of funds after tax — minority period (₹ Cr/yr)</t>
  </si>
  <si>
    <t xml:space="preserve">Cost of funds after tax — after control (₹ Cr/yr)</t>
  </si>
  <si>
    <t xml:space="preserve">PPA amortisation after tax on the control tranche (₹ Cr/yr)</t>
  </si>
  <si>
    <t xml:space="preserve">Control flag (1 after exercise)</t>
  </si>
  <si>
    <t xml:space="preserve">Diluted shares (Cr)</t>
  </si>
  <si>
    <t xml:space="preserve">Incremental PAT: minority (associate share − cof) then control (100% PAT − cof − PPA)</t>
  </si>
  <si>
    <t xml:space="preserve">Capital drag after control (₹ Cr/yr) — gate value (Inputs a_ctrl_drag)</t>
  </si>
  <si>
    <t xml:space="preserve">Incremental FCF after cost of funds: minority (−cof) then control (100% FCF − cof − drag − one-time in exercise+1)</t>
  </si>
  <si>
    <t xml:space="preserve">Consideration paid (₹ Cr): control tranche in the exercise year</t>
  </si>
  <si>
    <t xml:space="preserve">Cumulative cash incl. all consideration (₹ Cr)</t>
  </si>
  <si>
    <t xml:space="preserve">helper: year if incremental PAT ≥ 0 after control else 99</t>
  </si>
  <si>
    <t xml:space="preserve">helper: year if FCF after cost of funds ≥ 0 after control else 99</t>
  </si>
  <si>
    <t xml:space="preserve">Economic FCF attributable to Paytm: stake × Liminal FCF before control, 100% after</t>
  </si>
  <si>
    <t xml:space="preserve">PAT breakeven year after control (99 = never in horizon)</t>
  </si>
  <si>
    <t xml:space="preserve">FCF breakeven year after control (99 = never in horizon)</t>
  </si>
  <si>
    <t xml:space="preserve">Passes the ≤ N-year breakeven gate after exercise? (1 = yes)</t>
  </si>
  <si>
    <t xml:space="preserve">NPV to Paytm = PV(economic FCF) + PV(TV) − PV(consideration) − minority price − one-time − PV(drag) (₹ Cr)</t>
  </si>
  <si>
    <t xml:space="preserve">Trough EPS in years 1–10 (₹)</t>
  </si>
  <si>
    <t xml:space="preserve">Paytm cash after the control tranche (₹ Cr)</t>
  </si>
  <si>
    <t xml:space="preserve">Gross debt ÷ EBITDA after control</t>
  </si>
  <si>
    <t xml:space="preserve">BLOCK C — JOINT VENTURE ('SettleCo'): Paytm-majority settlement JV licensing Liminal's MPC; Liminal's custody book stays outside</t>
  </si>
  <si>
    <t xml:space="preserve">JV revenue (₹ Cr): ramps to the year-3 level, then grows at the Liminal growth rate</t>
  </si>
  <si>
    <t xml:space="preserve">EBITDA margin (ramps 5pp/yr to the JV cap)</t>
  </si>
  <si>
    <t xml:space="preserve">JV PAT (₹ Cr) = revenue × margin × (1 − tax) − D&amp;A ignored (asset-light)</t>
  </si>
  <si>
    <t xml:space="preserve">Paytm share of JV PAT (₹ Cr)</t>
  </si>
  <si>
    <t xml:space="preserve">Foregone after-tax yield on the JV capital (₹ Cr/yr)</t>
  </si>
  <si>
    <t xml:space="preserve">Incremental PAT to Paytm (₹ Cr)</t>
  </si>
  <si>
    <t xml:space="preserve">Incremental FCF to Paytm: capital at Y0, then share of JV cash (≈ PAT less capex)</t>
  </si>
  <si>
    <t xml:space="preserve">NPV to Paytm (₹ Cr) incl. terminal value of its JV share</t>
  </si>
  <si>
    <t xml:space="preserve">BLOCK D — WALK AWAY: build or partner for an equivalent capability (team assumptions a_build_cost, a_build_years)</t>
  </si>
  <si>
    <t xml:space="preserve">Build/partner spend (₹ Cr), spread evenly over the build years</t>
  </si>
  <si>
    <t xml:space="preserve">NPV of the build path (₹ Cr) — cost only; the capability's revenue is not credited (same treatment as synergies)</t>
  </si>
  <si>
    <t xml:space="preserve">Year-1 EPS (₹) — build spend expensed</t>
  </si>
  <si>
    <t xml:space="preserve">NEGOTIATION ARCHITECTURE — retention-linked consideration, call-option strike, escrow: pay upfront for what is known, make sellers bear what is uncertain</t>
  </si>
  <si>
    <t xml:space="preserve">1. RETENTION EARN-OUT FOR THE CONTROL TRANCHE (hybrid structure) — team assumptions from Inputs §F</t>
  </si>
  <si>
    <t xml:space="preserve">Remaining stake acquired at exercise</t>
  </si>
  <si>
    <t xml:space="preserve">Headline-equivalent value of the remaining stake (₹ Cr) = remaining stake × headline price — the CAP</t>
  </si>
  <si>
    <t xml:space="preserve">ARR at the end of the option year at the Dashboard growth (₹ Cr)</t>
  </si>
  <si>
    <t xml:space="preserve">Strike multiple (× ARR at exercise) — Inputs a_ctrl_mult</t>
  </si>
  <si>
    <t xml:space="preserve">Control consideration at 100% retention (₹ Cr) = MIN(cap, remaining stake × multiple × ARR at exercise)</t>
  </si>
  <si>
    <t xml:space="preserve">Upfront at exercise (₹ Cr) = control consideration × retention floor (pays for the worst-case retained ARR)</t>
  </si>
  <si>
    <t xml:space="preserve">Maximum earn-out (₹ Cr) = control consideration − upfront; linear from the floor to full retention</t>
  </si>
  <si>
    <t xml:space="preserve">Upfront funded from cash (₹ Cr) = upfront − new debt (Inputs a_ctrl_debt)</t>
  </si>
  <si>
    <t xml:space="preserve">Implied multiple of the control consideration on CURRENT ARR (remaining stake basis)</t>
  </si>
  <si>
    <t xml:space="preserve">Earn-out per 10 points of retained ARR (₹ Cr)</t>
  </si>
  <si>
    <t xml:space="preserve">Value of 10 points of ARR at the headline multiple (₹ Cr) — what those clients are 'worth' at the ask</t>
  </si>
  <si>
    <t xml:space="preserve">Maximum shares to settle the earn-out (Cr) / % of count</t>
  </si>
  <si>
    <t xml:space="preserve">Post-control churn</t>
  </si>
  <si>
    <t xml:space="preserve">Retained ARR</t>
  </si>
  <si>
    <t xml:space="preserve">Retention factor for payout (0–1)</t>
  </si>
  <si>
    <t xml:space="preserve">Earn-out paid (₹ Cr)</t>
  </si>
  <si>
    <t xml:space="preserve">Control total = upfront + earn-out (₹ Cr)</t>
  </si>
  <si>
    <t xml:space="preserve">Grand total incl. minority (₹ Cr)</t>
  </si>
  <si>
    <t xml:space="preserve">Remaining stake × strike multiple × retained ARR at exercise (₹ Cr)</t>
  </si>
  <si>
    <t xml:space="preserve">Structure over/(under)-pays vs retained value</t>
  </si>
  <si>
    <t xml:space="preserve">The schedule reproduces 'strike multiple × retained ARR' for the remaining stake across the case's churn range: the upfront covers the worst case; the earn-out pays only for revenue that survives control. Grand total never exceeds the ₹4,000 Cr headline.</t>
  </si>
  <si>
    <t xml:space="preserve">2. CALL-OPTION TERMS — why the strike is a formula, not a number (team assumption; the case gives no option terms)</t>
  </si>
  <si>
    <t xml:space="preserve">Strike = remaining stake × strike multiple × audited ARR at exercise, capped at the headline-equivalent (₹ Cr) and paid 55% upfront + 45% retention earn-out. A growth-linked strike gives sellers the upside they would otherwise demand as an option premium; the cap protects Paytm; the earn-out makes sellers bear the churn.</t>
  </si>
  <si>
    <t xml:space="preserve">Strike sensitivity: control consideration at 100% retention for strike multiples 8x / 10x / 12x / 14x (₹ Cr)</t>
  </si>
  <si>
    <t xml:space="preserve">Indicative option premium if sellers still demand one (% of control consideration, team assumption) → ₹ Cr</t>
  </si>
  <si>
    <t xml:space="preserve">Why sellers can accept: liquidity now (primary + secondary), Paytm as anchor client, a defined path to control at a growth-linked price, founder/key-engineer retention pool, and the same wallet-conflict facing any other payments-company buyer. Why they may not: the cap; expect to trade cap for option premium or a higher multiple.</t>
  </si>
  <si>
    <t xml:space="preserve">3. FULL-ACQUISITION ALTERNATIVE: RE-CUT THE ₹4,000 Cr INTO UPFRONT + CONTINGENT (if the Board insists on 100% today)</t>
  </si>
  <si>
    <t xml:space="preserve">Upfront for 100% (₹ Cr) = headline × 55% retained × (1 − further discount for the capital-treatment risk)</t>
  </si>
  <si>
    <t xml:space="preserve">Contingent (₹ Cr): retention earn-out to the headline cap</t>
  </si>
  <si>
    <t xml:space="preserve">Escrow held back from the upfront for indemnities / capital-treatment CP (₹ Cr, team assumption 10%)</t>
  </si>
  <si>
    <t xml:space="preserve">Condition precedent: written RBI capital treatment. If a reserve applies, price adjusts by PV of the drag (₹ Cr) →</t>
  </si>
  <si>
    <t xml:space="preserve">Even re-cut, a 100% acquisition today still triggers the churn (the sellers bear the price, Paytm bears the franchise damage) and the capital drag (which no earn-out cures). The re-cut fixes the PRICE risk, not the OWNERSHIP risk.</t>
  </si>
  <si>
    <t xml:space="preserve">SCENARIO TREE — base · upside · moderate downside · severe downside · break case (full acquisition), plus a one-variable-at-a-time test of which variable kills the deal first</t>
  </si>
  <si>
    <t xml:space="preserve">Each scenario is a complete deal engine with its own parameter column (blue). The dominant-variable test flexes one input at a time from the base.</t>
  </si>
  <si>
    <t xml:space="preserve">1. SCENARIO PARAMETERS (team assumptions)</t>
  </si>
  <si>
    <t xml:space="preserve">Parameter</t>
  </si>
  <si>
    <t xml:space="preserve">Base</t>
  </si>
  <si>
    <t xml:space="preserve">Upside</t>
  </si>
  <si>
    <t xml:space="preserve">Moderate downside</t>
  </si>
  <si>
    <t xml:space="preserve">Severe downside</t>
  </si>
  <si>
    <t xml:space="preserve">Break case</t>
  </si>
  <si>
    <t xml:space="preserve">Liminal ARR growth</t>
  </si>
  <si>
    <t xml:space="preserve">ARR churn in year 1</t>
  </si>
  <si>
    <t xml:space="preserve">Capital drag (₹ Cr/yr)</t>
  </si>
  <si>
    <t xml:space="preserve">Drag reading (1 fixed / 2 scales / 3 P&amp;L)</t>
  </si>
  <si>
    <t xml:space="preserve">Equity issued (₹ Cr)</t>
  </si>
  <si>
    <t xml:space="preserve">WACC</t>
  </si>
  <si>
    <t xml:space="preserve">Price paid (₹ Cr)</t>
  </si>
  <si>
    <t xml:space="preserve">Credit MDR to the deal? (0/1)</t>
  </si>
  <si>
    <t xml:space="preserve">Narrative</t>
  </si>
  <si>
    <t xml:space="preserve">Case midpoint churn, case drag, base growth, Dashboard mix.</t>
  </si>
  <si>
    <t xml:space="preserve">Low churn (ring-fence works), stronger growth, reserve partly structured away, lower WACC.</t>
  </si>
  <si>
    <t xml:space="preserve">~30% churn with the full ₹750 Cr drag.</t>
  </si>
  <si>
    <t xml:space="preserve">45% churn, ₹1,000 Cr drag, bear growth, higher WACC.</t>
  </si>
  <si>
    <t xml:space="preserve">55% churn (top-4 gone), ₹1,250 Cr drag scaling with assets, bear growth, valuation pressure (+2pp WACC).</t>
  </si>
  <si>
    <t xml:space="preserve">2. RESULTS</t>
  </si>
  <si>
    <t xml:space="preserve">Retained year-1 ARR (₹ Cr)</t>
  </si>
  <si>
    <t xml:space="preserve">Effective multiple on retained ARR</t>
  </si>
  <si>
    <t xml:space="preserve">Value of Liminal before drag (₹ Cr)</t>
  </si>
  <si>
    <t xml:space="preserve">Verdict at this price</t>
  </si>
  <si>
    <t xml:space="preserve">3. WHICH VARIABLE KILLS THE DEAL FIRST? — one-at-a-time flex from the Base scenario (NPV, ₹ Cr)</t>
  </si>
  <si>
    <t xml:space="preserve">Flex</t>
  </si>
  <si>
    <t xml:space="preserve">Churn → 45%</t>
  </si>
  <si>
    <t xml:space="preserve">Drag → ₹1,250 Cr</t>
  </si>
  <si>
    <t xml:space="preserve">Growth → bear</t>
  </si>
  <si>
    <t xml:space="preserve">WACC +2pp</t>
  </si>
  <si>
    <t xml:space="preserve">Drag scales with assets (reading 2)</t>
  </si>
  <si>
    <t xml:space="preserve">Churn → 0% (best case)</t>
  </si>
  <si>
    <t xml:space="preserve">Drag → 0 (best case)</t>
  </si>
  <si>
    <t xml:space="preserve">growth</t>
  </si>
  <si>
    <t xml:space="preserve">churn</t>
  </si>
  <si>
    <t xml:space="preserve">drag</t>
  </si>
  <si>
    <t xml:space="preserve">mode</t>
  </si>
  <si>
    <t xml:space="preserve">wacc</t>
  </si>
  <si>
    <t xml:space="preserve">Change vs Base (₹ Cr)</t>
  </si>
  <si>
    <t xml:space="preserve">Reading: the largest negative change identifies the dominant risk driver at the base settings. Compare the 'best case' columns: if NPV stays negative with churn at 0% but turns positive with drag at 0, the DRAG kills the deal first; if the reverse, CHURN does.</t>
  </si>
  <si>
    <t xml:space="preserve">ENGINE — scenario: Base — Liminal operating block (post-churn)</t>
  </si>
  <si>
    <t xml:space="preserve">ENGINE — scenario: Base — deal cash flows, earnings and value to Paytm</t>
  </si>
  <si>
    <t xml:space="preserve">ENGINE — scenario: Upside — Liminal operating block (post-churn)</t>
  </si>
  <si>
    <t xml:space="preserve">ENGINE — scenario: Upside — deal cash flows, earnings and value to Paytm</t>
  </si>
  <si>
    <t xml:space="preserve">ENGINE — scenario: Moderate downside — Liminal operating block (post-churn)</t>
  </si>
  <si>
    <t xml:space="preserve">ENGINE — scenario: Moderate downside — deal cash flows, earnings and value to Paytm</t>
  </si>
  <si>
    <t xml:space="preserve">ENGINE — scenario: Severe downside — Liminal operating block (post-churn)</t>
  </si>
  <si>
    <t xml:space="preserve">ENGINE — scenario: Severe downside — deal cash flows, earnings and value to Paytm</t>
  </si>
  <si>
    <t xml:space="preserve">ENGINE — scenario: Break case — Liminal operating block (post-churn)</t>
  </si>
  <si>
    <t xml:space="preserve">ENGINE — scenario: Break case — deal cash flows, earnings and value to Paytm</t>
  </si>
  <si>
    <t xml:space="preserve">ENGINE — flex: Base — Liminal operating block (post-churn)</t>
  </si>
  <si>
    <t xml:space="preserve">ENGINE — flex: Base — deal cash flows, earnings and value to Paytm</t>
  </si>
  <si>
    <t xml:space="preserve">ENGINE — flex: Churn → 45% — Liminal operating block (post-churn)</t>
  </si>
  <si>
    <t xml:space="preserve">ENGINE — flex: Churn → 45% — deal cash flows, earnings and value to Paytm</t>
  </si>
  <si>
    <t xml:space="preserve">ENGINE — flex: Drag → ₹1,250 Cr — Liminal operating block (post-churn)</t>
  </si>
  <si>
    <t xml:space="preserve">ENGINE — flex: Drag → ₹1,250 Cr — deal cash flows, earnings and value to Paytm</t>
  </si>
  <si>
    <t xml:space="preserve">ENGINE — flex: Growth → bear — Liminal operating block (post-churn)</t>
  </si>
  <si>
    <t xml:space="preserve">ENGINE — flex: Growth → bear — deal cash flows, earnings and value to Paytm</t>
  </si>
  <si>
    <t xml:space="preserve">ENGINE — flex: WACC +2pp — Liminal operating block (post-churn)</t>
  </si>
  <si>
    <t xml:space="preserve">ENGINE — flex: WACC +2pp — deal cash flows, earnings and value to Paytm</t>
  </si>
  <si>
    <t xml:space="preserve">ENGINE — flex: Drag scales with assets (reading 2) — Liminal operating block (post-churn)</t>
  </si>
  <si>
    <t xml:space="preserve">ENGINE — flex: Drag scales with assets (reading 2) — deal cash flows, earnings and value to Paytm</t>
  </si>
  <si>
    <t xml:space="preserve">ENGINE — flex: Churn → 0% (best case) — Liminal operating block (post-churn)</t>
  </si>
  <si>
    <t xml:space="preserve">ENGINE — flex: Churn → 0% (best case) — deal cash flows, earnings and value to Paytm</t>
  </si>
  <si>
    <t xml:space="preserve">ENGINE — flex: Drag → 0 (best case) — Liminal operating block (post-churn)</t>
  </si>
  <si>
    <t xml:space="preserve">ENGINE — flex: Drag → 0 (best case) — deal cash flows, earnings and value to Paytm</t>
  </si>
  <si>
    <t xml:space="preserve">DECISION THRESHOLDS — computed triggers that turn the recommendation into conditional logic</t>
  </si>
  <si>
    <t xml:space="preserve">Every threshold is a formula on the current Dashboard levers. Text in column C states the action.</t>
  </si>
  <si>
    <t xml:space="preserve">A. PRICE AND VALUE</t>
  </si>
  <si>
    <t xml:space="preserve">Standalone DCF value of 100% of Liminal at Dashboard growth/WACC (₹ Cr)</t>
  </si>
  <si>
    <t xml:space="preserve">The most Paytm should pay for 100% on financial value alone, before churn, drag and any strategic premium.</t>
  </si>
  <si>
    <t xml:space="preserve">10-year ARR growth needed for the standalone DCF to equal the price (zero churn, no drag)</t>
  </si>
  <si>
    <t xml:space="preserve">If diligence cannot support this growth, the headline price is a strategic premium, not a financial value.</t>
  </si>
  <si>
    <t xml:space="preserve">Maximum price for 100% at Dashboard churn and drag = price + NPV (₹ Cr)</t>
  </si>
  <si>
    <t xml:space="preserve">Reservation value for a full acquisition. Walk away above it whatever the consortium does.</t>
  </si>
  <si>
    <t xml:space="preserve">Maximum price for 100% at Dashboard churn with NO capital drag (₹ Cr)</t>
  </si>
  <si>
    <t xml:space="preserve">What the asset is worth to an owner who does not trigger the reserve, e.g. a bank-licensed or foreign buyer. The gap to the row above is the value of the capital-treatment question.</t>
  </si>
  <si>
    <t xml:space="preserve">Strategic premium embedded in the headline price (₹ Cr) = price − value after churn and drag</t>
  </si>
  <si>
    <t xml:space="preserve">Amount that must be justified by option/strategic value that the DCF cannot capture. Compare with Synergies 'what must be true'.</t>
  </si>
  <si>
    <t xml:space="preserve">Pro-rata DCF value of the minority stake at Dashboard growth (₹ Cr)</t>
  </si>
  <si>
    <t xml:space="preserve">Negotiating target for the minority price before any strategic premium; the Dashboard minority price minus this = premium paid for access/blocking.</t>
  </si>
  <si>
    <t xml:space="preserve">Pro-rata value of the stake at BEAR growth (10%) (₹ Cr)</t>
  </si>
  <si>
    <t xml:space="preserve">Floor of the negotiating range.</t>
  </si>
  <si>
    <t xml:space="preserve">Pro-rata value of the stake at BASE growth (20%) (₹ Cr)</t>
  </si>
  <si>
    <t xml:space="preserve">Base of the negotiating range.</t>
  </si>
  <si>
    <t xml:space="preserve">Pro-rata value of the stake at BULL growth (30%) (₹ Cr)</t>
  </si>
  <si>
    <t xml:space="preserve">Ceiling on financial value; anything above is paid for blocking/option value.</t>
  </si>
  <si>
    <t xml:space="preserve">Premium in the Dashboard minority price over the base pro-rata value (₹ Cr)</t>
  </si>
  <si>
    <t xml:space="preserve">The explicit price of access + blocking rights + option: must be justified as such, not as an investment.</t>
  </si>
  <si>
    <t xml:space="preserve">B. CHURN</t>
  </si>
  <si>
    <t xml:space="preserve">Maximum churn at which the full acquisition still has NPV ≥ 0 at Dashboard price and drag</t>
  </si>
  <si>
    <t xml:space="preserve">Churn above this → renegotiate price/structure or do not proceed. 'none' means the deal is value-negative even with zero churn.</t>
  </si>
  <si>
    <t xml:space="preserve">Maximum churn with the drag set to zero</t>
  </si>
  <si>
    <t xml:space="preserve">Isolates the churn question: this is the churn tolerance an owner without the reserve would have.</t>
  </si>
  <si>
    <t xml:space="preserve">Minimum written client consents (% of ARR) before control is exercised (hybrid)</t>
  </si>
  <si>
    <t xml:space="preserve">Gate 1 for the call option. Consents below this → hold the minority; do not exercise.</t>
  </si>
  <si>
    <t xml:space="preserve">Retention floor below which the earn-out pays zero (retained ARR)</t>
  </si>
  <si>
    <t xml:space="preserve">Sellers receive nothing above the upfront below this retention: aligns them with retention.</t>
  </si>
  <si>
    <t xml:space="preserve">C. CAPITAL DRAG</t>
  </si>
  <si>
    <t xml:space="preserve">Break-even recurring capital drag at Dashboard price/churn (₹ Cr/yr)</t>
  </si>
  <si>
    <t xml:space="preserve">A written RBI treatment above this → restructure (no consolidation) or walk away. Negative = no capacity for any drag at this price.</t>
  </si>
  <si>
    <t xml:space="preserve">Maximum drag consistent with FCF breakeven by the gate year (₹ Cr/yr)</t>
  </si>
  <si>
    <t xml:space="preserve">Gate 2 for exercising control.</t>
  </si>
  <si>
    <t xml:space="preserve">Years of the case drag fundable from post-deal cash above the cash floor</t>
  </si>
  <si>
    <t xml:space="preserve">Liquidity runway if the drag applies and nothing else changes.</t>
  </si>
  <si>
    <t xml:space="preserve">D. FINANCING AND RATING</t>
  </si>
  <si>
    <t xml:space="preserve">Maximum new debt inside the leverage guardrail (₹ Cr) = cap × EBITDA − existing debt</t>
  </si>
  <si>
    <t xml:space="preserve">Debt above this breaches the AA- guardrail; use equity or cash instead.</t>
  </si>
  <si>
    <t xml:space="preserve">Maximum cash deployable above the cash floor after one-time costs (₹ Cr)</t>
  </si>
  <si>
    <t xml:space="preserve">Cash above this breaches the liquidity guardrail.</t>
  </si>
  <si>
    <t xml:space="preserve">Year-1 EPS dilution at the Dashboard mix vs ₹7.50</t>
  </si>
  <si>
    <t xml:space="preserve">Case §3.3: a large immediate EPS hit invites buyback-vs-M&amp;A pressure. Board tolerance is a judgement; the Churn sheet shows the churn at which dilution exceeds 30%.</t>
  </si>
  <si>
    <t xml:space="preserve">Year-1 EPS dilution vs the like-for-like standalone-with-MDR baseline</t>
  </si>
  <si>
    <t xml:space="preserve">The honest comparison: the MDR lifts the standalone baseline; the deal must be measured against that.</t>
  </si>
  <si>
    <t xml:space="preserve">E. HYBRID GATES (computed)</t>
  </si>
  <si>
    <t xml:space="preserve">Hybrid passes the ≤ N-year PAT and FCF breakeven gate after exercise? (1 = yes)</t>
  </si>
  <si>
    <t xml:space="preserve">0 → HOLD the minority; 1 → eligible to exercise if consents, capital treatment, valuation cap and compliance gates also clear.</t>
  </si>
  <si>
    <t xml:space="preserve">Hybrid NPV at Dashboard levers (₹ Cr)</t>
  </si>
  <si>
    <t xml:space="preserve">Negative → the option should not be exercised at these parameters; the minority is held or exited.</t>
  </si>
  <si>
    <t xml:space="preserve">Minority-stake NPV at Dashboard levers (₹ Cr)</t>
  </si>
  <si>
    <t xml:space="preserve">The financial cost of the blocking/access position: the premium paid over pro-rata value.</t>
  </si>
  <si>
    <t xml:space="preserve">SYNERGY TREE — every line tested for reality, incrementality, measurability, timing, ownership-dependence and double counting</t>
  </si>
  <si>
    <t xml:space="preserve">Base case credits ZERO synergies (Inputs a_syn_on = 0). The upside quantification below uses the Inputs §G assumptions. The MDR is NOT a synergy and appears nowhere in this tree.</t>
  </si>
  <si>
    <t xml:space="preserve">Synergy line</t>
  </si>
  <si>
    <t xml:space="preserve">Year-3 value (₹ Cr)</t>
  </si>
  <si>
    <t xml:space="preserve">Real?</t>
  </si>
  <si>
    <t xml:space="preserve">Incremental to the deal?</t>
  </si>
  <si>
    <t xml:space="preserve">Needs ownership?</t>
  </si>
  <si>
    <t xml:space="preserve">Measurable?</t>
  </si>
  <si>
    <t xml:space="preserve">Timing</t>
  </si>
  <si>
    <t xml:space="preserve">Evidence / what must be true</t>
  </si>
  <si>
    <t xml:space="preserve">What prevents it</t>
  </si>
  <si>
    <t xml:space="preserve">Double-count risk</t>
  </si>
  <si>
    <t xml:space="preserve">REVENUE — Paytm as anchor client: custody/MPC fees on tokenised-treasury, e₹ and cross-border settlement pilots</t>
  </si>
  <si>
    <t xml:space="preserve">Yes (new revenue to Liminal)</t>
  </si>
  <si>
    <t xml:space="preserve">NO — a commercial agreement delivers it</t>
  </si>
  <si>
    <t xml:space="preserve">Yes (contracted fees)</t>
  </si>
  <si>
    <t xml:space="preserve">Y1–Y3</t>
  </si>
  <si>
    <t xml:space="preserve">Paytm's own settlement volumes; RBI e₹ pilot scope</t>
  </si>
  <si>
    <t xml:space="preserve">Pilot scale stays small; RBI scope; Liminal capacity</t>
  </si>
  <si>
    <t xml:space="preserve">Do not also count in 'strategic value'</t>
  </si>
  <si>
    <t xml:space="preserve">REVENUE — cross-sell to Paytm's merchant/institutional base (treasury, tokenised deposits)</t>
  </si>
  <si>
    <t xml:space="preserve">Plausible</t>
  </si>
  <si>
    <t xml:space="preserve">Partly</t>
  </si>
  <si>
    <t xml:space="preserve">Partly (distribution)</t>
  </si>
  <si>
    <t xml:space="preserve">Weak</t>
  </si>
  <si>
    <t xml:space="preserve">Y2–Y4</t>
  </si>
  <si>
    <t xml:space="preserve">Institutional demand for tokenised settlement in India; product not yet built</t>
  </si>
  <si>
    <t xml:space="preserve">Ring-fence forbids sharing client data; regulation of tokenised assets</t>
  </si>
  <si>
    <t xml:space="preserve">Overlaps with the anchor-client line</t>
  </si>
  <si>
    <t xml:space="preserve">REVENUE — institutional relationships (HDFC, Axis) opening bank distribution to Paytm</t>
  </si>
  <si>
    <t xml:space="preserve">Negative</t>
  </si>
  <si>
    <t xml:space="preserve">—</t>
  </si>
  <si>
    <t xml:space="preserve">The case says these clients LEAVE on ownership</t>
  </si>
  <si>
    <t xml:space="preserve">Case §3.1</t>
  </si>
  <si>
    <t xml:space="preserve">REVENUE — CBDC/e₹ infrastructure role</t>
  </si>
  <si>
    <t xml:space="preserve">Option</t>
  </si>
  <si>
    <t xml:space="preserve">Unclear</t>
  </si>
  <si>
    <t xml:space="preserve">Y3+</t>
  </si>
  <si>
    <t xml:space="preserve">RBI e₹ pilots; no revenue model yet</t>
  </si>
  <si>
    <t xml:space="preserve">RBI designs the rails itself; banks are the pilot participants</t>
  </si>
  <si>
    <t xml:space="preserve">Counted as strategic option value only</t>
  </si>
  <si>
    <t xml:space="preserve">REVENUE — cross-border settlement / stablecoin rails</t>
  </si>
  <si>
    <t xml:space="preserve">Depends on regulation of stablecoins/VDAs in India</t>
  </si>
  <si>
    <t xml:space="preserve">RBI stance on private stablecoins</t>
  </si>
  <si>
    <t xml:space="preserve">Option value only</t>
  </si>
  <si>
    <t xml:space="preserve">COST — shared services (finance, HR, cloud)</t>
  </si>
  <si>
    <t xml:space="preserve">Small</t>
  </si>
  <si>
    <t xml:space="preserve">Y2+</t>
  </si>
  <si>
    <t xml:space="preserve">Set to zero deliberately</t>
  </si>
  <si>
    <t xml:space="preserve">Integration breaches the information barrier that protects the franchise</t>
  </si>
  <si>
    <t xml:space="preserve">CAPITAL — treasury/cash pooling</t>
  </si>
  <si>
    <t xml:space="preserve">Y1</t>
  </si>
  <si>
    <t xml:space="preserve">The reserve requirement is the opposite of a capital synergy</t>
  </si>
  <si>
    <t xml:space="preserve">Case §3.2</t>
  </si>
  <si>
    <t xml:space="preserve">STRATEGIC OPTION VALUE — owning the 'trust layer' for institutional digital-asset settlement</t>
  </si>
  <si>
    <t xml:space="preserve">n/q</t>
  </si>
  <si>
    <t xml:space="preserve">Real but unpriced</t>
  </si>
  <si>
    <t xml:space="preserve">Partly (a minority + call option captures most of it)</t>
  </si>
  <si>
    <t xml:space="preserve">Y3–Y10</t>
  </si>
  <si>
    <t xml:space="preserve">Institutional adoption in India; regulatory clarity</t>
  </si>
  <si>
    <t xml:space="preserve">Regulation; competition (global custodians); franchise damage from ownership</t>
  </si>
  <si>
    <t xml:space="preserve">Do not add to DCF</t>
  </si>
  <si>
    <t xml:space="preserve">UPSIDE QUANTIFICATION — what the credited synergies would be worth, and what the price REQUIRES</t>
  </si>
  <si>
    <t xml:space="preserve">Year-3 synergy revenue credited if switched on (₹ Cr)</t>
  </si>
  <si>
    <t xml:space="preserve">…at the mature margin and after tax = annual synergy PAT/FCF at run-rate (₹ Cr)</t>
  </si>
  <si>
    <t xml:space="preserve">PV of synergies in the Dashboard engine when switched on (₹ Cr) — set Inputs a_syn_on = 1 to see it flow</t>
  </si>
  <si>
    <t xml:space="preserve">Approximate capitalised value of the run-rate synergy at WACC − g (₹ Cr)</t>
  </si>
  <si>
    <t xml:space="preserve">NPV of the full acquisition at Dashboard levers WITHOUT synergies (₹ Cr)</t>
  </si>
  <si>
    <t xml:space="preserve">Annual after-tax synergy needed IN PERPETUITY to bring NPV to zero (₹ Cr/yr)</t>
  </si>
  <si>
    <t xml:space="preserve">…as % of Liminal's current ARR</t>
  </si>
  <si>
    <t xml:space="preserve">…as a multiple of the year-3 synergy revenue credited above</t>
  </si>
  <si>
    <t xml:space="preserve">Reading: if the required perpetual synergy is a large multiple of anything the tree can evidence, the price is not a synergy story. Most of the tree is achievable by contract; ownership adds the churn and the reserve, not the synergies.</t>
  </si>
  <si>
    <t xml:space="preserve">COMPARABLE COMPANIES — EXTERNAL FACTS (sourced, dated). Used for context on what 18x ARR means; NEVER to replace case inputs.</t>
  </si>
  <si>
    <t xml:space="preserve">Orange cells = EXTERNAL FACT with source and date. Multiples are as reported/derived at the stated date. 'n/d' = not disclosed. Comparability notes explain why each peer is or is not a benchmark for Liminal.</t>
  </si>
  <si>
    <t xml:space="preserve">Company (ticker)</t>
  </si>
  <si>
    <t xml:space="preserve">Market cap (US$ bn)</t>
  </si>
  <si>
    <t xml:space="preserve">EV (US$ bn)</t>
  </si>
  <si>
    <t xml:space="preserve">LTM revenue (US$ bn)</t>
  </si>
  <si>
    <t xml:space="preserve">Revenue growth</t>
  </si>
  <si>
    <t xml:space="preserve">EBITDA margin</t>
  </si>
  <si>
    <t xml:space="preserve">EV/Revenue</t>
  </si>
  <si>
    <t xml:space="preserve">EV/EBITDA</t>
  </si>
  <si>
    <t xml:space="preserve">P/E</t>
  </si>
  <si>
    <t xml:space="preserve">Why comparable</t>
  </si>
  <si>
    <t xml:space="preserve">Why not / adjustment</t>
  </si>
  <si>
    <t xml:space="preserve">Source (URL, date)</t>
  </si>
  <si>
    <t xml:space="preserve">Certainty</t>
  </si>
  <si>
    <t xml:space="preserve">BitGo (NYSE: BTGO) — only listed pure-play institutional custodian</t>
  </si>
  <si>
    <t xml:space="preserve">~1.2 (aggregator; co. says no corporate debt)</t>
  </si>
  <si>
    <t xml:space="preserve">Q2'26 net-of-direct-costs $42.5M (S&amp;S $27.5M); gross $4.3B</t>
  </si>
  <si>
    <t xml:space="preserve">Adj. EBITDA −$4.2M (Q2'26)</t>
  </si>
  <si>
    <t xml:space="preserve">5–7x net revenue; 9–11x S&amp;S (derived)</t>
  </si>
  <si>
    <t xml:space="preserve">n/m (negative)</t>
  </si>
  <si>
    <t xml:space="preserve">n/m</t>
  </si>
  <si>
    <t xml:space="preserve">Regulated cold-storage custody, wallets, staking; institutional client base (5,833 clients; $65B on platform); S&amp;S line is the closest analogue to Liminal's ARR</t>
  </si>
  <si>
    <t xml:space="preserve">~40x Liminal's scale; OCC trust-bank charter; revenue mix dominated by gross digital-asset sales; −55% since Jan 2026 IPO → apply a discount, not a premium, for Liminal's scale and concentration</t>
  </si>
  <si>
    <t xml:space="preserve">BitGo Q2 2026 8-K Ex.99.1, 12 Aug 2026 https://www.sec.gov/Archives/edgar/data/0001740604/000174060426000048/btgo-exhibit991_2026xq2.htm ; stockanalysis.com 23 Sep 2026</t>
  </si>
  <si>
    <t xml:space="preserve">High (financials) / Medium (market data)</t>
  </si>
  <si>
    <t xml:space="preserve">Coinbase (COIN)</t>
  </si>
  <si>
    <t xml:space="preserve">Adj. EBITDA ~31% LTM</t>
  </si>
  <si>
    <t xml:space="preserve">~27x adj. EBITDA (derived)</t>
  </si>
  <si>
    <t xml:space="preserve">Largest institutional custodian (Prime/Custody); now live in India with INR rails (31 May 2026); sets sector sentiment</t>
  </si>
  <si>
    <t xml:space="preserve">Retail-exchange economics, USDC float, Base, derivatives; 200x scale</t>
  </si>
  <si>
    <t xml:space="preserve">Coinbase Q2 2026 release 30 Jul 2026; stockanalysis.com 22 Sep 2026</t>
  </si>
  <si>
    <t xml:space="preserve">High / Medium</t>
  </si>
  <si>
    <t xml:space="preserve">Circle (CRCL)</t>
  </si>
  <si>
    <t xml:space="preserve">Adj. EBITDA 20% of total revenue (derived)</t>
  </si>
  <si>
    <t xml:space="preserve">Regulated crypto infrastructure with enterprise distribution; recent IPO</t>
  </si>
  <si>
    <t xml:space="preserve">Stablecoin issuer: revenue is reserve interest, not custody fees</t>
  </si>
  <si>
    <t xml:space="preserve">Circle Q2 2026 results 5 Aug 2026; stockanalysis.com</t>
  </si>
  <si>
    <t xml:space="preserve">Medium</t>
  </si>
  <si>
    <t xml:space="preserve">Gemini (GEMI)</t>
  </si>
  <si>
    <t xml:space="preserve">Loss-making (net loss −$107.7M Q2'26)</t>
  </si>
  <si>
    <t xml:space="preserve">NY-chartered custody business; custodial fee revenue fell to $0.6M on 'institutional custody net outflows'</t>
  </si>
  <si>
    <t xml:space="preserve">Retail exchange + credit card losses; −75% over 52 weeks</t>
  </si>
  <si>
    <t xml:space="preserve">Gemini Q2 2026 release 13 Aug 2026</t>
  </si>
  <si>
    <t xml:space="preserve">Bullish (BLSH)</t>
  </si>
  <si>
    <t xml:space="preserve">Adj. EBITDA ~32%</t>
  </si>
  <si>
    <t xml:space="preserve">17–21x (EV inflated by treasury assets)</t>
  </si>
  <si>
    <t xml:space="preserve">~53x adj.</t>
  </si>
  <si>
    <t xml:space="preserve">Institutional-only exchange with subscription/data revenue (CoinDesk)</t>
  </si>
  <si>
    <t xml:space="preserve">Exchange, not custody; balance-sheet digital assets distort EV — the one crypto comp near 18x, for the wrong reasons</t>
  </si>
  <si>
    <t xml:space="preserve">Bullish Q2 2026 results 13 Aug 2026; stockanalysis.com</t>
  </si>
  <si>
    <t xml:space="preserve">Robinhood (HOOD)</t>
  </si>
  <si>
    <t xml:space="preserve">Adj. EBITDA 57%</t>
  </si>
  <si>
    <t xml:space="preserve">n/d</t>
  </si>
  <si>
    <t xml:space="preserve">Owner of Bitstamp (institutional-heavy) and WonderFi — source of the Bitstamp precedent</t>
  </si>
  <si>
    <t xml:space="preserve">Retail brokerage economics</t>
  </si>
  <si>
    <t xml:space="preserve">Robinhood Q2 2026 release 29 Jul 2026</t>
  </si>
  <si>
    <t xml:space="preserve">Temenos (SIX: TEMN)</t>
  </si>
  <si>
    <t xml:space="preserve">Non-IFRS EBIT margin ~41%</t>
  </si>
  <si>
    <t xml:space="preserve">ARR-based enterprise software sold to banks: the cleanest 'ARR × multiple' benchmark for regulated FI infrastructure</t>
  </si>
  <si>
    <t xml:space="preserve">Scale; core banking, not custody</t>
  </si>
  <si>
    <t xml:space="preserve">Temenos Q2 2026 results 22 Jul 2026; stockanalysis.com (CHF)</t>
  </si>
  <si>
    <t xml:space="preserve">SS&amp;C Technologies (SSNC)</t>
  </si>
  <si>
    <t xml:space="preserve">Adj. EBITDA 39.5%</t>
  </si>
  <si>
    <t xml:space="preserve">Fund administration / custodian software; institutional recurring revenue — what a bank/infra buyer benchmarks against</t>
  </si>
  <si>
    <t xml:space="preserve">100x scale; slow growth; no crypto</t>
  </si>
  <si>
    <t xml:space="preserve">SS&amp;C Q2 2026 results 23 Jul 2026</t>
  </si>
  <si>
    <t xml:space="preserve">Broadridge (BR)</t>
  </si>
  <si>
    <t xml:space="preserve">Adj. operating margin 27%</t>
  </si>
  <si>
    <t xml:space="preserve">Post-trade infrastructure with a tokenisation push; recurring/contracted revenue</t>
  </si>
  <si>
    <t xml:space="preserve">Scale; growth 8%</t>
  </si>
  <si>
    <t xml:space="preserve">Broadridge FY2026 results 4 Aug 2026</t>
  </si>
  <si>
    <t xml:space="preserve">Adyen (AMS: ADYEN)</t>
  </si>
  <si>
    <t xml:space="preserve">EBITDA 49%</t>
  </si>
  <si>
    <t xml:space="preserve">Regulated payments infrastructure growing 20%+ at 49% margins — the ceiling for 'infrastructure quality' multiples</t>
  </si>
  <si>
    <t xml:space="preserve">Payments, not custody; EV nets €12.4B cash</t>
  </si>
  <si>
    <t xml:space="preserve">Adyen H1 2026 results Aug 2026; stockanalysis.com</t>
  </si>
  <si>
    <t xml:space="preserve">Marqeta (MQ)</t>
  </si>
  <si>
    <t xml:space="preserve">Adj. EBITDA 21%</t>
  </si>
  <si>
    <t xml:space="preserve">API infrastructure with a documented single-customer concentration history — a live read on how markets price concentration (Liminal: top-4 = 60%)</t>
  </si>
  <si>
    <t xml:space="preserve">Card issuing, not custody</t>
  </si>
  <si>
    <t xml:space="preserve">Marqeta Q2 2026 8-K 4 Aug 2026; stockanalysis.com</t>
  </si>
  <si>
    <t xml:space="preserve">One97 Communications / Paytm (PAYTM)</t>
  </si>
  <si>
    <t xml:space="preserve">₹1.16 lakh Cr</t>
  </si>
  <si>
    <t xml:space="preserve">₹1.02 lakh Cr</t>
  </si>
  <si>
    <t xml:space="preserve">₹8,967 Cr LTM</t>
  </si>
  <si>
    <t xml:space="preserve">EBITDA ~8% (Q1 FY27)</t>
  </si>
  <si>
    <t xml:space="preserve">The acquirer's own multiple: issuing paper at ~11x sales / ~180x earnings to buy a breakeven asset at 18x ARR</t>
  </si>
  <si>
    <t xml:space="preserve">Consumer platform; not a custody comp</t>
  </si>
  <si>
    <t xml:space="preserve">stockanalysis.com 23 Sep 2026; Paytm Q1 FY27 release 20 Jul 2026</t>
  </si>
  <si>
    <t xml:space="preserve">Zaggle (ZAGGLE) / MobiKwik / AvenuesAI — Indian B2B fintech infra</t>
  </si>
  <si>
    <t xml:space="preserve">₹2,420 / 1,646 / 5,602 Cr</t>
  </si>
  <si>
    <t xml:space="preserve">₹1,999 / 1,129 / 9,516 Cr (gross)</t>
  </si>
  <si>
    <t xml:space="preserve">27% / 4% / 109%</t>
  </si>
  <si>
    <t xml:space="preserve">thin</t>
  </si>
  <si>
    <t xml:space="preserve">0.97x / 0.91x / 0.53x</t>
  </si>
  <si>
    <t xml:space="preserve">18.7x / n/m / 19.1x</t>
  </si>
  <si>
    <t xml:space="preserve">Indian listed B2B fintech infrastructure benchmarks</t>
  </si>
  <si>
    <t xml:space="preserve">Gross-revenue accounting; consumer wallets; different growth profiles</t>
  </si>
  <si>
    <t xml:space="preserve">stockanalysis.com 23 Sep 2026; company Q1 FY27 releases</t>
  </si>
  <si>
    <t xml:space="preserve">Median EV/Revenue of peers with data</t>
  </si>
  <si>
    <t xml:space="preserve">Liminal headline multiple (case) for comparison</t>
  </si>
  <si>
    <t xml:space="preserve">Implied value of Liminal at the peer median EV/Revenue (₹ Cr) — context only</t>
  </si>
  <si>
    <t xml:space="preserve">Reading: the public market prices regulated institutional custody at ~5–11x recurring revenue (BitGo) and FI-infrastructure software at 3–6x sales; 18x ARR is a 2021–22 private-market vintage (Fireblocks $8B at &gt;$100M ARR ≈ 80x in Jan 2022) that has since compressed (BitGo −55% since IPO; Gemini −75%; Copper offers ~$200M vs ~$2B 2022 round).</t>
  </si>
  <si>
    <t xml:space="preserve">Illustrative arithmetic only (peer multiple × case ARR ₹220 Cr): Bitstamp 2.1x → ₹460 Cr; SS&amp;C 4.0x → ₹870 Cr; Temenos 5.8x → ₹1,280 Cr; BitGo 5–11x → ₹1,100–2,460 Cr; Coinbase 8.4x → ₹1,850 Cr; Paytm's own 11.4x → ₹2,500 Cr. Only Bullish (treasury-inflated) and the all-stock Zomato–Blinkit deal reach 18x.</t>
  </si>
  <si>
    <t xml:space="preserve">None of this replaces the case's ₹4,000 Cr: it frames how much of the headline is strategic premium rather than financial value (see Thresholds).</t>
  </si>
  <si>
    <t xml:space="preserve">PRECEDENT TRANSACTIONS — EXTERNAL FACTS (sourced, dated). Context for the 18x ARR price; not case inputs.</t>
  </si>
  <si>
    <t xml:space="preserve">Transaction (acquirer – target)</t>
  </si>
  <si>
    <t xml:space="preserve">Date</t>
  </si>
  <si>
    <t xml:space="preserve">Value (US$ m)</t>
  </si>
  <si>
    <t xml:space="preserve">Target revenue/ARR (US$ m)</t>
  </si>
  <si>
    <t xml:space="preserve">Implied multiple</t>
  </si>
  <si>
    <t xml:space="preserve">Rationale / target profile</t>
  </si>
  <si>
    <t xml:space="preserve">Buyer type / regulatory notes</t>
  </si>
  <si>
    <t xml:space="preserve">Comparability to Liminal</t>
  </si>
  <si>
    <t xml:space="preserve">Ripple – Metaco (Swiss institutional custody &amp; tokenisation tech)</t>
  </si>
  <si>
    <t xml:space="preserve">17 May 2023</t>
  </si>
  <si>
    <t xml:space="preserve">Bank-grade custody/tokenisation tech; clients BNP Paribas SS, SocGen Forge, Citi, DBS; diversify outside US</t>
  </si>
  <si>
    <t xml:space="preserve">Strategic (crypto-native); Swiss target</t>
  </si>
  <si>
    <t xml:space="preserve">Closest business analogue (custody tech for banks) — and a $250M price for a bank-client roster; value undisclosed relative to revenue</t>
  </si>
  <si>
    <t xml:space="preserve">https://ripple.com/ripple-press/leading-enterprise-crypto-company-ripple-acquires-custody-provider-metaco-for-250m/ (17 May 2023)</t>
  </si>
  <si>
    <t xml:space="preserve">Robinhood – Bitstamp (licensed institutional-heavy exchange, 50+ licences)</t>
  </si>
  <si>
    <t xml:space="preserve">Ann. 6 Jun 2024; closed 2 Jun 2025</t>
  </si>
  <si>
    <t xml:space="preserve">Global licences, institutional client base, crypto-as-a-service; guided adj. EBITDA-neutral at close</t>
  </si>
  <si>
    <t xml:space="preserve">Strategic (listed)</t>
  </si>
  <si>
    <t xml:space="preserve">The only custody/exchange precedent with both price and revenue public: regulated, institutional, ~breakeven → ~2.1x net revenue</t>
  </si>
  <si>
    <t xml:space="preserve">Robinhood investor document https://investors.robinhood.com/static-files/4183f04d-6658-438d-9045-64ffa8e7402d ; CoinDesk 3 Jun 2025</t>
  </si>
  <si>
    <t xml:space="preserve">Ripple – Palisade (European MPC wallet &amp; custody tech)</t>
  </si>
  <si>
    <t xml:space="preserve">3 Nov 2025</t>
  </si>
  <si>
    <t xml:space="preserve">Fast wallet provisioning; extend Ripple Custody to fintechs/corporates</t>
  </si>
  <si>
    <t xml:space="preserve">Strategic</t>
  </si>
  <si>
    <t xml:space="preserve">Closest technology analogue to an MPC custody target — terms undisclosed (typical for small tech/team deals)</t>
  </si>
  <si>
    <t xml:space="preserve">https://ripple.com/ripple-press/ripple-acquires-palisade-to-offer-comprehensive-digital-asset-custody-solution/ (3 Nov 2025)</t>
  </si>
  <si>
    <t xml:space="preserve">High (undisclosed)</t>
  </si>
  <si>
    <t xml:space="preserve">Standard Chartered – Zodia Custody (custody business)</t>
  </si>
  <si>
    <t xml:space="preserve">Offer accepted May 2026; completion targeted end-Aug 2026</t>
  </si>
  <si>
    <t xml:space="preserve">n/d (Zodia raised $36M in 2023)</t>
  </si>
  <si>
    <t xml:space="preserve">Bank consolidates digital-asset custody in-house; software arm spun out as Zodia Solutions</t>
  </si>
  <si>
    <t xml:space="preserve">Strategic (global bank)</t>
  </si>
  <si>
    <t xml:space="preserve">Shows the bank-owned custodian model and that custody-tech businesses change hands at undisclosed (small) prices in 2026</t>
  </si>
  <si>
    <t xml:space="preserve">https://www.sc.com/en/press-release/standard-chartered-to-acquire-zodia-custodys-custody-business/ (18 May 2026); CoinDesk 3 Jun 2026</t>
  </si>
  <si>
    <t xml:space="preserve">Copper (institutional custody + ClearLoop) — sale process</t>
  </si>
  <si>
    <t xml:space="preserve">May–Aug 2026</t>
  </si>
  <si>
    <t xml:space="preserve">Ask ~$500M; offers ~$200M</t>
  </si>
  <si>
    <t xml:space="preserve">Custodian once valued ~$2B (Oct 2022 round) seeking a buyer</t>
  </si>
  <si>
    <t xml:space="preserve">Unnamed</t>
  </si>
  <si>
    <t xml:space="preserve">Live price discovery for a scaled custodian in 2026: offers at ~10% of the 2022 valuation</t>
  </si>
  <si>
    <t xml:space="preserve">CoinDesk 20 May 2026 and 25 Aug 2026 https://www.coindesk.com/business/2026/08/25/crypto-custody-firm-copper-has-potential-buyers-but-offers-are-way-below-its-usd500-million-asking-price</t>
  </si>
  <si>
    <t xml:space="preserve">Mastercard – BVNK (stablecoin payments infrastructure)</t>
  </si>
  <si>
    <t xml:space="preserve">Ann. 17 Mar 2026; completed 3 Aug 2026</t>
  </si>
  <si>
    <t xml:space="preserve">up to 1,800 (incl. $300M contingent)</t>
  </si>
  <si>
    <t xml:space="preserve">Licensed fiat–stablecoin rails; faster than building</t>
  </si>
  <si>
    <t xml:space="preserve">Strategic (payments network, listed)</t>
  </si>
  <si>
    <t xml:space="preserve">Shows Mastercard's appetite and its use of contingent consideration (~17% of price) — relevant to the counter-bid and to earn-out design</t>
  </si>
  <si>
    <t xml:space="preserve">Mastercard IR 17 Mar 2026 / 3 Aug 2026; CNBC 17 Mar 2026</t>
  </si>
  <si>
    <t xml:space="preserve">Mastercard – Zerohash (talks, not consummated)</t>
  </si>
  <si>
    <t xml:space="preserve">Oct 2025 – May 2026</t>
  </si>
  <si>
    <t xml:space="preserve">reported 1,500–2,000 (never signed)</t>
  </si>
  <si>
    <t xml:space="preserve">Stablecoin infrastructure; target chose independence</t>
  </si>
  <si>
    <t xml:space="preserve">Mastercard walked away twice (takeover, then minority) — it bids, but with discipline</t>
  </si>
  <si>
    <t xml:space="preserve">Fortune 29 Oct 2025; CoinDesk 16 Jan 2026 and 19 May 2026</t>
  </si>
  <si>
    <t xml:space="preserve">Stripe – Bridge (stablecoin orchestration)</t>
  </si>
  <si>
    <t xml:space="preserve">Ann. Oct 2024; closed 4 Feb 2025</t>
  </si>
  <si>
    <t xml:space="preserve">n/d (third-party chatter ~$10–15M; not used)</t>
  </si>
  <si>
    <t xml:space="preserve">Stablecoin rails; 'grew &gt;10x in the year'</t>
  </si>
  <si>
    <t xml:space="preserve">Strategic (private payments)</t>
  </si>
  <si>
    <t xml:space="preserve">Licence-scarcity/hyper-growth premium — revenue undisclosed, so no multiple can be asserted</t>
  </si>
  <si>
    <t xml:space="preserve">CNBC 4 Feb 2025</t>
  </si>
  <si>
    <t xml:space="preserve">High (price) / Low (revenue)</t>
  </si>
  <si>
    <t xml:space="preserve">Coinbase – Deribit (options exchange)</t>
  </si>
  <si>
    <t xml:space="preserve">Ann. 8 May 2025; closed 14 Aug 2025</t>
  </si>
  <si>
    <t xml:space="preserve">Derivatives leadership; $700M cash + 11M COIN shares; 'immediately accretive to adj. EBITDA'</t>
  </si>
  <si>
    <t xml:space="preserve">Equity-heavy consideration for a profitable volume platform — the opposite profile to Liminal</t>
  </si>
  <si>
    <t xml:space="preserve">Coinbase blog 8 May 2025; The Block 14 Aug 2025</t>
  </si>
  <si>
    <t xml:space="preserve">Ripple – Hidden Road (prime broker) / GTreasury / Rail</t>
  </si>
  <si>
    <t xml:space="preserve">Apr, Oct, Aug 2025</t>
  </si>
  <si>
    <t xml:space="preserve">1,250 / 1,000 / 200</t>
  </si>
  <si>
    <t xml:space="preserve">Prime brokerage, corporate treasury distribution, stablecoin B2B payments</t>
  </si>
  <si>
    <t xml:space="preserve">Large tickets with undisclosed revenue; not custody</t>
  </si>
  <si>
    <t xml:space="preserve">Ripple press releases 8 Apr, 16 Oct, 7 Aug 2025</t>
  </si>
  <si>
    <t xml:space="preserve">Fireblocks – Dynamic / TRES Finance</t>
  </si>
  <si>
    <t xml:space="preserve">Oct 2025 / Jan 2026</t>
  </si>
  <si>
    <t xml:space="preserve">~90 / ~130 (press; undisclosed by company)</t>
  </si>
  <si>
    <t xml:space="preserve">Wallet-infra and digital-asset accounting tuck-ins by the custody-tech leader</t>
  </si>
  <si>
    <t xml:space="preserve">Strategic (private)</t>
  </si>
  <si>
    <t xml:space="preserve">Custody-tech leader buys capabilities at $90–130M — the size of tech tuck-ins in this space</t>
  </si>
  <si>
    <t xml:space="preserve">Fortune 7 Jan 2026; Calcalist Oct 2025</t>
  </si>
  <si>
    <t xml:space="preserve">Zomato – Paytm Insider (entertainment ticketing)</t>
  </si>
  <si>
    <t xml:space="preserve">21 Aug 2024</t>
  </si>
  <si>
    <t xml:space="preserve">₹2,048 Cr (all cash)</t>
  </si>
  <si>
    <t xml:space="preserve">in Zomato shareholder letter (not retrieved)</t>
  </si>
  <si>
    <t xml:space="preserve">Paytm sold a non-core asset for cash</t>
  </si>
  <si>
    <t xml:space="preserve">Strategic (listed consumer platform)</t>
  </si>
  <si>
    <t xml:space="preserve">Paytm's largest ever transaction was a SALE, not a purchase — relevant to capability/culture for a ₹4,000 Cr acquisition</t>
  </si>
  <si>
    <t xml:space="preserve">Business Today 22 Aug 2024; Paytm Q2 FY25 release</t>
  </si>
  <si>
    <t xml:space="preserve">Zomato – Blinkit (quick commerce)</t>
  </si>
  <si>
    <t xml:space="preserve">24 Jun 2022</t>
  </si>
  <si>
    <t xml:space="preserve">₹4,447 Cr (all stock)</t>
  </si>
  <si>
    <t xml:space="preserve">₹236 Cr FY22</t>
  </si>
  <si>
    <t xml:space="preserve">Hyper-growth consumer adjacency, paid in richly valued paper</t>
  </si>
  <si>
    <t xml:space="preserve">The only Indian precedent near 18x revenue: all-stock, consumer, hyper-growth — not a cash purchase of breakeven B2B infrastructure</t>
  </si>
  <si>
    <t xml:space="preserve">Mint 24 Jun 2022 https://www.livemint.com/companies/news/zomato-to-acquire-blinkit-for-4-447-crore-in-all-stock-deal-11656093457147.html</t>
  </si>
  <si>
    <t xml:space="preserve">PhonePe – ZestMoney (aborted) / WealthDesk &amp; OpenQ</t>
  </si>
  <si>
    <t xml:space="preserve">Mar 2023 / May 2022</t>
  </si>
  <si>
    <t xml:space="preserve">aborted / ~$75M</t>
  </si>
  <si>
    <t xml:space="preserve">PhonePe's M&amp;A record: small wealth-tech buys; BNPL deal abandoned after diligence</t>
  </si>
  <si>
    <t xml:space="preserve">Strategic (Walmart-backed)</t>
  </si>
  <si>
    <t xml:space="preserve">Counter-bidder's record: no acquisition since 2022; disciplined walk-away</t>
  </si>
  <si>
    <t xml:space="preserve">Business Standard 30 Mar 2023; Bloomberg 17 May 2022</t>
  </si>
  <si>
    <t xml:space="preserve">High/Medium</t>
  </si>
  <si>
    <t xml:space="preserve">Groww – Fisdom / Razorpay – Ezetap / Pine Labs – Setu</t>
  </si>
  <si>
    <t xml:space="preserve">2025 / 2022 / 2022</t>
  </si>
  <si>
    <t xml:space="preserve">~$150M / $150–200M / $70–75M</t>
  </si>
  <si>
    <t xml:space="preserve">Indian fintech infrastructure and wealth-tech tuck-ins</t>
  </si>
  <si>
    <t xml:space="preserve">The size band of Indian fintech infrastructure deals: ₹600–1,700 Cr; no Indian fintech has paid ₹4,000 Cr in cash for a B2B infrastructure asset</t>
  </si>
  <si>
    <t xml:space="preserve">TOI 2025; TOI Aug 2022; Moneycontrol Jun 2022</t>
  </si>
  <si>
    <t xml:space="preserve">No 2025–26 custody-technology transaction with a disclosed price above $250M (Ripple–Metaco, 2023) was found; large tickets cluster in stablecoin rails and volume platforms with undisclosed revenue.</t>
  </si>
  <si>
    <t xml:space="preserve">Contingent consideration is standard where value is uncertain (Mastercard–BVNK: ~17% contingent; Coinbase–Deribit and Zomato–Blinkit: equity-heavy). A 60% top-4 concentration is normally priced through structure, not through the headline.</t>
  </si>
  <si>
    <t xml:space="preserve">Comparability limit: none of these targets carries an owner-specific regulatory capital charge like the case's ₹750 Cr; the drag is a case construct that has no analogue in MiCA (€125k), VARA (AED 600k / 25% of overheads), MAS (S$250k) or ADGM (6 months' opex) custodian capital rules.</t>
  </si>
  <si>
    <t xml:space="preserve">REGULATORY &amp; LEGAL CONTEXT — EXTERNAL FACTS (sourced, dated) mapped to approval type. The case's constructed assumptions (e.g., the ₹750 Cr reserve) are NOT overridden by these facts.</t>
  </si>
  <si>
    <t xml:space="preserve">Item</t>
  </si>
  <si>
    <t xml:space="preserve">What it says</t>
  </si>
  <si>
    <t xml:space="preserve">Relevance to this deal</t>
  </si>
  <si>
    <t xml:space="preserve">Approval type (CP / CS / sequencing / diligence)</t>
  </si>
  <si>
    <t xml:space="preserve">RBI Payment Aggregator Directions 2025 (Master Direction, 15 Sep 2025)</t>
  </si>
  <si>
    <t xml:space="preserve">Consolidates PA-O/PA-P/PA-CB; net worth ₹15 Cr → ₹25 Cr; fit-and-proper for promoters/directors; prior RBI approval only for takeover/acquisition of control OF the PA (4 Jul 2022 circular) and sale/transfer of payment activity; no provision requiring RBI approval for a PA or its parent to invest in another company; no mention of VDA/crypto</t>
  </si>
  <si>
    <t xml:space="preserve">RBI/DPSS/2025-26/141 https://www.rbi.org.in/Scripts/BS_ViewMasDirections.aspx?id=12896 (15 Sep 2025); RBI circular 4 Jul 2022 https://www.rbi.org.in/Scripts/NotificationUser.aspx?Id=12348</t>
  </si>
  <si>
    <t xml:space="preserve">No licence-consent item for OCL buying Liminal; PPSL's control unchanged. Check PPSL's CoA No. 258/2025 conditions (Nov/Dec 2025) for bespoke undertakings. Hold the stake at OCL or an SPV, never inside PPSL.</t>
  </si>
  <si>
    <t xml:space="preserve">Diligence (CoA conditions); intimation = CS</t>
  </si>
  <si>
    <t xml:space="preserve">RBI position on crypto: Parliamentary testimony 2 Jul 2026; FSR Dec 2025; Governor speeches 2025-26</t>
  </si>
  <si>
    <t xml:space="preserve">'Containment': prohibition remains a policy option; banks and regulated financial institutions should be insulated from crypto and private stablecoins; crypto barred from payments/settlement; carve-out for tokenised G-secs/corporate bonds; Reuters 8 Jul 2026: RBI formally backed a ban</t>
  </si>
  <si>
    <t xml:space="preserve">RBI FSR Dec 2025 https://www.rbi.org.in/Scripts/PublicationReportDetails.aspx?UrlPage=&amp;ID=1308 ; ET/Business Today 2–3 Jul 2026; Reuters 8 Jul 2026 (via The Crypto Times 12 Jul 2026)</t>
  </si>
  <si>
    <t xml:space="preserve">The biggest non-legal risk: OCL/PPSL are RBI-regulated; RBI has asked lawmakers to keep regulated entities out of private crypto. Expect supervisory probing of ring-fencing; PPSL is &lt;12 months into its CoA; PPBL licence cancelled 24 Apr 2026. Engage DPSS before announcement; position Liminal as tokenisation/CBDC key-management, not crypto custody.</t>
  </si>
  <si>
    <t xml:space="preserve">Sequencing (supervisory engagement before signing)</t>
  </si>
  <si>
    <t xml:space="preserve">Case §3.2 'bank-like capital reserves' vs real custodian capital rules</t>
  </si>
  <si>
    <t xml:space="preserve">MiCA Art 67: Class 2 custodian €125k or ¼ fixed overheads; VARA: AED 600k or 25% of overheads; MAS MPI base capital S$250k; ADGM 3C: US$250k or 6 months' opex; Basel SCO60 (in force 1 Jan 2026): 1250% risk weight applies to a BANK's own Group 2 crypto exposures, not to client assets in custody (operational-risk capital only); RBI adoption of SCO60 NOT FOUND</t>
  </si>
  <si>
    <t xml:space="preserve">ESMA MiCA rulebook; VARA rulebook Part VI.B; MAS licensing page; ADGM FSRA VA guidance 2025; BIS SCO60 https://www.bis.org/committees/bcbs/basel-framework/standard/sco/60/inforce/2026-01-01/published/2024-11-27</t>
  </si>
  <si>
    <t xml:space="preserve">No non-bank custodian regime anywhere levies capital at the scale of ₹750 Cr/yr; the case's drag is owner-specific (Paytm as an RBI-regulated PA consolidating custody). Not overridden — used to interpret it: avoidable by structure (no consolidation), and unlikely to bind a foreign or bank-licensed buyer in the same way.</t>
  </si>
  <si>
    <t xml:space="preserve">Interpretation; diligence (written RBI treatment is a CP)</t>
  </si>
  <si>
    <t xml:space="preserve">High (rules) / Inference (application)</t>
  </si>
  <si>
    <t xml:space="preserve">FEMA Overseas Investment Rules 2022 — ODI into 'financial services' needs 3 years of net profits</t>
  </si>
  <si>
    <t xml:space="preserve">Schedule I para 2: an Indian entity may make ODI into a foreign financial-services entity only if it has posted net profits in the preceding three financial years; 'financial services' = activity that would require registration with / regulation by an Indian financial-sector regulator</t>
  </si>
  <si>
    <t xml:space="preserve">FEM (OI) Rules 2022, 22 Aug 2022; RBI Master Direction on OI (24 Jul 2024) https://m.rbi.org.in/scripts/NotificationUser.aspx?Id=12710&amp;fn=5&amp;Mode=0</t>
  </si>
  <si>
    <t xml:space="preserve">OCL had losses in FY24 and FY25 and its first profit in FY26 → fails the test until FY28 accounts if Liminal (Singapore parent) is 'financial services'. Whether FIU-IND registration counts is an open question. Options: RBI approval route; invest via a group entity that passes; or invest into the Indian entity. This is a binding structural gate the case does not mention.</t>
  </si>
  <si>
    <t xml:space="preserve">CP (structural)</t>
  </si>
  <si>
    <t xml:space="preserve">High (rule) / Medium (application)</t>
  </si>
  <si>
    <t xml:space="preserve">CCI merger control — deal-value threshold and minority exemptions (effective 10 Sep 2024)</t>
  </si>
  <si>
    <t xml:space="preserve">Deal-value threshold ₹2,000 Cr with substantial business operations in India; de minimis target exemption (India assets ≤ ₹450 Cr or turnover ≤ ₹1,250 Cr); minority exemption only &lt;25% without control; veto rights = control ('material influence'); Phase I 30 calendar days, outer limit 150 days; gun-jumping penalty up to 1% of global assets/turnover</t>
  </si>
  <si>
    <t xml:space="preserve">Competition (Amendment) Act 2023 and 2024 Regulations; Cyril Amarchand alert 12 Sep 2024 https://www.cyrilshroff.com/wp-content/uploads/2024/09/Client-Alert-Demystifying-the-revised-merger-exemptions.pdf</t>
  </si>
  <si>
    <t xml:space="preserve">Full ₹4,000 Cr acquisition: above the DVT → notifiable if Liminal has SBO in India. 26% with veto: outside the minority exemption; notifiable only if thresholds met and de minimis unavailable — likely exempt on Liminal's size, but document the analysis.</t>
  </si>
  <si>
    <t xml:space="preserve">CP (if notifiable); standstill</t>
  </si>
  <si>
    <t xml:space="preserve">Overseas regulators' change-of-controller consents (ADGM FSRA; VARA; MAS)</t>
  </si>
  <si>
    <t xml:space="preserve">FSRA requires prior approval for a person becoming a 'controller' (thresholds from 10%); VARA approval/notification for controlling-ownership changes; MAS approval for ≥20% substantial shareholders of a licensee. Liminal's actual status: ADGM FSP withdrawn Mar 2025 (register); UAE arm rebranded 'Chainberg' with VARA in-principle approval (May 2026); Singapore entity Answer Eleven on MAS 'no longer exempt' list</t>
  </si>
  <si>
    <t xml:space="preserve">ADGM FSRA register entry 220125 (retrieved 23 Sep 2026); LARA on the Block 17 May 2026; MAS list https://www.mas.gov.sg/regulation/payments/entities-that-are-no-longer-exempt-pursuant-to-the-ps-amend-act-21-stpr</t>
  </si>
  <si>
    <t xml:space="preserve">Case constructs Liminal as ISO 27001/SOC 2 certified with bank clients; the real-world regulatory perimeter has narrowed since 2024. First-order diligence: which entities are licensed today, and which consents a 26% or 100% buyer triggers.</t>
  </si>
  <si>
    <t xml:space="preserve">CP (where licensed) / red flag (where not)</t>
  </si>
  <si>
    <t xml:space="preserve">High (register) / Medium</t>
  </si>
  <si>
    <t xml:space="preserve">PMLA notification 7 Mar 2023 — VDA custody is a reporting activity; FIU-IND registration</t>
  </si>
  <si>
    <t xml:space="preserve">'Safekeeping or administration of virtual digital assets or instruments enabling control over virtual digital assets' is a notified activity; providers are reporting entities; FIU-IND registration (Liminal's Indian entity registered May 2024); enforcement against Binance (₹18.82 Cr) and Bybit (₹9.27 Cr); Jan 2026 update adds CERT-In cyber audits and travel-rule norms</t>
  </si>
  <si>
    <t xml:space="preserve">Gazette S.O. 1072(E) 7 Mar 2023 https://egazette.gov.in/WriteReadData/2023/244184.pdf ; PIB 31 Jan 2025 https://www.pib.gov.in/PressReleaseIframePage.aspx?PRID=2098153</t>
  </si>
  <si>
    <t xml:space="preserve">AML/CFT is the only Indian regime that applies to custody today; confirm registration covers every entity serving Indian clients (offshore entities need registration too).</t>
  </si>
  <si>
    <t xml:space="preserve">CS (registration/compliance at closing)</t>
  </si>
  <si>
    <t xml:space="preserve">VDA custody is otherwise unregulated in India; discussion paper shelved; Parliamentary panel pending</t>
  </si>
  <si>
    <t xml:space="preserve">MoF to Parliament (36th Report, 23 Jul 2026): VDAs 'presently unregulated in India, except for the limited purposes of taxation, prevention of money laundering and reporting'; DEA discussion paper shelved (Apr 2026); panel chair 16 Sep 2026: government 'does not want to regulate it'; possible SRO/SEBI/RBI framework, timing unknown</t>
  </si>
  <si>
    <t xml:space="preserve">Lok Sabha Finance Committee 36th Report https://sansad.in/getFile/app/lsscommittee/Finance/18_Finance_36.pdf ; The Crypto Times 16 Sep 2026</t>
  </si>
  <si>
    <t xml:space="preserve">No licensing moat for Liminal in India and no near-term Indian capital rule; a future regime (licensing, capital, ring-fencing from banks) is a scenario risk — the case's drag is one such scenario.</t>
  </si>
  <si>
    <t xml:space="preserve">None; scenario</t>
  </si>
  <si>
    <t xml:space="preserve">UPI MDR — enabling Act (Aug 2026) and NPCI circular (15 Sep 2026)</t>
  </si>
  <si>
    <t xml:space="preserve">Taxation and Other Laws (Amendment) Act 2026 delinked s.10A PSS Act; NPCI circular OC-237: 0.4% MDR on P2M UPI &gt; ₹2,000, capped ₹300, effective 15 Oct 2026; small merchants (≤ ₹1 lakh/month) exempt; essential categories ₹5 flat; capital-market payments 0.02%; RBI publicly backed it; Supreme Court PIL filed 16 Sep 2026; Paytm's Reg 30 filing says MDR 'will generate additional revenue' but gives no number</t>
  </si>
  <si>
    <t xml:space="preserve">Reuters 15 Sep 2026 https://www.reuters.com/world/india/india-payments-authority-sets-04-fee-upi-merchant-payments-above-2000-rupees-2026-09-15/ ; PIB PRID 2310586; Paytm BSE filing 15 Sep 2026</t>
  </si>
  <si>
    <t xml:space="preserve">Confirms the case's framework and date. The ₹115 Cr/yr is the case's modelling input (not a company figure). Risks: Paytm's share of the 0.4% (issuer/acquirer/TPAP split), exemptions, rollback by notification, the PIL. It accrues to Paytm regardless of Liminal → not a deal synergy.</t>
  </si>
  <si>
    <t xml:space="preserve">None (policy risk)</t>
  </si>
  <si>
    <t xml:space="preserve">High (framework) / Medium (Paytm share)</t>
  </si>
  <si>
    <t xml:space="preserve">Companies Act s.186 / s.114; SEBI LODR Reg 30; ICDR preferential issue</t>
  </si>
  <si>
    <t xml:space="preserve">s.186: investments beyond 60% of paid-up capital + free reserves (or 100% of free reserves) need a special resolution and a unanimous board; s.114: special resolutions need 75% → a &gt;25% holder blocks; LODR Reg 30: acquisitions disclosed within 30 minutes/12–24 hours incl. SHA terms; ICDR Reg 164: preferential-issue floor = higher of 90-day and 10-day VWAP; special resolution; lock-in</t>
  </si>
  <si>
    <t xml:space="preserve">Companies Act 2013; SEBI LODR (amended 2023); SEBI ICDR 2018 (amended 2024)</t>
  </si>
  <si>
    <t xml:space="preserve">Explains why 26% is 'negative control'; a ₹1,900 Cr share-settled leg needs an EGM/postal ballot (~4–6 weeks) and locks the issue price near market → cash is cleaner; disclosure at signing means RBI reads the filing — sequence the engagement first.</t>
  </si>
  <si>
    <t xml:space="preserve">Sequencing</t>
  </si>
  <si>
    <t xml:space="preserve">Data, cyber and AML obligations that bind Liminal India</t>
  </si>
  <si>
    <t xml:space="preserve">DPDP Act 2023 / Rules notified 14 Nov 2025 (full obligations 14 May 2027; penalties up to ₹250 Cr); RBI payment-data localisation (6 Apr 2018); CERT-In Directions 28 Apr 2022 (6-hour incident reporting; custodian wallet providers keep KYC/transaction records 5 years); RBI cyber-resilience MD for non-bank PSOs (30 Jul 2024)</t>
  </si>
  <si>
    <t xml:space="preserve">PIB DPDP explainer Nov 2025; RBI circular 6 Apr 2018; CERT-In Directions https://www.cert-in.org.in/PDF/CERT-In_Directions_70B_28.04.2022.pdf</t>
  </si>
  <si>
    <t xml:space="preserve">Compliance stack for the ring-fence: independent CISO/CCO, segregated data and keys, India-resident payment data if Liminal ever touches PPSL's stack.</t>
  </si>
  <si>
    <t xml:space="preserve">CS</t>
  </si>
  <si>
    <t xml:space="preserve">WazirX hack (18 Jul 2024, ~US$234.9M) — Liminal-managed multisig</t>
  </si>
  <si>
    <t xml:space="preserve">Funds drained from a WazirX Gnosis Safe multisig under a Liminal self-custody arrangement (5 WazirX + 1 Liminal signers); WazirX/Mandiant pointed at Liminal's environment; Grant Thornton (for Liminal) found no compromise of Liminal infrastructure; Delhi Police chargesheet (Nov 2024) criticised log provision; WazirX terminated Liminal (Aug 2024) and moved to BitGo/Zodia; Supreme Court dismissed victims' petition (16 Apr 2025); attributed to Lazarus Group; root cause publicly unresolved</t>
  </si>
  <si>
    <t xml:space="preserve">CoinDesk 14 Aug 2024 https://www.coindesk.com/business/2024/08/14/wazirx-ends-custody-relationship-with-liminal-is-moving-funds-to-new-multisig-wallets ; Inc42 9 Sep 2024; YourStory Nov 2024; CrowdfundInsider 20 Apr 2025</t>
  </si>
  <si>
    <t xml:space="preserve">Real-world reputational, litigation and cyber diligence item on the target; the case does not mention it. Reps/warranties, indemnity escrow, independent security assessment and insurance are minimum protections. Also a concrete mechanism for why institutional clients are sensitive to who controls their custodian.</t>
  </si>
  <si>
    <t xml:space="preserve">Diligence; indemnity/escrow</t>
  </si>
  <si>
    <t xml:space="preserve">RBI-led tokenisation stack: UMI, tokenised CDs (8 Oct 2025), 'Demat 2.0' tokenised corporate bonds (10 Sep 2026), NPCI Drunix (17 Jun 2026); e₹ pilots with HDFC Bank and Axis Bank</t>
  </si>
  <si>
    <t xml:space="preserve">RBI's Unified Markets Interface settles tokenised financial assets in wholesale CBDC; SEBI/RBI 'Demat 2.0' pilot with CDSL, NSDL, exchanges, NPCI, SBI, Axis Bank; NPCI's open-source DLT; e₹-R in circulation ₹771.66 Cr at 31 Mar 2026; cross-border CBDC pilots planned 2026-27</t>
  </si>
  <si>
    <t xml:space="preserve">Business Standard 7 Oct 2025 and 29 May 2026; Indian Express 11 Sep 2026; Business Standard 17 Jun 2026</t>
  </si>
  <si>
    <t xml:space="preserve">The regulator builds the tokenisation and CBDC rails itself and banks are the pilot participants: a private MPC custodian's role in e₹/tokenised-deposit settlement is unproven. This caps the 'CBDC infrastructure' synergy and the hidden-value thesis; the plausible role is key-management/custody technology supplied to banks under RBI outsourcing rules.</t>
  </si>
  <si>
    <t xml:space="preserve">None; strategic assessment</t>
  </si>
  <si>
    <t xml:space="preserve">Paytm group supervisory history</t>
  </si>
  <si>
    <t xml:space="preserve">RBI restricted Paytm Payments Bank (31 Jan 2024) and cancelled its licence (24 Apr 2026); PPSL received PA authorisation 26 Nov 2025 (online) and 17 Dec 2025 (offline, cross-border); PPBL stopped banking crypto exchanges in May 2021; RBI told Parliament (Jul 2026) regulated entities should be insulated from crypto</t>
  </si>
  <si>
    <t xml:space="preserve">RBI press releases prid=57224 (31 Jan 2024), prid=62621 (24 Apr 2026); Paytm Reg 30 26 Nov 2025; Inc42/The Paypers May 2021</t>
  </si>
  <si>
    <t xml:space="preserve">Paytm enters this deal with the least supervisory goodwill of any Indian payments group and a new PA licence under close watch; a crypto-custody acquisition lands in that window. The case's constructed 'bank-like reserves' is a plausible expression of exactly this risk.</t>
  </si>
  <si>
    <t xml:space="preserve">Sequencing / supervisory risk</t>
  </si>
  <si>
    <t xml:space="preserve">Counter-bidder reality check: PhonePe and Mastercard</t>
  </si>
  <si>
    <t xml:space="preserve">No public record of any PhonePe–Mastercard consortium or custody interest (only a device-tokenisation partnership, 7 Oct 2025). PhonePe FY26 net loss ₹2,792 Cr; IPO paused 16 Mar 2026; no acquisitions since 2022; co-founders explained 'why PhonePe stayed away from cryptocurrency' (Jun 2025). Mastercard: $11.3B cash (30 Jun 2026); BVNK up to $1.8B; walked away from Zerohash; no India digital-asset action</t>
  </si>
  <si>
    <t xml:space="preserve">PhonePe press 7 Oct 2025; Entrackr 26 Jul 2026; TechCrunch 16 Mar 2026; Mastercard 10-Q 30 Jun 2026; CoinDesk 19 May 2026</t>
  </si>
  <si>
    <t xml:space="preserve">The consortium is a case construct. Externally, Mastercard has the money and appetite but no India custody thesis; PhonePe has neither cash nor crypto appetite. Mastercard, as a foreign non-RBI-regulated owner, would not trigger the case's Paytm-specific reserve — so its walk-away price could exceed Paytm's, which is a reason for price discipline, not for matching.</t>
  </si>
  <si>
    <t xml:space="preserve">None; competitive assessment</t>
  </si>
  <si>
    <t xml:space="preserve">SOURCES — every external fact used in this workbook and the accompanying analysis</t>
  </si>
  <si>
    <t xml:space="preserve">#</t>
  </si>
  <si>
    <t xml:space="preserve">Source</t>
  </si>
  <si>
    <t xml:space="preserve">URL</t>
  </si>
  <si>
    <t xml:space="preserve">Case document: Project Satoshi Gate — Problem Statement: Round 1 Case Deck Submission (5 pp.)</t>
  </si>
  <si>
    <t xml:space="preserve">uploaded PDF</t>
  </si>
  <si>
    <t xml:space="preserve">Sep 2026</t>
  </si>
  <si>
    <t xml:space="preserve">Addendum 1: Modeling Inputs and Clarifications (1 p.)</t>
  </si>
  <si>
    <t xml:space="preserve">Paytm Q1 FY27 Earnings Release</t>
  </si>
  <si>
    <t xml:space="preserve">https://paytm.com/document/ir/financial-results/Paytm_Earning-Release_Q1-FY-2027.pdf</t>
  </si>
  <si>
    <t xml:space="preserve">20 Jul 2026</t>
  </si>
  <si>
    <t xml:space="preserve">Paytm Q4 FY26 Earnings Release</t>
  </si>
  <si>
    <t xml:space="preserve">https://paytm.com/document/ir/financial-results/fy2025-26/Paytm_Earning-Release-Q4-FY-2026.pdf</t>
  </si>
  <si>
    <t xml:space="preserve">6 May 2026</t>
  </si>
  <si>
    <t xml:space="preserve">Paytm Q4 FY26 earnings call transcript</t>
  </si>
  <si>
    <t xml:space="preserve">https://paytm.com/document/ir/financial-results/fy2025-26/Earnings-Call-Transcript_Q4-FY-2026.docx</t>
  </si>
  <si>
    <t xml:space="preserve">7 May 2026</t>
  </si>
  <si>
    <t xml:space="preserve">Paytm Q1 FY27 earnings call transcript (BSE filing)</t>
  </si>
  <si>
    <t xml:space="preserve">https://www.bseindia.com/stockinfo/AnnPdfOpen.aspx?Pname=98c94d54-c284-4e83-83b3-fc6e41943d16.pdf</t>
  </si>
  <si>
    <t xml:space="preserve">27 Jul 2026</t>
  </si>
  <si>
    <t xml:space="preserve">Paytm Reg 30 disclosure on NPCI MDR circular</t>
  </si>
  <si>
    <t xml:space="preserve">https://www.bseindia.com/stockinfo/AnnPdfOpen.aspx?Pname=70b3cc67-7038-473d-84e0-efad077128b0.pdf</t>
  </si>
  <si>
    <t xml:space="preserve">15 Sep 2026</t>
  </si>
  <si>
    <t xml:space="preserve">RBI press release: cancellation of Paytm Payments Bank licence</t>
  </si>
  <si>
    <t xml:space="preserve">https://m.rbi.org.in/Scripts/BS_PressReleaseDisplay.aspx?prid=62621</t>
  </si>
  <si>
    <t xml:space="preserve">24 Apr 2026</t>
  </si>
  <si>
    <t xml:space="preserve">RBI press release: action against Paytm Payments Bank</t>
  </si>
  <si>
    <t xml:space="preserve">https://www.rbi.org.in/Scripts/BS_PressReleaseDisplay.aspx?prid=57224</t>
  </si>
  <si>
    <t xml:space="preserve">31 Jan 2024</t>
  </si>
  <si>
    <t xml:space="preserve">RBI (Regulation of Payment Aggregators) Directions 2025</t>
  </si>
  <si>
    <t xml:space="preserve">https://www.rbi.org.in/Scripts/BS_ViewMasDirections.aspx?id=12896</t>
  </si>
  <si>
    <t xml:space="preserve">15 Sep 2025</t>
  </si>
  <si>
    <t xml:space="preserve">RBI circular: takeover/acquisition of control of non-bank PSOs</t>
  </si>
  <si>
    <t xml:space="preserve">https://www.rbi.org.in/Scripts/NotificationUser.aspx?Id=12348</t>
  </si>
  <si>
    <t xml:space="preserve">4 Jul 2022</t>
  </si>
  <si>
    <t xml:space="preserve">RBI Financial Stability Report (stablecoins chapter)</t>
  </si>
  <si>
    <t xml:space="preserve">https://www.rbi.org.in/Scripts/PublicationReportDetails.aspx?UrlPage=&amp;ID=1308</t>
  </si>
  <si>
    <t xml:space="preserve">31 Dec 2025</t>
  </si>
  <si>
    <t xml:space="preserve">RBI Master Direction on Overseas Investment</t>
  </si>
  <si>
    <t xml:space="preserve">https://m.rbi.org.in/scripts/NotificationUser.aspx?Id=12710&amp;fn=5&amp;Mode=0</t>
  </si>
  <si>
    <t xml:space="preserve">24 Jul 2024</t>
  </si>
  <si>
    <t xml:space="preserve">Gazette notification S.O. 1072(E): VDA service providers under PMLA</t>
  </si>
  <si>
    <t xml:space="preserve">https://egazette.gov.in/WriteReadData/2023/244184.pdf</t>
  </si>
  <si>
    <t xml:space="preserve">7 Mar 2023</t>
  </si>
  <si>
    <t xml:space="preserve">Lok Sabha Standing Committee on Finance, 36th Report (Securities Markets Code 2025; VDA status)</t>
  </si>
  <si>
    <t xml:space="preserve">https://sansad.in/getFile/app/lsscommittee/Finance/18_Finance_36.pdf</t>
  </si>
  <si>
    <t xml:space="preserve">23 Jul 2026</t>
  </si>
  <si>
    <t xml:space="preserve">Reuters: NPCI sets 0.4% fee on UPI merchant payments above ₹2,000</t>
  </si>
  <si>
    <t xml:space="preserve">https://www.reuters.com/world/india/india-payments-authority-sets-04-fee-upi-merchant-payments-above-2000-rupees-2026-09-15/</t>
  </si>
  <si>
    <t xml:space="preserve">PIB: UPI continues to remain free for P2P and 96% of merchant transactions</t>
  </si>
  <si>
    <t xml:space="preserve">https://www.pib.gov.in/PressReleaseDetail.aspx?PRID=2310586</t>
  </si>
  <si>
    <t xml:space="preserve">Cyril Amarchand: revised CCI merger exemptions and deal-value threshold</t>
  </si>
  <si>
    <t xml:space="preserve">https://www.cyrilshroff.com/wp-content/uploads/2024/09/Client-Alert-Demystifying-the-revised-merger-exemptions.pdf</t>
  </si>
  <si>
    <t xml:space="preserve">12 Sep 2024</t>
  </si>
  <si>
    <t xml:space="preserve">BIS Basel Framework SCO60 (cryptoasset exposures), in force 1 Jan 2026</t>
  </si>
  <si>
    <t xml:space="preserve">https://www.bis.org/committees/bcbs/basel-framework/standard/sco/60/inforce/2026-01-01/published/2024-11-27</t>
  </si>
  <si>
    <t xml:space="preserve">27 Nov 2024</t>
  </si>
  <si>
    <t xml:space="preserve">ADGM FSRA public register: First Answer Middle East Ltd (Liminal) — withdrawn</t>
  </si>
  <si>
    <t xml:space="preserve">https://www.adgm.com/public-registers/fsra/firms/financial-firms/first-answer-middle-east-limited-liminal-220125</t>
  </si>
  <si>
    <t xml:space="preserve">retrieved 23 Sep 2026</t>
  </si>
  <si>
    <t xml:space="preserve">MAS: entities no longer exempt under the PS (Amendment) Act 2021 transitional regulations</t>
  </si>
  <si>
    <t xml:space="preserve">https://www.mas.gov.sg/regulation/payments/entities-that-are-no-longer-exempt-pursuant-to-the-ps-amend-act-21-stpr</t>
  </si>
  <si>
    <t xml:space="preserve">Liminal client disclosure (MAS exempt status statement)</t>
  </si>
  <si>
    <t xml:space="preserve">https://www.liminalcustody.com/client-disclosure/</t>
  </si>
  <si>
    <t xml:space="preserve">Apr 2025 (page modified 10 Jul 2026)</t>
  </si>
  <si>
    <t xml:space="preserve">Liminal seed round led by Elevation Capital ($4.7M)</t>
  </si>
  <si>
    <t xml:space="preserve">https://www.businesswire.com/news/home/20220531006014/en/</t>
  </si>
  <si>
    <t xml:space="preserve">31 May 2022</t>
  </si>
  <si>
    <t xml:space="preserve">Liminal FIU-IND registration (Business Today)</t>
  </si>
  <si>
    <t xml:space="preserve">https://www.businesstoday.in/technology/news/story/crypto-storage-provider-liminal-custody-secures-financial-intelligence-unit-registration-in-india-boosting-institutional-trust-in-web3-430708-2024-05-24</t>
  </si>
  <si>
    <t xml:space="preserve">24 May 2024</t>
  </si>
  <si>
    <t xml:space="preserve">Liminal: $100B cumulative volume, 130+ staff, 80+ businesses (PR Newswire)</t>
  </si>
  <si>
    <t xml:space="preserve">https://www.prnewswire.com/news-releases/liminal-custody-crosses-100-billion-in-total-transaction-volume-302706024.html</t>
  </si>
  <si>
    <t xml:space="preserve">5 Mar 2026</t>
  </si>
  <si>
    <t xml:space="preserve">Liminal Prime launch (OTC products unavailable in UAE, India, Singapore, Taiwan)</t>
  </si>
  <si>
    <t xml:space="preserve">https://www.globenewswire.com/news-release/2026/09/02/3355288/0/en/liminal-launches-liminal-prime-for-institutional-otc-and-stablecoin-liquidity.html</t>
  </si>
  <si>
    <t xml:space="preserve">2 Sep 2026</t>
  </si>
  <si>
    <t xml:space="preserve">CoinDesk: WazirX ends custody relationship with Liminal</t>
  </si>
  <si>
    <t xml:space="preserve">https://www.coindesk.com/business/2024/08/14/wazirx-ends-custody-relationship-with-liminal-is-moving-funds-to-new-multisig-wallets</t>
  </si>
  <si>
    <t xml:space="preserve">14 Aug 2024</t>
  </si>
  <si>
    <t xml:space="preserve">Inc42: third-party forensic report (Grant Thornton) on the WazirX hack</t>
  </si>
  <si>
    <t xml:space="preserve">https://inc42.com/buzz/wazirx-hack-liminals-platform-not-responsible-confirms-third-party-forensic-report/</t>
  </si>
  <si>
    <t xml:space="preserve">9 Sep 2024</t>
  </si>
  <si>
    <t xml:space="preserve">Liminal blog: response to WazirX 'disinformation campaign'</t>
  </si>
  <si>
    <t xml:space="preserve">https://www.liminalcustody.com/blog/wazirx-incident-update-response-to-ongoing-disinformation-campaign/</t>
  </si>
  <si>
    <t xml:space="preserve">22 Oct 2024</t>
  </si>
  <si>
    <t xml:space="preserve">BitGo Q2 2026 results (8-K Ex. 99.1)</t>
  </si>
  <si>
    <t xml:space="preserve">https://www.sec.gov/Archives/edgar/data/0001740604/000174060426000048/btgo-exhibit991_2026xq2.htm</t>
  </si>
  <si>
    <t xml:space="preserve">12 Aug 2026</t>
  </si>
  <si>
    <t xml:space="preserve">Robinhood–Bitstamp closing investor document (Bitstamp LTM net revenue ~$95M)</t>
  </si>
  <si>
    <t xml:space="preserve">https://investors.robinhood.com/static-files/4183f04d-6658-438d-9045-64ffa8e7402d</t>
  </si>
  <si>
    <t xml:space="preserve">Jun 2025</t>
  </si>
  <si>
    <t xml:space="preserve">Ripple acquires Metaco for $250M</t>
  </si>
  <si>
    <t xml:space="preserve">https://ripple.com/ripple-press/leading-enterprise-crypto-company-ripple-acquires-custody-provider-metaco-for-250m/</t>
  </si>
  <si>
    <t xml:space="preserve">CoinDesk: Copper offers far below $500M asking price</t>
  </si>
  <si>
    <t xml:space="preserve">https://www.coindesk.com/business/2026/08/25/crypto-custody-firm-copper-has-potential-buyers-but-offers-are-way-below-its-usd500-million-asking-price</t>
  </si>
  <si>
    <t xml:space="preserve">25 Aug 2026</t>
  </si>
  <si>
    <t xml:space="preserve">Standard Chartered to acquire Zodia Custody's custody business</t>
  </si>
  <si>
    <t xml:space="preserve">https://www.sc.com/en/press-release/standard-chartered-to-acquire-zodia-custodys-custody-business/</t>
  </si>
  <si>
    <t xml:space="preserve">18 May 2026</t>
  </si>
  <si>
    <t xml:space="preserve">Mastercard completes acquisition of BVNK</t>
  </si>
  <si>
    <t xml:space="preserve">https://investor.mastercard.com/investor-news/investor-news-details/2026/Mastercard-completes-acquisition-of-BVNK-to-advance-global-stablecoin-capabilities/default.aspx</t>
  </si>
  <si>
    <t xml:space="preserve">3 Aug 2026</t>
  </si>
  <si>
    <t xml:space="preserve">Mastercard Q2 2026 earnings (cash $11.3B; buyback headroom $7.8B)</t>
  </si>
  <si>
    <t xml:space="preserve">https://www.sec.gov/Archives/edgar/data/1141391/000114139126000081/ma06302026-exx991xearnings.htm</t>
  </si>
  <si>
    <t xml:space="preserve">30 Jul 2026</t>
  </si>
  <si>
    <t xml:space="preserve">Fireblocks surpasses $100M ARR (2022)</t>
  </si>
  <si>
    <t xml:space="preserve">https://www.fireblocks.com/press/fireblocks-surpasses-100-million-arr-milestone-cementing-its-status-as-saas-centaur</t>
  </si>
  <si>
    <t xml:space="preserve">2022</t>
  </si>
  <si>
    <t xml:space="preserve">Mint: Zomato to acquire Blinkit for ₹4,447 Cr in all-stock deal</t>
  </si>
  <si>
    <t xml:space="preserve">https://www.livemint.com/companies/news/zomato-to-acquire-blinkit-for-4-447-crore-in-all-stock-deal-11656093457147.html</t>
  </si>
  <si>
    <t xml:space="preserve">Business Today: Zomato–Paytm ticketing deal ₹2,048 Cr</t>
  </si>
  <si>
    <t xml:space="preserve">https://www.businesstoday.in/markets/stocks/story/paytm-zomato-shares-in-focus-after-rs-2048-crore-entertainment-ticketing-business-deal-442514-2024-08-22</t>
  </si>
  <si>
    <t xml:space="preserve">22 Aug 2024</t>
  </si>
  <si>
    <t xml:space="preserve">Entrackr: PhonePe FY26 loss ₹2,792 Cr</t>
  </si>
  <si>
    <t xml:space="preserve">https://entrackr.com/fintrackr/decoding-phonepe-fy26-the-rs-364-cr-loss-behind-the-rs-2792-cr-headline-12199210</t>
  </si>
  <si>
    <t xml:space="preserve">26 Jul 2026</t>
  </si>
  <si>
    <t xml:space="preserve">TechCrunch: PhonePe shelves IPO</t>
  </si>
  <si>
    <t xml:space="preserve">https://techcrunch.com/2026/03/16/walmart-backed-phonepe-shelves-ipo-as-global-tensions-rattle-markets/</t>
  </si>
  <si>
    <t xml:space="preserve">16 Mar 2026</t>
  </si>
  <si>
    <t xml:space="preserve">PhonePe Payment Gateway × Mastercard device tokenisation</t>
  </si>
  <si>
    <t xml:space="preserve">https://www.phonepe.com/press/phonepe-payment-gateway-collaborates-with-mastercard-to-launch-ecosystem-wide-device-tokenization-now-live-with-ixigo/</t>
  </si>
  <si>
    <t xml:space="preserve">7 Oct 2025</t>
  </si>
  <si>
    <t xml:space="preserve">Entrackr: UPI app market shares August 2026 (NPCI data)</t>
  </si>
  <si>
    <t xml:space="preserve">https://entrackr.com/news/phonepe-crosses-11-bn-monthly-upi-transactions-in-august-g-pay-nears-8-bn-12537408</t>
  </si>
  <si>
    <t xml:space="preserve">16 Sep 2026</t>
  </si>
  <si>
    <t xml:space="preserve">Reuters: Coinbase invests in CoinDCX at $2.45B valuation</t>
  </si>
  <si>
    <t xml:space="preserve">https://www.reuters.com/world/india/coinbase-invests-indian-crypto-exchange-coindcx-245-billion-valuation-2025-10-15/</t>
  </si>
  <si>
    <t xml:space="preserve">15 Oct 2025</t>
  </si>
  <si>
    <t xml:space="preserve">Coinbase launches in India with direct INR rails</t>
  </si>
  <si>
    <t xml:space="preserve">https://www.coinbase.com/blog/coinbase-launches-in-india-with-direct-inr-rails</t>
  </si>
  <si>
    <t xml:space="preserve">31 May 2026</t>
  </si>
  <si>
    <t xml:space="preserve">CoinSwitch launches DigiVault custody with Fireblocks</t>
  </si>
  <si>
    <t xml:space="preserve">https://coinswitch.co/press/coinswitch-launches-digivault-a-secure-crypto-custody-solution-for-indias-hnis-enterprises-family-offices</t>
  </si>
  <si>
    <t xml:space="preserve">17 Mar 2026</t>
  </si>
  <si>
    <t xml:space="preserve">CoinDCX incident report (July 2025 hack)</t>
  </si>
  <si>
    <t xml:space="preserve">https://coindcx.com/blog/announcements/incident-report-july-19-2025/</t>
  </si>
  <si>
    <t xml:space="preserve">20 Jul 2025</t>
  </si>
  <si>
    <t xml:space="preserve">Indian Express: SEBI–RBI 'Demat 2.0' tokenised corporate-bond pilot</t>
  </si>
  <si>
    <t xml:space="preserve">https://indianexpress.com/article/business/banking-and-finance/sebi-rbi-launch-demat-2-0-pilot-for-corporate-bond-tokenisation-10872369/</t>
  </si>
  <si>
    <t xml:space="preserve">11 Sep 2026</t>
  </si>
  <si>
    <t xml:space="preserve">Business Standard: RBI deposit-tokenisation pilot on UMI</t>
  </si>
  <si>
    <t xml:space="preserve">https://www.business-standard.com/amp/economy/news/rbi-deposit-tokenisation-pilot-cbdc-wholesale-digital-tokens-oct8-125100700532_1.html</t>
  </si>
  <si>
    <t xml:space="preserve">J.P. Morgan: Axis Bank 24/7 USD clearing via Kinexys</t>
  </si>
  <si>
    <t xml:space="preserve">https://www.jpmorgan.com/payments/newsroom/axis-bank-usd-clearing-kinexys</t>
  </si>
  <si>
    <t xml:space="preserve">26 Mar 2025</t>
  </si>
  <si>
    <t xml:space="preserve">The Paypers: Paytm Payments Bank stops support for crypto exchanges</t>
  </si>
  <si>
    <t xml:space="preserve">https://thepaypers.com/crypto-web3-and-cbdc/news/paytm-payments-bank-stops-support-for-crypto-exchanges</t>
  </si>
  <si>
    <t xml:space="preserve">May 2021</t>
  </si>
  <si>
    <t xml:space="preserve">Business Standard: 'Cryptocurrency is here to stay' — Vijay Shekhar Sharma</t>
  </si>
  <si>
    <t xml:space="preserve">https://www.business-standard.com/article/current-affairs/cryptocurrency-is-here-to-stay-says-paytm-founder-vijay-shekhar-sharma-121112501365_1.html</t>
  </si>
  <si>
    <t xml:space="preserve">25 Nov 2021</t>
  </si>
  <si>
    <t xml:space="preserve">Screener.in: One97 Communications consolidated page (price, market cap, shareholding)</t>
  </si>
  <si>
    <t xml:space="preserve">https://www.screener.in/company/PAYTM/consolidated/</t>
  </si>
  <si>
    <t xml:space="preserve">scraped 23 Sep 2026</t>
  </si>
  <si>
    <t xml:space="preserve">stockanalysis.com statistics pages (BTGO, COIN, CRCL, GEMI, BLSH, HOOD, TEMN, SSNC, BR, ADYEN, MQ, PAYTM, ZAGGLE, MOBIKWIK, INFIBEAM)</t>
  </si>
  <si>
    <t xml:space="preserve">https://stockanalysis.com/</t>
  </si>
  <si>
    <t xml:space="preserve">22–23 Sep 2026</t>
  </si>
  <si>
    <t xml:space="preserve">AUDIT TRAIL — Source → Input → Formula → Output → Interpretation, for every decision-relevant number</t>
  </si>
  <si>
    <t xml:space="preserve">Value (live)</t>
  </si>
  <si>
    <t xml:space="preserve">Evidence class</t>
  </si>
  <si>
    <t xml:space="preserve">Trace: inputs and formula</t>
  </si>
  <si>
    <t xml:space="preserve">Interpretation</t>
  </si>
  <si>
    <t xml:space="preserve">Headline multiple (Deal value ÷ ARR)</t>
  </si>
  <si>
    <t xml:space="preserve">CALCULATION</t>
  </si>
  <si>
    <t xml:space="preserve">cf_deal (case §2) ÷ cf_arr (case §2)</t>
  </si>
  <si>
    <t xml:space="preserve">The case rounds to 18x; exact 18.2x.</t>
  </si>
  <si>
    <t xml:space="preserve">Implied Paytm share price</t>
  </si>
  <si>
    <t xml:space="preserve">cf_mcap ÷ cf_shares (both case §1)</t>
  </si>
  <si>
    <t xml:space="preserve">Used to convert the ₹1,900 Cr equity leg into shares.</t>
  </si>
  <si>
    <t xml:space="preserve">New shares for the equity leg (Cr)</t>
  </si>
  <si>
    <t xml:space="preserve">cf_deal_eq ÷ c_price</t>
  </si>
  <si>
    <t xml:space="preserve">≈1.6% of the share count: the 'mechanical' dilution.</t>
  </si>
  <si>
    <t xml:space="preserve">Standalone DCF value of Liminal</t>
  </si>
  <si>
    <t xml:space="preserve">ANALYST ASSUMPTION-driven CALCULATION</t>
  </si>
  <si>
    <t xml:space="preserve">Liminal_Ops Block 1 FCF (growth, margin ramp, tax, capex, WC assumptions) discounted at lv_wacc with Gordon TV at a_tg</t>
  </si>
  <si>
    <t xml:space="preserve">Financial value before churn/drag; compare with the ₹4,000 Cr price.</t>
  </si>
  <si>
    <t xml:space="preserve">Breakeven growth for price = DCF</t>
  </si>
  <si>
    <t xml:space="preserve">CALCULATION on assumptions</t>
  </si>
  <si>
    <t xml:space="preserve">DCF sheet §3: interpolation on the growth grid at lv_wacc</t>
  </si>
  <si>
    <t xml:space="preserve">What you must believe for 18x to be a financial (not strategic) price.</t>
  </si>
  <si>
    <t xml:space="preserve">Year-1 EPS, full acquisition, Dashboard mix</t>
  </si>
  <si>
    <t xml:space="preserve">CALCULATION on case facts + assumptions</t>
  </si>
  <si>
    <t xml:space="preserve">Deal_CF: (cf_pat + Liminal post-churn PAT − cost of funds − PPA − drag P&amp;L effects) ÷ (cf_shares + new shares)</t>
  </si>
  <si>
    <t xml:space="preserve">Compare with ₹7.50 (case) and with the standalone-with-MDR baseline.</t>
  </si>
  <si>
    <t xml:space="preserve">Year-1 EPS dilution vs ₹7.50</t>
  </si>
  <si>
    <t xml:space="preserve">e_eps_y1 ÷ cf_eps − 1</t>
  </si>
  <si>
    <t xml:space="preserve">Case §3.3 shareholder-pressure lens.</t>
  </si>
  <si>
    <t xml:space="preserve">Year-1 incremental FCF after drag and cost of funds</t>
  </si>
  <si>
    <t xml:space="preserve">Deal_CF fcf_post: Liminal FCF − drag − one-time − cost of funds</t>
  </si>
  <si>
    <t xml:space="preserve">Negative = the deal consumes cash every year.</t>
  </si>
  <si>
    <t xml:space="preserve">FCF breakeven year (full acquisition)</t>
  </si>
  <si>
    <t xml:space="preserve">Deal_CF: first year fcf_post ≥ 0 (99 = never within 10 years)</t>
  </si>
  <si>
    <t xml:space="preserve">Answers case §5.3 'how long to breakeven after the ₹750 Cr drag'.</t>
  </si>
  <si>
    <t xml:space="preserve">PAT breakeven year (full acquisition)</t>
  </si>
  <si>
    <t xml:space="preserve">Deal_CF: first year incremental PAT ≥ 0</t>
  </si>
  <si>
    <t xml:space="preserve">Accounting breakeven (Addendum 1).</t>
  </si>
  <si>
    <t xml:space="preserve">NPV of the full acquisition to Paytm</t>
  </si>
  <si>
    <t xml:space="preserve">Value of Liminal (post-churn DCF) + synergies − PV drag − one-time − price</t>
  </si>
  <si>
    <t xml:space="preserve">Economic verdict at the Dashboard levers.</t>
  </si>
  <si>
    <t xml:space="preserve">PV of the capital drag</t>
  </si>
  <si>
    <t xml:space="preserve">Deal_CF: Σ drag_t × DF_t − recovery × trapped capital × DF_10</t>
  </si>
  <si>
    <t xml:space="preserve">Under reading 1 at 13%: ≈ the price itself.</t>
  </si>
  <si>
    <t xml:space="preserve">Break-even capital drag</t>
  </si>
  <si>
    <t xml:space="preserve">(NPV + PV drag) ÷ annuity factor</t>
  </si>
  <si>
    <t xml:space="preserve">Negative → no capacity for any reserve at this price.</t>
  </si>
  <si>
    <t xml:space="preserve">Maximum acceptable churn at the headline price</t>
  </si>
  <si>
    <t xml:space="preserve">Churn sheet: interpolated churn at which NPV = 0</t>
  </si>
  <si>
    <t xml:space="preserve">Answers case §5.2 'what level of churn makes the deal unattractive'.</t>
  </si>
  <si>
    <t xml:space="preserve">Maximum acceptable churn, drag = 0</t>
  </si>
  <si>
    <t xml:space="preserve">Churn sheet, drag isolated</t>
  </si>
  <si>
    <t xml:space="preserve">Churn tolerance of a buyer without the reserve.</t>
  </si>
  <si>
    <t xml:space="preserve">MDR reaching PAT/FCF</t>
  </si>
  <si>
    <t xml:space="preserve">CASE FACT × ASSUMPTION</t>
  </si>
  <si>
    <t xml:space="preserve">cf_mdr (case §3.4) × a_mdr_flow × (1 − a_tax)</t>
  </si>
  <si>
    <t xml:space="preserve">Standalone Paytm item; offsets ~9% of the drag on a cash basis; not a synergy.</t>
  </si>
  <si>
    <t xml:space="preserve">Minority price (Dashboard)</t>
  </si>
  <si>
    <t xml:space="preserve">ANALYST ASSUMPTION</t>
  </si>
  <si>
    <t xml:space="preserve">lv_stake × lv_price × (1 − lv_min_disc)</t>
  </si>
  <si>
    <t xml:space="preserve">Ceiling = pro-rata of headline; target below.</t>
  </si>
  <si>
    <t xml:space="preserve">Minority-stake NPV</t>
  </si>
  <si>
    <t xml:space="preserve">Structures Block A: stake × DCF − price − one-time − PV drag at minority</t>
  </si>
  <si>
    <t xml:space="preserve">Premium paid for access and blocking rights.</t>
  </si>
  <si>
    <t xml:space="preserve">Hybrid NPV</t>
  </si>
  <si>
    <t xml:space="preserve">Structures Block B</t>
  </si>
  <si>
    <t xml:space="preserve">Value of minority + option path if exercised at the Inputs gate settings.</t>
  </si>
  <si>
    <t xml:space="preserve">Hybrid maximum total consideration</t>
  </si>
  <si>
    <t xml:space="preserve">Sources_Uses C: minority + upfront + max earn-out</t>
  </si>
  <si>
    <t xml:space="preserve">Never exceeds the headline by construction.</t>
  </si>
  <si>
    <t xml:space="preserve">Reservation value for 100% (max price)</t>
  </si>
  <si>
    <t xml:space="preserve">lv_price + e_npv</t>
  </si>
</sst>
</file>

<file path=xl/styles.xml><?xml version="1.0" encoding="utf-8"?>
<styleSheet xmlns="http://schemas.openxmlformats.org/spreadsheetml/2006/main">
  <numFmts count="14">
    <numFmt numFmtId="164" formatCode="General"/>
    <numFmt numFmtId="165" formatCode="0"/>
    <numFmt numFmtId="166" formatCode="0.0%;\(0.0%\);\-"/>
    <numFmt numFmtId="167" formatCode="#,##0;\(#,##0\);\-"/>
    <numFmt numFmtId="168" formatCode="0.0\x;\(0.0&quot;x)&quot;;\-"/>
    <numFmt numFmtId="169" formatCode="0.00\x"/>
    <numFmt numFmtId="170" formatCode="\₹0.00;&quot;(₹&quot;0.00\);\-"/>
    <numFmt numFmtId="171" formatCode="#,##0.0;\(#,##0.0\);\-"/>
    <numFmt numFmtId="172" formatCode="0.00%"/>
    <numFmt numFmtId="173" formatCode="#,##0.00;\(#,##0.00\);\-"/>
    <numFmt numFmtId="174" formatCode="\Y0"/>
    <numFmt numFmtId="175" formatCode="0.000"/>
    <numFmt numFmtId="176" formatCode="0%;\(0%\);\-"/>
    <numFmt numFmtId="177" formatCode="0.00"/>
  </numFmts>
  <fonts count="14">
    <font>
      <sz val="11"/>
      <color theme="1"/>
      <name val="Calibri"/>
      <family val="2"/>
      <charset val="1"/>
    </font>
    <font>
      <sz val="10"/>
      <name val="Arial"/>
      <family val="0"/>
    </font>
    <font>
      <sz val="10"/>
      <name val="Arial"/>
      <family val="0"/>
    </font>
    <font>
      <sz val="10"/>
      <name val="Arial"/>
      <family val="0"/>
    </font>
    <font>
      <b val="true"/>
      <sz val="13"/>
      <color rgb="FFFFFFFF"/>
      <name val="Arial"/>
      <family val="0"/>
      <charset val="1"/>
    </font>
    <font>
      <sz val="10"/>
      <color rgb="FF000000"/>
      <name val="Arial"/>
      <family val="0"/>
      <charset val="1"/>
    </font>
    <font>
      <i val="true"/>
      <sz val="10"/>
      <color rgb="FF595959"/>
      <name val="Arial"/>
      <family val="0"/>
      <charset val="1"/>
    </font>
    <font>
      <b val="true"/>
      <sz val="10"/>
      <color rgb="FF000000"/>
      <name val="Arial"/>
      <family val="0"/>
      <charset val="1"/>
    </font>
    <font>
      <b val="true"/>
      <sz val="12"/>
      <color rgb="FFFFFFFF"/>
      <name val="Arial"/>
      <family val="0"/>
      <charset val="1"/>
    </font>
    <font>
      <sz val="10"/>
      <color rgb="FF0000FF"/>
      <name val="Arial"/>
      <family val="0"/>
      <charset val="1"/>
    </font>
    <font>
      <sz val="10"/>
      <name val="Arial"/>
      <family val="2"/>
    </font>
    <font>
      <sz val="10"/>
      <color rgb="FF008000"/>
      <name val="Arial"/>
      <family val="0"/>
      <charset val="1"/>
    </font>
    <font>
      <b val="true"/>
      <sz val="10"/>
      <color rgb="FF008000"/>
      <name val="Arial"/>
      <family val="0"/>
      <charset val="1"/>
    </font>
    <font>
      <sz val="10"/>
      <color rgb="FF595959"/>
      <name val="Arial"/>
      <family val="0"/>
      <charset val="1"/>
    </font>
  </fonts>
  <fills count="9">
    <fill>
      <patternFill patternType="none"/>
    </fill>
    <fill>
      <patternFill patternType="gray125"/>
    </fill>
    <fill>
      <patternFill patternType="solid">
        <fgColor rgb="FF1F3864"/>
        <bgColor rgb="FF333333"/>
      </patternFill>
    </fill>
    <fill>
      <patternFill patternType="solid">
        <fgColor rgb="FFD9E1F2"/>
        <bgColor rgb="FFDDEBF7"/>
      </patternFill>
    </fill>
    <fill>
      <patternFill patternType="solid">
        <fgColor rgb="FFFFFF00"/>
        <bgColor rgb="FFFFFF00"/>
      </patternFill>
    </fill>
    <fill>
      <patternFill patternType="solid">
        <fgColor rgb="FFFCE4D6"/>
        <bgColor rgb="FFFFF2CC"/>
      </patternFill>
    </fill>
    <fill>
      <patternFill patternType="solid">
        <fgColor rgb="FFE2EFDA"/>
        <bgColor rgb="FFDDEBF7"/>
      </patternFill>
    </fill>
    <fill>
      <patternFill patternType="solid">
        <fgColor rgb="FFDDEBF7"/>
        <bgColor rgb="FFD9E1F2"/>
      </patternFill>
    </fill>
    <fill>
      <patternFill patternType="solid">
        <fgColor rgb="FFFFF2CC"/>
        <bgColor rgb="FFFCE4D6"/>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false" applyProtection="false">
      <alignment horizontal="general" vertical="bottom" textRotation="0" wrapText="false" indent="0" shrinkToFit="false"/>
      <protection locked="true" hidden="false"/>
    </xf>
    <xf numFmtId="164" fontId="5" fillId="2"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center" textRotation="0" wrapText="true" indent="0" shrinkToFit="false"/>
      <protection locked="true" hidden="false"/>
    </xf>
    <xf numFmtId="164" fontId="8" fillId="2" borderId="0" xfId="0" applyFont="true" applyBorder="false" applyAlignment="false" applyProtection="false">
      <alignment horizontal="general" vertical="bottom" textRotation="0" wrapText="false" indent="0" shrinkToFit="false"/>
      <protection locked="true" hidden="false"/>
    </xf>
    <xf numFmtId="164" fontId="7" fillId="3" borderId="0" xfId="0" applyFont="true" applyBorder="false" applyAlignment="false" applyProtection="false">
      <alignment horizontal="general" vertical="bottom" textRotation="0" wrapText="false" indent="0" shrinkToFit="false"/>
      <protection locked="true" hidden="false"/>
    </xf>
    <xf numFmtId="164" fontId="5" fillId="3"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5" fontId="9" fillId="4" borderId="1"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center" textRotation="0" wrapText="true" indent="0" shrinkToFit="false"/>
      <protection locked="true" hidden="false"/>
    </xf>
    <xf numFmtId="166" fontId="9" fillId="4" borderId="1" xfId="0" applyFont="true" applyBorder="true" applyAlignment="false" applyProtection="false">
      <alignment horizontal="general" vertical="bottom" textRotation="0" wrapText="false" indent="0" shrinkToFit="false"/>
      <protection locked="true" hidden="false"/>
    </xf>
    <xf numFmtId="167" fontId="9" fillId="4" borderId="1" xfId="0" applyFont="true" applyBorder="true" applyAlignment="false" applyProtection="false">
      <alignment horizontal="general" vertical="bottom" textRotation="0" wrapText="false" indent="0" shrinkToFit="false"/>
      <protection locked="true" hidden="false"/>
    </xf>
    <xf numFmtId="166" fontId="7" fillId="0" borderId="0" xfId="0" applyFont="true" applyBorder="false" applyAlignment="false" applyProtection="false">
      <alignment horizontal="general" vertical="bottom" textRotation="0" wrapText="false" indent="0" shrinkToFit="false"/>
      <protection locked="true" hidden="false"/>
    </xf>
    <xf numFmtId="167" fontId="7" fillId="0" borderId="0" xfId="0" applyFont="true" applyBorder="false" applyAlignment="false" applyProtection="false">
      <alignment horizontal="general" vertical="bottom" textRotation="0" wrapText="false" indent="0" shrinkToFit="false"/>
      <protection locked="true" hidden="false"/>
    </xf>
    <xf numFmtId="167" fontId="7" fillId="5" borderId="0" xfId="0" applyFont="true" applyBorder="false" applyAlignment="false" applyProtection="false">
      <alignment horizontal="general" vertical="bottom" textRotation="0" wrapText="false" indent="0" shrinkToFit="false"/>
      <protection locked="true" hidden="false"/>
    </xf>
    <xf numFmtId="168" fontId="5" fillId="0" borderId="0" xfId="0" applyFont="true" applyBorder="false" applyAlignment="false" applyProtection="false">
      <alignment horizontal="general" vertical="bottom" textRotation="0" wrapText="false" indent="0" shrinkToFit="false"/>
      <protection locked="true" hidden="false"/>
    </xf>
    <xf numFmtId="166" fontId="5" fillId="0" borderId="0" xfId="0" applyFont="true" applyBorder="false" applyAlignment="false" applyProtection="false">
      <alignment horizontal="general" vertical="bottom" textRotation="0" wrapText="false" indent="0" shrinkToFit="false"/>
      <protection locked="true" hidden="false"/>
    </xf>
    <xf numFmtId="164" fontId="7" fillId="3" borderId="1" xfId="0" applyFont="true" applyBorder="true" applyAlignment="true" applyProtection="false">
      <alignment horizontal="center" vertical="center" textRotation="0" wrapText="true" indent="0" shrinkToFit="false"/>
      <protection locked="true" hidden="false"/>
    </xf>
    <xf numFmtId="167" fontId="7" fillId="6" borderId="1" xfId="0" applyFont="true" applyBorder="true" applyAlignment="false" applyProtection="false">
      <alignment horizontal="general" vertical="bottom" textRotation="0" wrapText="false" indent="0" shrinkToFit="false"/>
      <protection locked="true" hidden="false"/>
    </xf>
    <xf numFmtId="168" fontId="7" fillId="6" borderId="1" xfId="0" applyFont="true" applyBorder="true" applyAlignment="false" applyProtection="false">
      <alignment horizontal="general" vertical="bottom" textRotation="0" wrapText="false" indent="0" shrinkToFit="false"/>
      <protection locked="true" hidden="false"/>
    </xf>
    <xf numFmtId="166" fontId="7" fillId="6" borderId="1" xfId="0" applyFont="true" applyBorder="true" applyAlignment="false" applyProtection="false">
      <alignment horizontal="general" vertical="bottom" textRotation="0" wrapText="false" indent="0" shrinkToFit="false"/>
      <protection locked="true" hidden="false"/>
    </xf>
    <xf numFmtId="165" fontId="7" fillId="6" borderId="1" xfId="0" applyFont="true" applyBorder="true" applyAlignment="false" applyProtection="false">
      <alignment horizontal="general" vertical="bottom" textRotation="0" wrapText="false" indent="0" shrinkToFit="false"/>
      <protection locked="true" hidden="false"/>
    </xf>
    <xf numFmtId="169" fontId="7" fillId="6" borderId="1" xfId="0" applyFont="true" applyBorder="true" applyAlignment="false" applyProtection="false">
      <alignment horizontal="general" vertical="bottom" textRotation="0" wrapText="false" indent="0" shrinkToFit="false"/>
      <protection locked="true" hidden="false"/>
    </xf>
    <xf numFmtId="170" fontId="7" fillId="6" borderId="1"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true" applyAlignment="false" applyProtection="false">
      <alignment horizontal="general" vertical="bottom" textRotation="0" wrapText="false" indent="0" shrinkToFit="false"/>
      <protection locked="true" hidden="false"/>
    </xf>
    <xf numFmtId="167" fontId="9" fillId="7" borderId="1" xfId="0" applyFont="true" applyBorder="true" applyAlignment="false" applyProtection="false">
      <alignment horizontal="general" vertical="bottom" textRotation="0" wrapText="false" indent="0" shrinkToFit="false"/>
      <protection locked="true" hidden="false"/>
    </xf>
    <xf numFmtId="171" fontId="9" fillId="7" borderId="1" xfId="0" applyFont="true" applyBorder="true" applyAlignment="false" applyProtection="false">
      <alignment horizontal="general" vertical="bottom" textRotation="0" wrapText="false" indent="0" shrinkToFit="false"/>
      <protection locked="true" hidden="false"/>
    </xf>
    <xf numFmtId="170" fontId="9" fillId="7" borderId="1" xfId="0" applyFont="true" applyBorder="true" applyAlignment="false" applyProtection="false">
      <alignment horizontal="general" vertical="bottom" textRotation="0" wrapText="false" indent="0" shrinkToFit="false"/>
      <protection locked="true" hidden="false"/>
    </xf>
    <xf numFmtId="164" fontId="9" fillId="7" borderId="1" xfId="0" applyFont="true" applyBorder="true" applyAlignment="false" applyProtection="false">
      <alignment horizontal="general" vertical="bottom" textRotation="0" wrapText="false" indent="0" shrinkToFit="false"/>
      <protection locked="true" hidden="false"/>
    </xf>
    <xf numFmtId="166" fontId="9" fillId="7" borderId="1" xfId="0" applyFont="true" applyBorder="true" applyAlignment="false" applyProtection="false">
      <alignment horizontal="general" vertical="bottom" textRotation="0" wrapText="false" indent="0" shrinkToFit="false"/>
      <protection locked="true" hidden="false"/>
    </xf>
    <xf numFmtId="167" fontId="5" fillId="0" borderId="0" xfId="0" applyFont="true" applyBorder="false" applyAlignment="false" applyProtection="false">
      <alignment horizontal="general" vertical="bottom" textRotation="0" wrapText="false" indent="0" shrinkToFit="false"/>
      <protection locked="true" hidden="false"/>
    </xf>
    <xf numFmtId="172" fontId="5" fillId="0" borderId="0" xfId="0" applyFont="true" applyBorder="false" applyAlignment="false" applyProtection="false">
      <alignment horizontal="general" vertical="bottom" textRotation="0" wrapText="false" indent="0" shrinkToFit="false"/>
      <protection locked="true" hidden="false"/>
    </xf>
    <xf numFmtId="169" fontId="5" fillId="0" borderId="0" xfId="0" applyFont="true" applyBorder="false" applyAlignment="false" applyProtection="false">
      <alignment horizontal="general" vertical="bottom" textRotation="0" wrapText="false" indent="0" shrinkToFit="false"/>
      <protection locked="true" hidden="false"/>
    </xf>
    <xf numFmtId="173" fontId="5" fillId="0" borderId="0" xfId="0" applyFont="true" applyBorder="false" applyAlignment="false" applyProtection="false">
      <alignment horizontal="general" vertical="bottom" textRotation="0" wrapText="false" indent="0" shrinkToFit="false"/>
      <protection locked="true" hidden="false"/>
    </xf>
    <xf numFmtId="171" fontId="5" fillId="0" borderId="0" xfId="0" applyFont="true" applyBorder="false" applyAlignment="false" applyProtection="false">
      <alignment horizontal="general" vertical="bottom" textRotation="0" wrapText="false" indent="0" shrinkToFit="false"/>
      <protection locked="true" hidden="false"/>
    </xf>
    <xf numFmtId="169" fontId="9" fillId="4" borderId="1" xfId="0" applyFont="true" applyBorder="true" applyAlignment="false" applyProtection="false">
      <alignment horizontal="general" vertical="bottom" textRotation="0" wrapText="false" indent="0" shrinkToFit="false"/>
      <protection locked="true" hidden="false"/>
    </xf>
    <xf numFmtId="168" fontId="9" fillId="4" borderId="1" xfId="0" applyFont="true" applyBorder="true" applyAlignment="false" applyProtection="false">
      <alignment horizontal="general" vertical="bottom" textRotation="0" wrapText="false" indent="0" shrinkToFit="false"/>
      <protection locked="true" hidden="false"/>
    </xf>
    <xf numFmtId="174" fontId="7" fillId="3" borderId="0" xfId="0" applyFont="true" applyBorder="false" applyAlignment="true" applyProtection="false">
      <alignment horizontal="center" vertical="center" textRotation="0" wrapText="false" indent="0" shrinkToFit="false"/>
      <protection locked="true" hidden="false"/>
    </xf>
    <xf numFmtId="171" fontId="11" fillId="0" borderId="0" xfId="0" applyFont="true" applyBorder="false" applyAlignment="false" applyProtection="false">
      <alignment horizontal="general" vertical="bottom" textRotation="0" wrapText="false" indent="0" shrinkToFit="false"/>
      <protection locked="true" hidden="false"/>
    </xf>
    <xf numFmtId="171" fontId="7" fillId="0" borderId="0" xfId="0" applyFont="true" applyBorder="false" applyAlignment="false" applyProtection="false">
      <alignment horizontal="general" vertical="bottom" textRotation="0" wrapText="false" indent="0" shrinkToFit="false"/>
      <protection locked="true" hidden="false"/>
    </xf>
    <xf numFmtId="171" fontId="12" fillId="0" borderId="0" xfId="0" applyFont="true" applyBorder="false" applyAlignment="false" applyProtection="false">
      <alignment horizontal="general" vertical="bottom" textRotation="0" wrapText="false" indent="0" shrinkToFit="false"/>
      <protection locked="true" hidden="false"/>
    </xf>
    <xf numFmtId="175" fontId="5" fillId="0" borderId="0" xfId="0" applyFont="true" applyBorder="false" applyAlignment="false" applyProtection="false">
      <alignment horizontal="general" vertical="bottom" textRotation="0" wrapText="false" indent="0" shrinkToFit="false"/>
      <protection locked="true" hidden="false"/>
    </xf>
    <xf numFmtId="176" fontId="9" fillId="4" borderId="1" xfId="0" applyFont="true" applyBorder="true" applyAlignment="false" applyProtection="false">
      <alignment horizontal="general" vertical="bottom" textRotation="0" wrapText="false" indent="0" shrinkToFit="false"/>
      <protection locked="true" hidden="false"/>
    </xf>
    <xf numFmtId="176" fontId="5" fillId="0" borderId="0" xfId="0" applyFont="true" applyBorder="false" applyAlignment="false" applyProtection="false">
      <alignment horizontal="general" vertical="bottom" textRotation="0" wrapText="false" indent="0" shrinkToFit="false"/>
      <protection locked="true" hidden="false"/>
    </xf>
    <xf numFmtId="165" fontId="5" fillId="0" borderId="0" xfId="0" applyFont="true" applyBorder="false" applyAlignment="false" applyProtection="false">
      <alignment horizontal="general" vertical="bottom" textRotation="0" wrapText="false" indent="0" shrinkToFit="false"/>
      <protection locked="true" hidden="false"/>
    </xf>
    <xf numFmtId="167" fontId="11" fillId="0" borderId="0" xfId="0" applyFont="true" applyBorder="false" applyAlignment="false" applyProtection="false">
      <alignment horizontal="general" vertical="bottom" textRotation="0" wrapText="false" indent="0" shrinkToFit="false"/>
      <protection locked="true" hidden="false"/>
    </xf>
    <xf numFmtId="170" fontId="7" fillId="0"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70" fontId="5" fillId="0" borderId="0" xfId="0" applyFont="true" applyBorder="false" applyAlignment="false" applyProtection="false">
      <alignment horizontal="general" vertical="bottom" textRotation="0" wrapText="false" indent="0" shrinkToFit="false"/>
      <protection locked="true" hidden="false"/>
    </xf>
    <xf numFmtId="167" fontId="7" fillId="5" borderId="1" xfId="0" applyFont="true" applyBorder="true" applyAlignment="false" applyProtection="false">
      <alignment horizontal="general" vertical="bottom" textRotation="0" wrapText="false" indent="0" shrinkToFit="false"/>
      <protection locked="true" hidden="false"/>
    </xf>
    <xf numFmtId="173" fontId="11" fillId="0" borderId="0" xfId="0" applyFont="true" applyBorder="false" applyAlignment="false" applyProtection="false">
      <alignment horizontal="general" vertical="bottom" textRotation="0" wrapText="false" indent="0" shrinkToFit="false"/>
      <protection locked="true" hidden="false"/>
    </xf>
    <xf numFmtId="170" fontId="11" fillId="0" borderId="0" xfId="0" applyFont="true" applyBorder="false" applyAlignment="false" applyProtection="false">
      <alignment horizontal="general" vertical="bottom" textRotation="0" wrapText="false" indent="0" shrinkToFit="false"/>
      <protection locked="true" hidden="false"/>
    </xf>
    <xf numFmtId="170" fontId="12" fillId="0" borderId="0" xfId="0" applyFont="true" applyBorder="false" applyAlignment="false" applyProtection="false">
      <alignment horizontal="general" vertical="bottom" textRotation="0" wrapText="false" indent="0" shrinkToFit="false"/>
      <protection locked="true" hidden="false"/>
    </xf>
    <xf numFmtId="166" fontId="12" fillId="0" borderId="0" xfId="0" applyFont="true" applyBorder="false" applyAlignment="false" applyProtection="false">
      <alignment horizontal="general" vertical="bottom" textRotation="0" wrapText="false" indent="0" shrinkToFit="false"/>
      <protection locked="true" hidden="false"/>
    </xf>
    <xf numFmtId="166" fontId="11" fillId="0" borderId="0" xfId="0" applyFont="true" applyBorder="false" applyAlignment="false" applyProtection="false">
      <alignment horizontal="general" vertical="bottom" textRotation="0" wrapText="false" indent="0" shrinkToFit="false"/>
      <protection locked="true" hidden="false"/>
    </xf>
    <xf numFmtId="170" fontId="5" fillId="5" borderId="0" xfId="0" applyFont="true" applyBorder="false" applyAlignment="false" applyProtection="false">
      <alignment horizontal="general" vertical="bottom" textRotation="0" wrapText="false" indent="0" shrinkToFit="false"/>
      <protection locked="true" hidden="false"/>
    </xf>
    <xf numFmtId="165" fontId="11" fillId="0" borderId="0" xfId="0" applyFont="true" applyBorder="false" applyAlignment="false" applyProtection="false">
      <alignment horizontal="general" vertical="bottom" textRotation="0" wrapText="false" indent="0" shrinkToFit="false"/>
      <protection locked="true" hidden="false"/>
    </xf>
    <xf numFmtId="168" fontId="7"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center" textRotation="0" wrapText="true" indent="0" shrinkToFit="false"/>
      <protection locked="true" hidden="false"/>
    </xf>
    <xf numFmtId="167" fontId="7" fillId="6" borderId="0" xfId="0" applyFont="true" applyBorder="false" applyAlignment="false" applyProtection="false">
      <alignment horizontal="general" vertical="bottom" textRotation="0" wrapText="false" indent="0" shrinkToFit="false"/>
      <protection locked="true" hidden="false"/>
    </xf>
    <xf numFmtId="167" fontId="5" fillId="0" borderId="1" xfId="0" applyFont="true" applyBorder="true" applyAlignment="false" applyProtection="false">
      <alignment horizontal="general" vertical="bottom" textRotation="0" wrapText="false" indent="0" shrinkToFit="false"/>
      <protection locked="true" hidden="false"/>
    </xf>
    <xf numFmtId="173" fontId="5" fillId="0" borderId="1" xfId="0" applyFont="true" applyBorder="true" applyAlignment="false" applyProtection="false">
      <alignment horizontal="general" vertical="bottom" textRotation="0" wrapText="false" indent="0" shrinkToFit="false"/>
      <protection locked="true" hidden="false"/>
    </xf>
    <xf numFmtId="169" fontId="5" fillId="0" borderId="1" xfId="0" applyFont="true" applyBorder="true" applyAlignment="false" applyProtection="false">
      <alignment horizontal="general" vertical="bottom" textRotation="0" wrapText="false" indent="0" shrinkToFit="false"/>
      <protection locked="true" hidden="false"/>
    </xf>
    <xf numFmtId="166" fontId="5" fillId="0" borderId="1" xfId="0" applyFont="true" applyBorder="true" applyAlignment="false" applyProtection="false">
      <alignment horizontal="general" vertical="bottom" textRotation="0" wrapText="false" indent="0" shrinkToFit="false"/>
      <protection locked="true" hidden="false"/>
    </xf>
    <xf numFmtId="170" fontId="5" fillId="0" borderId="1" xfId="0" applyFont="true" applyBorder="true" applyAlignment="false" applyProtection="false">
      <alignment horizontal="general" vertical="bottom" textRotation="0" wrapText="false" indent="0" shrinkToFit="false"/>
      <protection locked="true" hidden="false"/>
    </xf>
    <xf numFmtId="165" fontId="5" fillId="0" borderId="1" xfId="0" applyFont="true" applyBorder="true" applyAlignment="fals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general" vertical="center" textRotation="0" wrapText="true" indent="0" shrinkToFit="false"/>
      <protection locked="true" hidden="false"/>
    </xf>
    <xf numFmtId="165" fontId="7" fillId="0" borderId="0" xfId="0" applyFont="true" applyBorder="false" applyAlignment="false" applyProtection="false">
      <alignment horizontal="general" vertical="bottom" textRotation="0" wrapText="false" indent="0" shrinkToFit="false"/>
      <protection locked="true" hidden="false"/>
    </xf>
    <xf numFmtId="168" fontId="11" fillId="0" borderId="0" xfId="0" applyFont="true" applyBorder="false" applyAlignment="false" applyProtection="false">
      <alignment horizontal="general" vertical="bottom" textRotation="0" wrapText="false" indent="0" shrinkToFit="false"/>
      <protection locked="true" hidden="false"/>
    </xf>
    <xf numFmtId="177" fontId="5"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7" fillId="3" borderId="1" xfId="0" applyFont="true" applyBorder="true" applyAlignment="true" applyProtection="false">
      <alignment horizontal="center" vertical="center" textRotation="0" wrapText="false" indent="0" shrinkToFit="false"/>
      <protection locked="true" hidden="false"/>
    </xf>
    <xf numFmtId="171" fontId="7" fillId="6" borderId="1" xfId="0" applyFont="true" applyBorder="true" applyAlignment="false" applyProtection="false">
      <alignment horizontal="general" vertical="bottom" textRotation="0" wrapText="false" indent="0" shrinkToFit="false"/>
      <protection locked="true" hidden="false"/>
    </xf>
    <xf numFmtId="171" fontId="9" fillId="8" borderId="1" xfId="0" applyFont="true" applyBorder="true" applyAlignment="false" applyProtection="false">
      <alignment horizontal="general" vertical="bottom" textRotation="0" wrapText="false" indent="0" shrinkToFit="false"/>
      <protection locked="true" hidden="false"/>
    </xf>
    <xf numFmtId="164" fontId="5" fillId="8" borderId="0" xfId="0" applyFont="true" applyBorder="false" applyAlignment="true" applyProtection="false">
      <alignment horizontal="general" vertical="center" textRotation="0" wrapText="true" indent="0" shrinkToFit="false"/>
      <protection locked="true" hidden="false"/>
    </xf>
    <xf numFmtId="166" fontId="9" fillId="8" borderId="1" xfId="0" applyFont="true" applyBorder="true" applyAlignment="false" applyProtection="false">
      <alignment horizontal="general" vertical="bottom" textRotation="0" wrapText="false" indent="0" shrinkToFit="false"/>
      <protection locked="true" hidden="false"/>
    </xf>
    <xf numFmtId="168" fontId="9" fillId="8" borderId="1" xfId="0" applyFont="true" applyBorder="true" applyAlignment="false" applyProtection="false">
      <alignment horizontal="general" vertical="bottom" textRotation="0" wrapText="false" indent="0" shrinkToFit="false"/>
      <protection locked="true" hidden="false"/>
    </xf>
    <xf numFmtId="167" fontId="9" fillId="8" borderId="1" xfId="0" applyFont="true" applyBorder="true" applyAlignment="false" applyProtection="false">
      <alignment horizontal="general" vertical="bottom" textRotation="0" wrapText="false" indent="0" shrinkToFit="false"/>
      <protection locked="true" hidden="false"/>
    </xf>
    <xf numFmtId="164" fontId="7" fillId="3" borderId="1" xfId="0" applyFont="true" applyBorder="true" applyAlignment="false" applyProtection="false">
      <alignment horizontal="general" vertical="bottom" textRotation="0" wrapText="false" indent="0" shrinkToFit="false"/>
      <protection locked="true" hidden="false"/>
    </xf>
    <xf numFmtId="164" fontId="7" fillId="3" borderId="1" xfId="0" applyFont="true" applyBorder="true" applyAlignment="true" applyProtection="false">
      <alignment horizontal="general" vertical="center" textRotation="0" wrapText="true" indent="0" shrinkToFit="false"/>
      <protection locked="true" hidden="false"/>
    </xf>
    <xf numFmtId="169" fontId="11"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00000"/>
      <rgbColor rgb="FF00FF00"/>
      <rgbColor rgb="FF0000FF"/>
      <rgbColor rgb="FFFFFF00"/>
      <rgbColor rgb="FFFF00FF"/>
      <rgbColor rgb="FF00FFFF"/>
      <rgbColor rgb="FF800000"/>
      <rgbColor rgb="FF008000"/>
      <rgbColor rgb="FF000080"/>
      <rgbColor rgb="FF548235"/>
      <rgbColor rgb="FF800080"/>
      <rgbColor rgb="FF008080"/>
      <rgbColor rgb="FFBFBFBF"/>
      <rgbColor rgb="FF7F7F7F"/>
      <rgbColor rgb="FF9999FF"/>
      <rgbColor rgb="FF7030A0"/>
      <rgbColor rgb="FFFFF2CC"/>
      <rgbColor rgb="FFDDEBF7"/>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CE4D6"/>
      <rgbColor rgb="FF2F75B5"/>
      <rgbColor rgb="FF33CCCC"/>
      <rgbColor rgb="FF99CC00"/>
      <rgbColor rgb="FFFFC000"/>
      <rgbColor rgb="FFBF8F00"/>
      <rgbColor rgb="FFC55A11"/>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2.vml"/>
</Relationships>
</file>

<file path=xl/worksheets/_rels/sheet13.xml.rels><?xml version="1.0" encoding="UTF-8"?>
<Relationships xmlns="http://schemas.openxmlformats.org/package/2006/relationships"><Relationship Id="rId1" Type="http://schemas.openxmlformats.org/officeDocument/2006/relationships/comments" Target="../comments13.xml"/><Relationship Id="rId2" Type="http://schemas.openxmlformats.org/officeDocument/2006/relationships/vmlDrawing" Target="../drawings/vmlDrawing3.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false"/>
  </sheetPr>
  <dimension ref="A1:C1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4"/>
    <col collapsed="false" customWidth="true" hidden="false" outlineLevel="0" max="2" min="2" style="0" width="34"/>
    <col collapsed="false" customWidth="true" hidden="false" outlineLevel="0" max="3" min="3" style="0" width="110"/>
  </cols>
  <sheetData>
    <row r="1" customFormat="false" ht="18" hidden="false" customHeight="true" outlineLevel="0" collapsed="false">
      <c r="A1" s="1" t="s">
        <v>0</v>
      </c>
      <c r="B1" s="2"/>
      <c r="C1" s="2"/>
    </row>
    <row r="2" customFormat="false" ht="15" hidden="false" customHeight="false" outlineLevel="0" collapsed="false">
      <c r="B2" s="3" t="s">
        <v>1</v>
      </c>
    </row>
    <row r="4" customFormat="false" ht="30" hidden="false" customHeight="true" outlineLevel="0" collapsed="false">
      <c r="B4" s="4" t="s">
        <v>2</v>
      </c>
      <c r="C4" s="5" t="s">
        <v>3</v>
      </c>
    </row>
    <row r="5" customFormat="false" ht="45" hidden="false" customHeight="true" outlineLevel="0" collapsed="false">
      <c r="B5" s="4" t="s">
        <v>4</v>
      </c>
      <c r="C5" s="5" t="s">
        <v>5</v>
      </c>
    </row>
    <row r="6" customFormat="false" ht="45" hidden="false" customHeight="true" outlineLevel="0" collapsed="false">
      <c r="B6" s="4" t="s">
        <v>6</v>
      </c>
      <c r="C6" s="5" t="s">
        <v>7</v>
      </c>
    </row>
    <row r="7" customFormat="false" ht="45" hidden="false" customHeight="true" outlineLevel="0" collapsed="false">
      <c r="B7" s="4" t="s">
        <v>8</v>
      </c>
      <c r="C7" s="5" t="s">
        <v>9</v>
      </c>
    </row>
    <row r="8" customFormat="false" ht="150" hidden="false" customHeight="true" outlineLevel="0" collapsed="false">
      <c r="B8" s="4" t="s">
        <v>10</v>
      </c>
      <c r="C8" s="5" t="s">
        <v>11</v>
      </c>
    </row>
    <row r="9" customFormat="false" ht="60" hidden="false" customHeight="true" outlineLevel="0" collapsed="false">
      <c r="B9" s="4" t="s">
        <v>12</v>
      </c>
      <c r="C9" s="5" t="s">
        <v>13</v>
      </c>
    </row>
    <row r="10" customFormat="false" ht="30" hidden="false" customHeight="true" outlineLevel="0" collapsed="false">
      <c r="B10" s="4" t="s">
        <v>14</v>
      </c>
      <c r="C10" s="5" t="s">
        <v>15</v>
      </c>
    </row>
    <row r="11" customFormat="false" ht="60" hidden="false" customHeight="true" outlineLevel="0" collapsed="false">
      <c r="B11" s="4" t="s">
        <v>16</v>
      </c>
      <c r="C11" s="5" t="s">
        <v>17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0000"/>
    <pageSetUpPr fitToPage="false"/>
  </sheetPr>
  <dimension ref="A1:G5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50"/>
    <col collapsed="false" customWidth="true" hidden="false" outlineLevel="0" max="6" min="2" style="0" width="16"/>
    <col collapsed="false" customWidth="true" hidden="false" outlineLevel="0" max="7" min="7" style="0" width="40"/>
  </cols>
  <sheetData>
    <row r="1" customFormat="false" ht="18" hidden="false" customHeight="true" outlineLevel="0" collapsed="false">
      <c r="A1" s="6" t="s">
        <v>18</v>
      </c>
      <c r="B1" s="2"/>
      <c r="C1" s="2"/>
      <c r="D1" s="2"/>
      <c r="E1" s="2"/>
      <c r="F1" s="2"/>
      <c r="G1" s="2"/>
    </row>
    <row r="2" customFormat="false" ht="15" hidden="false" customHeight="false" outlineLevel="0" collapsed="false">
      <c r="A2" s="3" t="s">
        <v>19</v>
      </c>
    </row>
    <row r="4" customFormat="false" ht="15" hidden="false" customHeight="false" outlineLevel="0" collapsed="false">
      <c r="A4" s="7" t="s">
        <v>20</v>
      </c>
      <c r="B4" s="8"/>
      <c r="C4" s="8"/>
      <c r="D4" s="8"/>
      <c r="E4" s="8"/>
      <c r="F4" s="8"/>
      <c r="G4" s="8"/>
    </row>
    <row r="5" customFormat="false" ht="15" hidden="false" customHeight="false" outlineLevel="0" collapsed="false">
      <c r="A5" s="9" t="s">
        <v>21</v>
      </c>
      <c r="B5" s="10" t="n">
        <v>2</v>
      </c>
      <c r="G5" s="11" t="s">
        <v>22</v>
      </c>
    </row>
    <row r="6" customFormat="false" ht="23.85" hidden="false" customHeight="false" outlineLevel="0" collapsed="false">
      <c r="A6" s="9" t="s">
        <v>23</v>
      </c>
      <c r="B6" s="12" t="n">
        <v>0.375</v>
      </c>
      <c r="G6" s="11" t="s">
        <v>24</v>
      </c>
    </row>
    <row r="7" customFormat="false" ht="15" hidden="false" customHeight="false" outlineLevel="0" collapsed="false">
      <c r="A7" s="9" t="s">
        <v>25</v>
      </c>
      <c r="B7" s="13" t="n">
        <v>750</v>
      </c>
      <c r="G7" s="11" t="s">
        <v>26</v>
      </c>
    </row>
    <row r="8" customFormat="false" ht="23.85" hidden="false" customHeight="false" outlineLevel="0" collapsed="false">
      <c r="A8" s="9" t="s">
        <v>27</v>
      </c>
      <c r="B8" s="10" t="n">
        <v>1</v>
      </c>
      <c r="G8" s="11" t="s">
        <v>28</v>
      </c>
    </row>
    <row r="9" customFormat="false" ht="15" hidden="false" customHeight="false" outlineLevel="0" collapsed="false">
      <c r="A9" s="9" t="s">
        <v>29</v>
      </c>
      <c r="B9" s="12" t="n">
        <f aca="false">a_wacc_base</f>
        <v>0.13</v>
      </c>
      <c r="G9" s="11" t="s">
        <v>30</v>
      </c>
    </row>
    <row r="10" customFormat="false" ht="35.05" hidden="false" customHeight="false" outlineLevel="0" collapsed="false">
      <c r="A10" s="9" t="s">
        <v>31</v>
      </c>
      <c r="B10" s="10" t="n">
        <v>0</v>
      </c>
      <c r="G10" s="11" t="s">
        <v>32</v>
      </c>
    </row>
    <row r="11" customFormat="false" ht="15" hidden="false" customHeight="false" outlineLevel="0" collapsed="false">
      <c r="A11" s="9" t="s">
        <v>33</v>
      </c>
      <c r="B11" s="14" t="n">
        <f aca="false">CHOOSE(lv_gcase,a_g_bear,a_g_base,a_g_bull)</f>
        <v>0.2</v>
      </c>
    </row>
    <row r="13" customFormat="false" ht="15" hidden="false" customHeight="false" outlineLevel="0" collapsed="false">
      <c r="A13" s="7" t="s">
        <v>34</v>
      </c>
      <c r="B13" s="8"/>
      <c r="C13" s="8"/>
      <c r="D13" s="8"/>
      <c r="E13" s="8"/>
      <c r="F13" s="8"/>
      <c r="G13" s="8"/>
    </row>
    <row r="14" customFormat="false" ht="15" hidden="false" customHeight="false" outlineLevel="0" collapsed="false">
      <c r="A14" s="9" t="s">
        <v>35</v>
      </c>
      <c r="B14" s="13" t="n">
        <v>2100</v>
      </c>
      <c r="G14" s="3" t="s">
        <v>36</v>
      </c>
    </row>
    <row r="15" customFormat="false" ht="15" hidden="false" customHeight="false" outlineLevel="0" collapsed="false">
      <c r="A15" s="9" t="s">
        <v>37</v>
      </c>
      <c r="B15" s="13" t="n">
        <v>0</v>
      </c>
      <c r="G15" s="3" t="s">
        <v>38</v>
      </c>
    </row>
    <row r="16" customFormat="false" ht="15" hidden="false" customHeight="false" outlineLevel="0" collapsed="false">
      <c r="A16" s="9" t="s">
        <v>39</v>
      </c>
      <c r="B16" s="13" t="n">
        <v>1900</v>
      </c>
      <c r="G16" s="3" t="s">
        <v>40</v>
      </c>
    </row>
    <row r="17" customFormat="false" ht="15" hidden="false" customHeight="false" outlineLevel="0" collapsed="false">
      <c r="A17" s="9" t="s">
        <v>41</v>
      </c>
      <c r="B17" s="15" t="n">
        <f aca="false">lv_mix_cash+lv_mix_debt+lv_mix_eq</f>
        <v>4000</v>
      </c>
    </row>
    <row r="18" customFormat="false" ht="15" hidden="false" customHeight="false" outlineLevel="0" collapsed="false">
      <c r="A18" s="9" t="s">
        <v>42</v>
      </c>
      <c r="B18" s="13" t="n">
        <f aca="false">cf_deal</f>
        <v>4000</v>
      </c>
    </row>
    <row r="19" customFormat="false" ht="15" hidden="false" customHeight="false" outlineLevel="0" collapsed="false">
      <c r="A19" s="9" t="s">
        <v>43</v>
      </c>
      <c r="B19" s="16" t="n">
        <f aca="false">lv_mix_total-lv_price</f>
        <v>0</v>
      </c>
    </row>
    <row r="21" customFormat="false" ht="15" hidden="false" customHeight="false" outlineLevel="0" collapsed="false">
      <c r="A21" s="7" t="s">
        <v>44</v>
      </c>
      <c r="B21" s="8"/>
      <c r="C21" s="8"/>
      <c r="D21" s="8"/>
      <c r="E21" s="8"/>
      <c r="F21" s="8"/>
      <c r="G21" s="8"/>
    </row>
    <row r="22" customFormat="false" ht="15" hidden="false" customHeight="false" outlineLevel="0" collapsed="false">
      <c r="A22" s="9" t="s">
        <v>45</v>
      </c>
      <c r="B22" s="12" t="n">
        <f aca="false">a_stake</f>
        <v>0.26</v>
      </c>
      <c r="G22" s="3" t="s">
        <v>46</v>
      </c>
    </row>
    <row r="23" customFormat="false" ht="15" hidden="false" customHeight="false" outlineLevel="0" collapsed="false">
      <c r="A23" s="9" t="s">
        <v>47</v>
      </c>
      <c r="B23" s="13" t="n">
        <f aca="false">a_min_val100</f>
        <v>2500</v>
      </c>
      <c r="G23" s="3" t="s">
        <v>48</v>
      </c>
    </row>
    <row r="24" customFormat="false" ht="15" hidden="false" customHeight="false" outlineLevel="0" collapsed="false">
      <c r="A24" s="9" t="s">
        <v>49</v>
      </c>
      <c r="B24" s="12" t="n">
        <f aca="false">a_min_churn</f>
        <v>0</v>
      </c>
      <c r="G24" s="3" t="s">
        <v>50</v>
      </c>
    </row>
    <row r="25" customFormat="false" ht="15" hidden="false" customHeight="false" outlineLevel="0" collapsed="false">
      <c r="A25" s="9" t="s">
        <v>51</v>
      </c>
      <c r="B25" s="10" t="n">
        <f aca="false">a_min_drag_mode</f>
        <v>0</v>
      </c>
      <c r="G25" s="3" t="s">
        <v>52</v>
      </c>
    </row>
    <row r="26" customFormat="false" ht="15" hidden="false" customHeight="false" outlineLevel="0" collapsed="false">
      <c r="A26" s="9" t="s">
        <v>53</v>
      </c>
      <c r="B26" s="15" t="n">
        <f aca="false">lv_stake*lv_min_val100</f>
        <v>650</v>
      </c>
    </row>
    <row r="27" customFormat="false" ht="15" hidden="false" customHeight="false" outlineLevel="0" collapsed="false">
      <c r="A27" s="9" t="s">
        <v>54</v>
      </c>
      <c r="B27" s="17" t="n">
        <f aca="false">lv_min_val100/cf_arr</f>
        <v>11.3636363636364</v>
      </c>
      <c r="C27" s="18" t="n">
        <f aca="false">1-lv_min_val100/lv_price</f>
        <v>0.375</v>
      </c>
    </row>
    <row r="29" customFormat="false" ht="15" hidden="false" customHeight="false" outlineLevel="0" collapsed="false">
      <c r="A29" s="7" t="s">
        <v>55</v>
      </c>
      <c r="B29" s="8"/>
      <c r="C29" s="8"/>
      <c r="D29" s="8"/>
      <c r="E29" s="8"/>
      <c r="F29" s="8"/>
      <c r="G29" s="8"/>
    </row>
    <row r="30" customFormat="false" ht="30" hidden="false" customHeight="true" outlineLevel="0" collapsed="false">
      <c r="A30" s="19" t="s">
        <v>56</v>
      </c>
      <c r="B30" s="19" t="s">
        <v>57</v>
      </c>
      <c r="C30" s="19" t="s">
        <v>45</v>
      </c>
      <c r="D30" s="19" t="s">
        <v>58</v>
      </c>
      <c r="E30" s="19" t="s">
        <v>59</v>
      </c>
      <c r="F30" s="19" t="s">
        <v>60</v>
      </c>
      <c r="G30" s="19" t="s">
        <v>61</v>
      </c>
    </row>
    <row r="31" customFormat="false" ht="23.85" hidden="false" customHeight="false" outlineLevel="0" collapsed="false">
      <c r="A31" s="4" t="s">
        <v>62</v>
      </c>
      <c r="B31" s="20" t="n">
        <f aca="false">dcf_ev</f>
        <v>1218.80426198761</v>
      </c>
      <c r="C31" s="20" t="n">
        <f aca="false">dcf_ev</f>
        <v>1218.80426198761</v>
      </c>
      <c r="D31" s="20" t="n">
        <f aca="false">dcf_ev</f>
        <v>1218.80426198761</v>
      </c>
      <c r="E31" s="3" t="s">
        <v>63</v>
      </c>
      <c r="F31" s="3" t="s">
        <v>63</v>
      </c>
      <c r="G31" s="11" t="s">
        <v>64</v>
      </c>
    </row>
    <row r="32" customFormat="false" ht="23.85" hidden="false" customHeight="false" outlineLevel="0" collapsed="false">
      <c r="A32" s="9" t="s">
        <v>65</v>
      </c>
      <c r="B32" s="21" t="n">
        <f aca="false">e_eff_mult</f>
        <v>24.2424242424242</v>
      </c>
      <c r="C32" s="21" t="n">
        <f aca="false">lv_min_val100/cf_arr</f>
        <v>11.3636363636364</v>
      </c>
      <c r="D32" s="21" t="n">
        <f aca="false">(lv_min_price+eo_total)/(cf_arr*(1+lv_g)^a_opt_year*(1-a_ctrl_churn))</f>
        <v>12.3276515151515</v>
      </c>
      <c r="E32" s="3" t="s">
        <v>63</v>
      </c>
      <c r="F32" s="3" t="s">
        <v>63</v>
      </c>
      <c r="G32" s="11" t="s">
        <v>66</v>
      </c>
    </row>
    <row r="33" customFormat="false" ht="15" hidden="false" customHeight="false" outlineLevel="0" collapsed="false">
      <c r="A33" s="9" t="s">
        <v>67</v>
      </c>
      <c r="B33" s="22" t="n">
        <f aca="false">dcf_be_growth</f>
        <v>0.368431085656486</v>
      </c>
      <c r="G33" s="11" t="s">
        <v>68</v>
      </c>
    </row>
    <row r="34" customFormat="false" ht="15" hidden="false" customHeight="false" outlineLevel="0" collapsed="false">
      <c r="A34" s="4" t="s">
        <v>69</v>
      </c>
      <c r="B34" s="20" t="n">
        <f aca="false">e_fcf_y1</f>
        <v>-1045.475</v>
      </c>
      <c r="C34" s="20" t="n">
        <f aca="false">Structures!D54</f>
        <v>-29.925</v>
      </c>
      <c r="D34" s="20" t="n">
        <f aca="false">Structures!D105</f>
        <v>-29.925</v>
      </c>
      <c r="E34" s="20" t="n">
        <f aca="false">Structures!D131</f>
        <v>-13.41</v>
      </c>
      <c r="F34" s="20" t="n">
        <f aca="false">Structures!D139</f>
        <v>-83.3333333333333</v>
      </c>
      <c r="G34" s="11" t="s">
        <v>70</v>
      </c>
    </row>
    <row r="35" customFormat="false" ht="15" hidden="false" customHeight="false" outlineLevel="0" collapsed="false">
      <c r="A35" s="9" t="s">
        <v>71</v>
      </c>
      <c r="B35" s="23" t="n">
        <f aca="false">e_fcf_be</f>
        <v>99</v>
      </c>
      <c r="C35" s="3" t="s">
        <v>63</v>
      </c>
      <c r="D35" s="23" t="n">
        <f aca="false">Structures!C113</f>
        <v>7</v>
      </c>
      <c r="E35" s="3" t="s">
        <v>63</v>
      </c>
      <c r="F35" s="3" t="s">
        <v>63</v>
      </c>
      <c r="G35" s="11" t="s">
        <v>72</v>
      </c>
    </row>
    <row r="36" customFormat="false" ht="15" hidden="false" customHeight="false" outlineLevel="0" collapsed="false">
      <c r="A36" s="9" t="s">
        <v>73</v>
      </c>
      <c r="B36" s="23" t="n">
        <f aca="false">e_pat_be</f>
        <v>99</v>
      </c>
      <c r="C36" s="23" t="n">
        <f aca="false">Structures!C63</f>
        <v>7</v>
      </c>
      <c r="D36" s="23" t="n">
        <f aca="false">Structures!C112</f>
        <v>7</v>
      </c>
      <c r="E36" s="3" t="s">
        <v>63</v>
      </c>
      <c r="F36" s="3" t="s">
        <v>63</v>
      </c>
      <c r="G36" s="11" t="s">
        <v>74</v>
      </c>
    </row>
    <row r="37" customFormat="false" ht="15" hidden="false" customHeight="false" outlineLevel="0" collapsed="false">
      <c r="A37" s="4" t="s">
        <v>75</v>
      </c>
      <c r="B37" s="24" t="n">
        <f aca="false">e_lev_after</f>
        <v>0.546875</v>
      </c>
      <c r="C37" s="24" t="n">
        <f aca="false">c_lev0</f>
        <v>0.546875</v>
      </c>
      <c r="D37" s="24" t="n">
        <f aca="false">Structures!C120</f>
        <v>1.328125</v>
      </c>
      <c r="E37" s="24" t="n">
        <f aca="false">c_lev0</f>
        <v>0.546875</v>
      </c>
      <c r="F37" s="24" t="n">
        <f aca="false">c_lev0</f>
        <v>0.546875</v>
      </c>
      <c r="G37" s="11" t="s">
        <v>76</v>
      </c>
    </row>
    <row r="38" customFormat="false" ht="15" hidden="false" customHeight="false" outlineLevel="0" collapsed="false">
      <c r="A38" s="9" t="s">
        <v>77</v>
      </c>
      <c r="B38" s="20" t="n">
        <f aca="false">e_cash_after</f>
        <v>6640</v>
      </c>
      <c r="C38" s="20" t="n">
        <f aca="false">Structures!C64</f>
        <v>8235</v>
      </c>
      <c r="D38" s="20" t="n">
        <f aca="false">Structures!C119</f>
        <v>7560.52</v>
      </c>
      <c r="E38" s="20" t="n">
        <f aca="false">cf_cash-a_jv_capital</f>
        <v>8600</v>
      </c>
      <c r="F38" s="20" t="n">
        <f aca="false">cf_cash</f>
        <v>8900</v>
      </c>
      <c r="G38" s="11" t="s">
        <v>78</v>
      </c>
    </row>
    <row r="39" customFormat="false" ht="15" hidden="false" customHeight="false" outlineLevel="0" collapsed="false">
      <c r="A39" s="4" t="s">
        <v>79</v>
      </c>
      <c r="B39" s="25" t="n">
        <f aca="false">e_eps_y1</f>
        <v>5.25613619586614</v>
      </c>
      <c r="C39" s="25" t="n">
        <f aca="false">Structures!C61</f>
        <v>7.048509375</v>
      </c>
      <c r="D39" s="25" t="n">
        <f aca="false">Structures!C116</f>
        <v>7.048509375</v>
      </c>
      <c r="E39" s="25" t="n">
        <f aca="false">Structures!C134</f>
        <v>7.29609375</v>
      </c>
      <c r="F39" s="25" t="n">
        <f aca="false">Structures!C142</f>
        <v>6.5234375</v>
      </c>
      <c r="G39" s="11" t="s">
        <v>80</v>
      </c>
    </row>
    <row r="40" customFormat="false" ht="15" hidden="false" customHeight="false" outlineLevel="0" collapsed="false">
      <c r="A40" s="4" t="s">
        <v>81</v>
      </c>
      <c r="B40" s="22" t="n">
        <f aca="false">e_eps_y1/cf_eps-1</f>
        <v>-0.299181840551181</v>
      </c>
      <c r="C40" s="22" t="n">
        <f aca="false">Structures!C61/cf_eps-1</f>
        <v>-0.06019875</v>
      </c>
      <c r="D40" s="22" t="n">
        <f aca="false">Structures!C116/cf_eps-1</f>
        <v>-0.06019875</v>
      </c>
      <c r="E40" s="22" t="n">
        <f aca="false">Structures!C134/cf_eps-1</f>
        <v>-0.0271875</v>
      </c>
      <c r="F40" s="22" t="n">
        <f aca="false">Structures!C142/cf_eps-1</f>
        <v>-0.130208333333333</v>
      </c>
      <c r="G40" s="11" t="s">
        <v>82</v>
      </c>
    </row>
    <row r="41" customFormat="false" ht="15" hidden="false" customHeight="false" outlineLevel="0" collapsed="false">
      <c r="A41" s="4" t="s">
        <v>83</v>
      </c>
      <c r="B41" s="25" t="n">
        <f aca="false">e_eps_y3</f>
        <v>5.21936515748032</v>
      </c>
      <c r="C41" s="25" t="n">
        <f aca="false">Structures!C62</f>
        <v>7.171417875</v>
      </c>
      <c r="D41" s="25" t="n">
        <f aca="false">Structures!C117</f>
        <v>6.53126170187205</v>
      </c>
      <c r="E41" s="25" t="n">
        <f aca="false">Structures!C135</f>
        <v>7.35234375</v>
      </c>
      <c r="F41" s="25" t="n">
        <f aca="false">cf_eps</f>
        <v>7.5</v>
      </c>
      <c r="G41" s="11"/>
    </row>
    <row r="42" customFormat="false" ht="15" hidden="false" customHeight="false" outlineLevel="0" collapsed="false">
      <c r="A42" s="4" t="s">
        <v>84</v>
      </c>
      <c r="B42" s="20" t="n">
        <f aca="false">e_npv</f>
        <v>-7486.75737685072</v>
      </c>
      <c r="C42" s="20" t="n">
        <f aca="false">Structures!C60</f>
        <v>-348.110891883221</v>
      </c>
      <c r="D42" s="20" t="n">
        <f aca="false">Structures!C115</f>
        <v>-1187.33958986171</v>
      </c>
      <c r="E42" s="20" t="n">
        <f aca="false">Structures!C133</f>
        <v>-283.573355481788</v>
      </c>
      <c r="F42" s="20" t="n">
        <f aca="false">Structures!C141</f>
        <v>-196.762716488657</v>
      </c>
      <c r="G42" s="11" t="s">
        <v>85</v>
      </c>
    </row>
    <row r="43" customFormat="false" ht="15" hidden="false" customHeight="false" outlineLevel="0" collapsed="false">
      <c r="A43" s="9" t="s">
        <v>86</v>
      </c>
      <c r="B43" s="20" t="n">
        <f aca="false">lv_price+lv_price*a_fees_pct+a_integ_full</f>
        <v>4160</v>
      </c>
      <c r="C43" s="20" t="n">
        <f aca="false">lv_min_price+a_integ_min</f>
        <v>665</v>
      </c>
      <c r="D43" s="20" t="n">
        <f aca="false">hy_max_total</f>
        <v>2603.6</v>
      </c>
      <c r="E43" s="20" t="n">
        <f aca="false">a_jv_capital</f>
        <v>300</v>
      </c>
      <c r="F43" s="20" t="n">
        <f aca="false">a_build_cost</f>
        <v>250</v>
      </c>
      <c r="G43" s="11"/>
    </row>
    <row r="44" customFormat="false" ht="15" hidden="false" customHeight="false" outlineLevel="0" collapsed="false">
      <c r="A44" s="9" t="s">
        <v>87</v>
      </c>
      <c r="B44" s="20" t="n">
        <f aca="false">lv_price+lv_price*a_fees_pct+a_integ_full</f>
        <v>4160</v>
      </c>
      <c r="C44" s="20" t="n">
        <f aca="false">lv_min_price+a_integ_min</f>
        <v>665</v>
      </c>
      <c r="D44" s="20" t="n">
        <f aca="false">lv_min_price+a_integ_min</f>
        <v>665</v>
      </c>
      <c r="E44" s="20" t="n">
        <f aca="false">a_jv_capital</f>
        <v>300</v>
      </c>
      <c r="F44" s="20" t="n">
        <f aca="false">0</f>
        <v>0</v>
      </c>
      <c r="G44" s="11" t="s">
        <v>88</v>
      </c>
    </row>
    <row r="45" customFormat="false" ht="15" hidden="false" customHeight="false" outlineLevel="0" collapsed="false">
      <c r="A45" s="4" t="s">
        <v>89</v>
      </c>
      <c r="B45" s="22" t="str">
        <f aca="false">ch_max_churn</f>
        <v>none: NPV&lt;0 even at 0% churn</v>
      </c>
      <c r="G45" s="11" t="s">
        <v>90</v>
      </c>
    </row>
    <row r="46" customFormat="false" ht="15" hidden="false" customHeight="false" outlineLevel="0" collapsed="false">
      <c r="A46" s="9" t="s">
        <v>91</v>
      </c>
      <c r="B46" s="20" t="n">
        <f aca="false">cd_max_drag</f>
        <v>-629.731191574665</v>
      </c>
      <c r="G46" s="11" t="s">
        <v>92</v>
      </c>
    </row>
    <row r="47" customFormat="false" ht="15" hidden="false" customHeight="false" outlineLevel="0" collapsed="false">
      <c r="A47" s="9" t="s">
        <v>93</v>
      </c>
      <c r="B47" s="20" t="n">
        <f aca="false">th_max_price_full</f>
        <v>-3486.75737685072</v>
      </c>
      <c r="G47" s="11" t="s">
        <v>94</v>
      </c>
    </row>
    <row r="48" customFormat="false" ht="15" hidden="false" customHeight="false" outlineLevel="0" collapsed="false">
      <c r="A48" s="9" t="s">
        <v>95</v>
      </c>
      <c r="B48" s="20" t="n">
        <f aca="false">th_strat_prem</f>
        <v>7486.75737685072</v>
      </c>
      <c r="G48" s="11" t="s">
        <v>96</v>
      </c>
    </row>
    <row r="49" customFormat="false" ht="15" hidden="false" customHeight="false" outlineLevel="0" collapsed="false">
      <c r="A49" s="9" t="s">
        <v>97</v>
      </c>
      <c r="D49" s="23" t="n">
        <f aca="false">th_hy_gate</f>
        <v>0</v>
      </c>
      <c r="G49" s="11" t="s">
        <v>98</v>
      </c>
    </row>
    <row r="51" customFormat="false" ht="15" hidden="false" customHeight="false" outlineLevel="0" collapsed="false">
      <c r="A51" s="7" t="s">
        <v>99</v>
      </c>
      <c r="B51" s="8"/>
      <c r="C51" s="8"/>
      <c r="D51" s="8"/>
      <c r="E51" s="8"/>
      <c r="F51" s="8"/>
      <c r="G51" s="8"/>
    </row>
    <row r="52" customFormat="false" ht="15" hidden="false" customHeight="false" outlineLevel="0" collapsed="false">
      <c r="A52" s="9" t="s">
        <v>100</v>
      </c>
      <c r="B52" s="26" t="str">
        <f aca="false">IF(e_npv&gt;=0,"Value-creating","Value-destroying: NPV "&amp;TEXT(e_npv,"#,##0")&amp;" Cr; FCF breakeven "&amp;IF(e_fcf_be=99,"never in 10 yrs","year "&amp;e_fcf_be))</f>
        <v>Value-destroying: NPV -7,487 Cr; FCF breakeven never in 10 yrs</v>
      </c>
      <c r="C52" s="26"/>
      <c r="D52" s="26"/>
      <c r="E52" s="26"/>
      <c r="F52" s="26"/>
      <c r="G52" s="26"/>
    </row>
    <row r="53" customFormat="false" ht="15" hidden="false" customHeight="false" outlineLevel="0" collapsed="false">
      <c r="A53" s="9" t="s">
        <v>101</v>
      </c>
      <c r="B53" s="26" t="str">
        <f aca="false">IF(th_min_npv&gt;=0,"Financially self-supporting","Costs "&amp;TEXT(-th_min_npv,"#,##0")&amp;" Cr of NPV = the price of access + blocking rights; justify as an option, not as an investment")</f>
        <v>Costs 348 Cr of NPV = the price of access + blocking rights; justify as an option, not as an investment</v>
      </c>
      <c r="C53" s="26"/>
      <c r="D53" s="26"/>
      <c r="E53" s="26"/>
      <c r="F53" s="26"/>
      <c r="G53" s="26"/>
    </row>
    <row r="54" customFormat="false" ht="15" hidden="false" customHeight="false" outlineLevel="0" collapsed="false">
      <c r="A54" s="9" t="s">
        <v>102</v>
      </c>
      <c r="B54" s="26" t="str">
        <f aca="false">IF(AND(th_hy_gate=1,th_hy_npv&gt;=0),"Eligible to exercise (subject to consents, RBI treatment, compliance)","HOLD the minority: "&amp;IF(th_hy_gate=0,"breakeven gate fails; ","")&amp;IF(th_hy_npv&lt;0,"NPV negative at these terms",""))</f>
        <v>HOLD the minority: breakeven gate fails; NPV negative at these terms</v>
      </c>
      <c r="C54" s="26"/>
      <c r="D54" s="26"/>
      <c r="E54" s="26"/>
      <c r="F54" s="26"/>
      <c r="G54" s="26"/>
    </row>
  </sheetData>
  <mergeCells count="3">
    <mergeCell ref="B52:G52"/>
    <mergeCell ref="B53:G53"/>
    <mergeCell ref="B54:G5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F75B5"/>
    <pageSetUpPr fitToPage="false"/>
  </sheetPr>
  <dimension ref="A1:D11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46"/>
    <col collapsed="false" customWidth="true" hidden="false" outlineLevel="0" max="2" min="2" style="0" width="16"/>
    <col collapsed="false" customWidth="true" hidden="false" outlineLevel="0" max="3" min="3" style="0" width="14"/>
    <col collapsed="false" customWidth="true" hidden="false" outlineLevel="0" max="4" min="4" style="0" width="60"/>
  </cols>
  <sheetData>
    <row r="1" customFormat="false" ht="18" hidden="false" customHeight="true" outlineLevel="0" collapsed="false">
      <c r="A1" s="6" t="s">
        <v>103</v>
      </c>
      <c r="B1" s="2"/>
      <c r="C1" s="2"/>
      <c r="D1" s="2"/>
    </row>
    <row r="2" customFormat="false" ht="15" hidden="false" customHeight="false" outlineLevel="0" collapsed="false">
      <c r="A2" s="3" t="s">
        <v>104</v>
      </c>
    </row>
    <row r="4" customFormat="false" ht="15" hidden="false" customHeight="false" outlineLevel="0" collapsed="false">
      <c r="A4" s="7" t="s">
        <v>105</v>
      </c>
      <c r="B4" s="8"/>
      <c r="C4" s="8"/>
      <c r="D4" s="8"/>
    </row>
    <row r="5" customFormat="false" ht="15" hidden="false" customHeight="false" outlineLevel="0" collapsed="false">
      <c r="A5" s="9" t="s">
        <v>106</v>
      </c>
      <c r="B5" s="27" t="n">
        <v>118750</v>
      </c>
      <c r="D5" s="3" t="s">
        <v>107</v>
      </c>
    </row>
    <row r="6" customFormat="false" ht="15" hidden="false" customHeight="false" outlineLevel="0" collapsed="false">
      <c r="A6" s="9" t="s">
        <v>108</v>
      </c>
      <c r="B6" s="28" t="n">
        <v>64</v>
      </c>
      <c r="D6" s="3" t="s">
        <v>109</v>
      </c>
    </row>
    <row r="7" customFormat="false" ht="15" hidden="false" customHeight="false" outlineLevel="0" collapsed="false">
      <c r="A7" s="9" t="s">
        <v>110</v>
      </c>
      <c r="B7" s="27" t="n">
        <v>8900</v>
      </c>
      <c r="D7" s="3" t="s">
        <v>111</v>
      </c>
    </row>
    <row r="8" customFormat="false" ht="15" hidden="false" customHeight="false" outlineLevel="0" collapsed="false">
      <c r="A8" s="9" t="s">
        <v>112</v>
      </c>
      <c r="B8" s="27" t="n">
        <v>350</v>
      </c>
      <c r="D8" s="3" t="s">
        <v>113</v>
      </c>
    </row>
    <row r="9" customFormat="false" ht="15" hidden="false" customHeight="false" outlineLevel="0" collapsed="false">
      <c r="A9" s="9" t="s">
        <v>114</v>
      </c>
      <c r="B9" s="27" t="n">
        <v>8450</v>
      </c>
      <c r="D9" s="3" t="s">
        <v>115</v>
      </c>
    </row>
    <row r="10" customFormat="false" ht="15" hidden="false" customHeight="false" outlineLevel="0" collapsed="false">
      <c r="A10" s="9" t="s">
        <v>116</v>
      </c>
      <c r="B10" s="27" t="n">
        <v>640</v>
      </c>
      <c r="D10" s="3" t="s">
        <v>117</v>
      </c>
    </row>
    <row r="11" customFormat="false" ht="15" hidden="false" customHeight="false" outlineLevel="0" collapsed="false">
      <c r="A11" s="9" t="s">
        <v>118</v>
      </c>
      <c r="B11" s="27" t="n">
        <v>480</v>
      </c>
      <c r="D11" s="3" t="s">
        <v>119</v>
      </c>
    </row>
    <row r="12" customFormat="false" ht="15" hidden="false" customHeight="false" outlineLevel="0" collapsed="false">
      <c r="A12" s="9" t="s">
        <v>120</v>
      </c>
      <c r="B12" s="29" t="n">
        <v>7.5</v>
      </c>
      <c r="D12" s="3" t="s">
        <v>121</v>
      </c>
    </row>
    <row r="13" customFormat="false" ht="15" hidden="false" customHeight="false" outlineLevel="0" collapsed="false">
      <c r="A13" s="9" t="s">
        <v>122</v>
      </c>
      <c r="B13" s="30" t="s">
        <v>123</v>
      </c>
    </row>
    <row r="15" customFormat="false" ht="15" hidden="false" customHeight="false" outlineLevel="0" collapsed="false">
      <c r="A15" s="7" t="s">
        <v>124</v>
      </c>
      <c r="B15" s="8"/>
      <c r="C15" s="8"/>
      <c r="D15" s="8"/>
    </row>
    <row r="16" customFormat="false" ht="15" hidden="false" customHeight="false" outlineLevel="0" collapsed="false">
      <c r="A16" s="9" t="s">
        <v>125</v>
      </c>
      <c r="B16" s="27" t="n">
        <v>4000</v>
      </c>
      <c r="D16" s="3" t="s">
        <v>126</v>
      </c>
    </row>
    <row r="17" customFormat="false" ht="15" hidden="false" customHeight="false" outlineLevel="0" collapsed="false">
      <c r="A17" s="9" t="s">
        <v>127</v>
      </c>
      <c r="B17" s="27" t="n">
        <v>2100</v>
      </c>
      <c r="D17" s="3" t="s">
        <v>128</v>
      </c>
    </row>
    <row r="18" customFormat="false" ht="15" hidden="false" customHeight="false" outlineLevel="0" collapsed="false">
      <c r="A18" s="9" t="s">
        <v>129</v>
      </c>
      <c r="B18" s="27" t="n">
        <v>1900</v>
      </c>
      <c r="D18" s="3" t="s">
        <v>130</v>
      </c>
    </row>
    <row r="19" customFormat="false" ht="15" hidden="false" customHeight="false" outlineLevel="0" collapsed="false">
      <c r="A19" s="9" t="s">
        <v>131</v>
      </c>
      <c r="B19" s="27" t="n">
        <v>220</v>
      </c>
      <c r="D19" s="3" t="s">
        <v>132</v>
      </c>
    </row>
    <row r="20" customFormat="false" ht="15" hidden="false" customHeight="false" outlineLevel="0" collapsed="false">
      <c r="A20" s="9" t="s">
        <v>133</v>
      </c>
      <c r="B20" s="27" t="n">
        <v>0</v>
      </c>
      <c r="D20" s="3" t="s">
        <v>134</v>
      </c>
    </row>
    <row r="21" customFormat="false" ht="15" hidden="false" customHeight="false" outlineLevel="0" collapsed="false">
      <c r="A21" s="9" t="s">
        <v>135</v>
      </c>
      <c r="B21" s="31" t="n">
        <v>0.6</v>
      </c>
      <c r="D21" s="3" t="s">
        <v>136</v>
      </c>
    </row>
    <row r="22" customFormat="false" ht="15" hidden="false" customHeight="false" outlineLevel="0" collapsed="false">
      <c r="A22" s="9" t="s">
        <v>137</v>
      </c>
      <c r="B22" s="31" t="n">
        <v>0.3</v>
      </c>
      <c r="D22" s="3" t="s">
        <v>138</v>
      </c>
    </row>
    <row r="23" customFormat="false" ht="15" hidden="false" customHeight="false" outlineLevel="0" collapsed="false">
      <c r="A23" s="9" t="s">
        <v>139</v>
      </c>
      <c r="B23" s="31" t="n">
        <v>0.45</v>
      </c>
      <c r="D23" s="3" t="s">
        <v>140</v>
      </c>
    </row>
    <row r="24" customFormat="false" ht="15" hidden="false" customHeight="false" outlineLevel="0" collapsed="false">
      <c r="A24" s="9" t="s">
        <v>141</v>
      </c>
      <c r="B24" s="27" t="n">
        <v>750</v>
      </c>
      <c r="D24" s="3" t="s">
        <v>142</v>
      </c>
    </row>
    <row r="25" customFormat="false" ht="15" hidden="false" customHeight="false" outlineLevel="0" collapsed="false">
      <c r="A25" s="9" t="s">
        <v>143</v>
      </c>
      <c r="B25" s="27" t="n">
        <v>115</v>
      </c>
      <c r="D25" s="3" t="s">
        <v>144</v>
      </c>
    </row>
    <row r="26" customFormat="false" ht="15" hidden="false" customHeight="false" outlineLevel="0" collapsed="false">
      <c r="A26" s="9" t="s">
        <v>145</v>
      </c>
      <c r="B26" s="30" t="s">
        <v>146</v>
      </c>
    </row>
    <row r="27" customFormat="false" ht="15" hidden="false" customHeight="false" outlineLevel="0" collapsed="false">
      <c r="A27" s="9" t="s">
        <v>147</v>
      </c>
      <c r="B27" s="30" t="s">
        <v>148</v>
      </c>
    </row>
    <row r="29" customFormat="false" ht="15" hidden="false" customHeight="false" outlineLevel="0" collapsed="false">
      <c r="A29" s="7" t="s">
        <v>149</v>
      </c>
      <c r="B29" s="8"/>
      <c r="C29" s="8"/>
      <c r="D29" s="8"/>
    </row>
    <row r="30" customFormat="false" ht="15" hidden="false" customHeight="false" outlineLevel="0" collapsed="false">
      <c r="A30" s="9" t="s">
        <v>150</v>
      </c>
      <c r="B30" s="32" t="n">
        <f aca="false">cf_mcap/cf_shares</f>
        <v>1855.46875</v>
      </c>
    </row>
    <row r="31" customFormat="false" ht="15" hidden="false" customHeight="false" outlineLevel="0" collapsed="false">
      <c r="A31" s="9" t="s">
        <v>151</v>
      </c>
      <c r="B31" s="17" t="n">
        <f aca="false">cf_mcap/cf_pat</f>
        <v>247.395833333333</v>
      </c>
    </row>
    <row r="32" customFormat="false" ht="15" hidden="false" customHeight="false" outlineLevel="0" collapsed="false">
      <c r="A32" s="9" t="s">
        <v>152</v>
      </c>
      <c r="B32" s="33" t="n">
        <f aca="false">cf_pat/cf_mcap</f>
        <v>0.0040421052631579</v>
      </c>
    </row>
    <row r="33" customFormat="false" ht="15" hidden="false" customHeight="false" outlineLevel="0" collapsed="false">
      <c r="A33" s="9" t="s">
        <v>153</v>
      </c>
      <c r="B33" s="34" t="n">
        <f aca="false">cf_deal/cf_arr</f>
        <v>18.1818181818182</v>
      </c>
    </row>
    <row r="34" customFormat="false" ht="15" hidden="false" customHeight="false" outlineLevel="0" collapsed="false">
      <c r="A34" s="9" t="s">
        <v>154</v>
      </c>
      <c r="B34" s="35" t="n">
        <f aca="false">cf_deal_eq/c_price</f>
        <v>1.024</v>
      </c>
    </row>
    <row r="35" customFormat="false" ht="15" hidden="false" customHeight="false" outlineLevel="0" collapsed="false">
      <c r="A35" s="9" t="s">
        <v>155</v>
      </c>
      <c r="B35" s="18" t="n">
        <f aca="false">c_new_shares_case/cf_shares</f>
        <v>0.016</v>
      </c>
    </row>
    <row r="36" customFormat="false" ht="15" hidden="false" customHeight="false" outlineLevel="0" collapsed="false">
      <c r="A36" s="9" t="s">
        <v>156</v>
      </c>
      <c r="B36" s="32" t="n">
        <f aca="false">cf_arr*cf_top4</f>
        <v>132</v>
      </c>
    </row>
    <row r="37" customFormat="false" ht="15" hidden="false" customHeight="false" outlineLevel="0" collapsed="false">
      <c r="A37" s="9" t="s">
        <v>157</v>
      </c>
      <c r="B37" s="36" t="n">
        <f aca="false">cf_arr*cf_churn_lo</f>
        <v>66</v>
      </c>
    </row>
    <row r="38" customFormat="false" ht="15" hidden="false" customHeight="false" outlineLevel="0" collapsed="false">
      <c r="A38" s="9" t="s">
        <v>158</v>
      </c>
      <c r="B38" s="36" t="n">
        <f aca="false">cf_arr*cf_churn_hi</f>
        <v>99</v>
      </c>
    </row>
    <row r="39" customFormat="false" ht="15" hidden="false" customHeight="false" outlineLevel="0" collapsed="false">
      <c r="A39" s="9" t="s">
        <v>159</v>
      </c>
      <c r="B39" s="18" t="n">
        <f aca="false">cf_churn_lo/cf_top4</f>
        <v>0.5</v>
      </c>
    </row>
    <row r="40" customFormat="false" ht="15" hidden="false" customHeight="false" outlineLevel="0" collapsed="false">
      <c r="A40" s="9" t="s">
        <v>160</v>
      </c>
      <c r="B40" s="18" t="n">
        <f aca="false">cf_churn_hi/cf_top4</f>
        <v>0.75</v>
      </c>
    </row>
    <row r="41" customFormat="false" ht="15" hidden="false" customHeight="false" outlineLevel="0" collapsed="false">
      <c r="A41" s="9" t="s">
        <v>161</v>
      </c>
      <c r="B41" s="18" t="n">
        <f aca="false">cf_drag/cf_ebitda</f>
        <v>1.171875</v>
      </c>
    </row>
    <row r="42" customFormat="false" ht="15" hidden="false" customHeight="false" outlineLevel="0" collapsed="false">
      <c r="A42" s="9" t="s">
        <v>162</v>
      </c>
      <c r="B42" s="18" t="n">
        <f aca="false">cf_drag/cf_pat</f>
        <v>1.5625</v>
      </c>
    </row>
    <row r="43" customFormat="false" ht="15" hidden="false" customHeight="false" outlineLevel="0" collapsed="false">
      <c r="A43" s="9" t="s">
        <v>163</v>
      </c>
      <c r="B43" s="17" t="n">
        <f aca="false">cf_drag/cf_arr</f>
        <v>3.40909090909091</v>
      </c>
    </row>
    <row r="44" customFormat="false" ht="15" hidden="false" customHeight="false" outlineLevel="0" collapsed="false">
      <c r="A44" s="9" t="s">
        <v>164</v>
      </c>
      <c r="B44" s="18" t="n">
        <f aca="false">cf_mdr/cf_drag</f>
        <v>0.153333333333333</v>
      </c>
    </row>
    <row r="45" customFormat="false" ht="15" hidden="false" customHeight="false" outlineLevel="0" collapsed="false">
      <c r="A45" s="9" t="s">
        <v>165</v>
      </c>
      <c r="B45" s="18" t="n">
        <f aca="false">cf_deal/cf_mcap</f>
        <v>0.0336842105263158</v>
      </c>
    </row>
    <row r="46" customFormat="false" ht="15" hidden="false" customHeight="false" outlineLevel="0" collapsed="false">
      <c r="A46" s="9" t="s">
        <v>166</v>
      </c>
      <c r="B46" s="18" t="n">
        <f aca="false">cf_deal_cash/cf_cash</f>
        <v>0.235955056179775</v>
      </c>
    </row>
    <row r="47" customFormat="false" ht="15" hidden="false" customHeight="false" outlineLevel="0" collapsed="false">
      <c r="A47" s="9" t="s">
        <v>167</v>
      </c>
      <c r="B47" s="32" t="n">
        <f aca="false">cf_cash-cf_debt</f>
        <v>8550</v>
      </c>
    </row>
    <row r="48" customFormat="false" ht="15" hidden="false" customHeight="false" outlineLevel="0" collapsed="false">
      <c r="A48" s="9" t="s">
        <v>168</v>
      </c>
      <c r="B48" s="34" t="n">
        <f aca="false">cf_debt/cf_ebitda</f>
        <v>0.546875</v>
      </c>
    </row>
    <row r="50" customFormat="false" ht="15" hidden="false" customHeight="false" outlineLevel="0" collapsed="false">
      <c r="A50" s="7" t="s">
        <v>169</v>
      </c>
      <c r="B50" s="8"/>
      <c r="C50" s="8"/>
      <c r="D50" s="8"/>
    </row>
    <row r="51" customFormat="false" ht="15" hidden="false" customHeight="false" outlineLevel="0" collapsed="false">
      <c r="A51" s="9" t="s">
        <v>170</v>
      </c>
      <c r="B51" s="12" t="n">
        <v>0.1</v>
      </c>
      <c r="D51" s="3" t="s">
        <v>171</v>
      </c>
    </row>
    <row r="52" customFormat="false" ht="15" hidden="false" customHeight="false" outlineLevel="0" collapsed="false">
      <c r="A52" s="9" t="s">
        <v>172</v>
      </c>
      <c r="B52" s="12" t="n">
        <v>0.2</v>
      </c>
      <c r="D52" s="3" t="s">
        <v>173</v>
      </c>
    </row>
    <row r="53" customFormat="false" ht="15" hidden="false" customHeight="false" outlineLevel="0" collapsed="false">
      <c r="A53" s="9" t="s">
        <v>174</v>
      </c>
      <c r="B53" s="12" t="n">
        <v>0.3</v>
      </c>
      <c r="D53" s="3" t="s">
        <v>175</v>
      </c>
    </row>
    <row r="54" customFormat="false" ht="15" hidden="false" customHeight="false" outlineLevel="0" collapsed="false">
      <c r="A54" s="9" t="s">
        <v>176</v>
      </c>
      <c r="B54" s="12" t="n">
        <v>0</v>
      </c>
      <c r="D54" s="3" t="s">
        <v>177</v>
      </c>
    </row>
    <row r="55" customFormat="false" ht="15" hidden="false" customHeight="false" outlineLevel="0" collapsed="false">
      <c r="A55" s="9" t="s">
        <v>178</v>
      </c>
      <c r="B55" s="12" t="n">
        <v>0.05</v>
      </c>
      <c r="D55" s="3" t="s">
        <v>179</v>
      </c>
    </row>
    <row r="56" customFormat="false" ht="15" hidden="false" customHeight="false" outlineLevel="0" collapsed="false">
      <c r="A56" s="9" t="s">
        <v>180</v>
      </c>
      <c r="B56" s="12" t="n">
        <v>0.25</v>
      </c>
      <c r="D56" s="3" t="s">
        <v>181</v>
      </c>
    </row>
    <row r="57" customFormat="false" ht="15" hidden="false" customHeight="false" outlineLevel="0" collapsed="false">
      <c r="A57" s="9" t="s">
        <v>182</v>
      </c>
      <c r="B57" s="12" t="n">
        <v>0.25</v>
      </c>
      <c r="D57" s="3" t="s">
        <v>183</v>
      </c>
    </row>
    <row r="58" customFormat="false" ht="15" hidden="false" customHeight="false" outlineLevel="0" collapsed="false">
      <c r="A58" s="9" t="s">
        <v>184</v>
      </c>
      <c r="B58" s="12" t="n">
        <v>0.03</v>
      </c>
      <c r="D58" s="3" t="s">
        <v>185</v>
      </c>
    </row>
    <row r="59" customFormat="false" ht="15" hidden="false" customHeight="false" outlineLevel="0" collapsed="false">
      <c r="A59" s="9" t="s">
        <v>186</v>
      </c>
      <c r="B59" s="12" t="n">
        <v>0.03</v>
      </c>
      <c r="D59" s="3" t="s">
        <v>187</v>
      </c>
    </row>
    <row r="60" customFormat="false" ht="15" hidden="false" customHeight="false" outlineLevel="0" collapsed="false">
      <c r="A60" s="9" t="s">
        <v>188</v>
      </c>
      <c r="B60" s="12" t="n">
        <v>0.05</v>
      </c>
      <c r="D60" s="3" t="s">
        <v>189</v>
      </c>
    </row>
    <row r="61" customFormat="false" ht="15" hidden="false" customHeight="false" outlineLevel="0" collapsed="false">
      <c r="A61" s="9" t="s">
        <v>190</v>
      </c>
      <c r="B61" s="12" t="n">
        <v>0.5</v>
      </c>
      <c r="D61" s="3" t="s">
        <v>191</v>
      </c>
    </row>
    <row r="62" customFormat="false" ht="15" hidden="false" customHeight="false" outlineLevel="0" collapsed="false">
      <c r="A62" s="9" t="s">
        <v>192</v>
      </c>
      <c r="B62" s="10" t="n">
        <v>1</v>
      </c>
      <c r="D62" s="3" t="s">
        <v>193</v>
      </c>
    </row>
    <row r="63" customFormat="false" ht="15" hidden="false" customHeight="false" outlineLevel="0" collapsed="false">
      <c r="A63" s="9" t="s">
        <v>194</v>
      </c>
      <c r="B63" s="10" t="n">
        <v>10</v>
      </c>
      <c r="D63" s="3" t="s">
        <v>195</v>
      </c>
    </row>
    <row r="65" customFormat="false" ht="15" hidden="false" customHeight="false" outlineLevel="0" collapsed="false">
      <c r="A65" s="7" t="s">
        <v>196</v>
      </c>
      <c r="B65" s="8"/>
      <c r="C65" s="8"/>
      <c r="D65" s="8"/>
    </row>
    <row r="66" customFormat="false" ht="15" hidden="false" customHeight="false" outlineLevel="0" collapsed="false">
      <c r="A66" s="9" t="s">
        <v>197</v>
      </c>
      <c r="B66" s="12" t="n">
        <v>0.06</v>
      </c>
      <c r="D66" s="3" t="s">
        <v>198</v>
      </c>
    </row>
    <row r="67" customFormat="false" ht="15" hidden="false" customHeight="false" outlineLevel="0" collapsed="false">
      <c r="A67" s="9" t="s">
        <v>199</v>
      </c>
      <c r="B67" s="12" t="n">
        <v>0.085</v>
      </c>
      <c r="D67" s="3" t="s">
        <v>200</v>
      </c>
    </row>
    <row r="68" customFormat="false" ht="15" hidden="false" customHeight="false" outlineLevel="0" collapsed="false">
      <c r="A68" s="9" t="s">
        <v>201</v>
      </c>
      <c r="B68" s="12" t="n">
        <v>0</v>
      </c>
      <c r="D68" s="3" t="s">
        <v>202</v>
      </c>
    </row>
    <row r="69" customFormat="false" ht="15" hidden="false" customHeight="false" outlineLevel="0" collapsed="false">
      <c r="A69" s="9" t="s">
        <v>203</v>
      </c>
      <c r="B69" s="12" t="n">
        <v>0.015</v>
      </c>
      <c r="D69" s="3" t="s">
        <v>204</v>
      </c>
    </row>
    <row r="70" customFormat="false" ht="15" hidden="false" customHeight="false" outlineLevel="0" collapsed="false">
      <c r="A70" s="9" t="s">
        <v>205</v>
      </c>
      <c r="B70" s="13" t="n">
        <v>100</v>
      </c>
      <c r="D70" s="3" t="s">
        <v>206</v>
      </c>
    </row>
    <row r="71" customFormat="false" ht="15" hidden="false" customHeight="false" outlineLevel="0" collapsed="false">
      <c r="A71" s="9" t="s">
        <v>207</v>
      </c>
      <c r="B71" s="13" t="n">
        <v>15</v>
      </c>
      <c r="D71" s="3" t="s">
        <v>208</v>
      </c>
    </row>
    <row r="72" customFormat="false" ht="15" hidden="false" customHeight="false" outlineLevel="0" collapsed="false">
      <c r="A72" s="9" t="s">
        <v>209</v>
      </c>
      <c r="B72" s="13" t="n">
        <v>5000</v>
      </c>
      <c r="D72" s="3" t="s">
        <v>210</v>
      </c>
    </row>
    <row r="73" customFormat="false" ht="15" hidden="false" customHeight="false" outlineLevel="0" collapsed="false">
      <c r="A73" s="9" t="s">
        <v>211</v>
      </c>
      <c r="B73" s="37" t="n">
        <v>1.5</v>
      </c>
      <c r="D73" s="3" t="s">
        <v>212</v>
      </c>
    </row>
    <row r="74" customFormat="false" ht="15" hidden="false" customHeight="false" outlineLevel="0" collapsed="false">
      <c r="A74" s="9" t="s">
        <v>213</v>
      </c>
      <c r="B74" s="10" t="n">
        <v>0</v>
      </c>
      <c r="D74" s="3" t="s">
        <v>214</v>
      </c>
    </row>
    <row r="75" customFormat="false" ht="15" hidden="false" customHeight="false" outlineLevel="0" collapsed="false">
      <c r="A75" s="9" t="s">
        <v>215</v>
      </c>
      <c r="B75" s="12" t="n">
        <v>0.25</v>
      </c>
      <c r="D75" s="3" t="s">
        <v>216</v>
      </c>
    </row>
    <row r="76" customFormat="false" ht="15" hidden="false" customHeight="false" outlineLevel="0" collapsed="false">
      <c r="A76" s="9" t="s">
        <v>217</v>
      </c>
      <c r="B76" s="10" t="n">
        <v>8</v>
      </c>
      <c r="D76" s="3" t="s">
        <v>218</v>
      </c>
    </row>
    <row r="77" customFormat="false" ht="15" hidden="false" customHeight="false" outlineLevel="0" collapsed="false">
      <c r="A77" s="9" t="s">
        <v>219</v>
      </c>
      <c r="B77" s="12" t="n">
        <v>0.8</v>
      </c>
      <c r="D77" s="3" t="s">
        <v>220</v>
      </c>
    </row>
    <row r="78" customFormat="false" ht="15" hidden="false" customHeight="false" outlineLevel="0" collapsed="false">
      <c r="A78" s="9" t="s">
        <v>221</v>
      </c>
      <c r="B78" s="12" t="n">
        <v>0</v>
      </c>
      <c r="D78" s="3" t="s">
        <v>222</v>
      </c>
    </row>
    <row r="79" customFormat="false" ht="15" hidden="false" customHeight="false" outlineLevel="0" collapsed="false">
      <c r="A79" s="9" t="s">
        <v>223</v>
      </c>
      <c r="B79" s="12" t="n">
        <v>0.13</v>
      </c>
      <c r="D79" s="3" t="s">
        <v>224</v>
      </c>
    </row>
    <row r="80" customFormat="false" ht="15" hidden="false" customHeight="false" outlineLevel="0" collapsed="false">
      <c r="A80" s="9" t="s">
        <v>225</v>
      </c>
      <c r="B80" s="12" t="n">
        <v>0.05</v>
      </c>
      <c r="D80" s="3" t="s">
        <v>226</v>
      </c>
    </row>
    <row r="81" customFormat="false" ht="15" hidden="false" customHeight="false" outlineLevel="0" collapsed="false">
      <c r="A81" s="9" t="s">
        <v>227</v>
      </c>
      <c r="B81" s="12" t="n">
        <v>0</v>
      </c>
      <c r="D81" s="3" t="s">
        <v>228</v>
      </c>
    </row>
    <row r="82" customFormat="false" ht="15" hidden="false" customHeight="false" outlineLevel="0" collapsed="false">
      <c r="A82" s="9" t="s">
        <v>229</v>
      </c>
      <c r="B82" s="10" t="n">
        <v>5</v>
      </c>
      <c r="D82" s="3" t="s">
        <v>230</v>
      </c>
    </row>
    <row r="84" customFormat="false" ht="15" hidden="false" customHeight="false" outlineLevel="0" collapsed="false">
      <c r="A84" s="7" t="s">
        <v>231</v>
      </c>
      <c r="B84" s="8"/>
      <c r="C84" s="8"/>
      <c r="D84" s="8"/>
    </row>
    <row r="85" customFormat="false" ht="15" hidden="false" customHeight="false" outlineLevel="0" collapsed="false">
      <c r="A85" s="9" t="s">
        <v>232</v>
      </c>
      <c r="B85" s="12" t="n">
        <v>0.26</v>
      </c>
      <c r="D85" s="3" t="s">
        <v>233</v>
      </c>
    </row>
    <row r="86" customFormat="false" ht="15" hidden="false" customHeight="false" outlineLevel="0" collapsed="false">
      <c r="A86" s="9" t="s">
        <v>234</v>
      </c>
      <c r="B86" s="13" t="n">
        <v>2500</v>
      </c>
      <c r="D86" s="3" t="s">
        <v>235</v>
      </c>
    </row>
    <row r="87" customFormat="false" ht="15" hidden="false" customHeight="false" outlineLevel="0" collapsed="false">
      <c r="A87" s="9" t="s">
        <v>236</v>
      </c>
      <c r="B87" s="12" t="n">
        <v>0.5</v>
      </c>
      <c r="D87" s="3" t="s">
        <v>237</v>
      </c>
    </row>
    <row r="88" customFormat="false" ht="15" hidden="false" customHeight="false" outlineLevel="0" collapsed="false">
      <c r="A88" s="9" t="s">
        <v>238</v>
      </c>
      <c r="B88" s="12" t="n">
        <v>0</v>
      </c>
      <c r="D88" s="3" t="s">
        <v>239</v>
      </c>
    </row>
    <row r="89" customFormat="false" ht="15" hidden="false" customHeight="false" outlineLevel="0" collapsed="false">
      <c r="A89" s="9" t="s">
        <v>240</v>
      </c>
      <c r="B89" s="10" t="n">
        <v>0</v>
      </c>
      <c r="D89" s="3" t="s">
        <v>241</v>
      </c>
    </row>
    <row r="90" customFormat="false" ht="15" hidden="false" customHeight="false" outlineLevel="0" collapsed="false">
      <c r="A90" s="9" t="s">
        <v>242</v>
      </c>
      <c r="B90" s="10" t="n">
        <v>1</v>
      </c>
      <c r="D90" s="3" t="s">
        <v>243</v>
      </c>
    </row>
    <row r="91" customFormat="false" ht="15" hidden="false" customHeight="false" outlineLevel="0" collapsed="false">
      <c r="A91" s="9" t="s">
        <v>244</v>
      </c>
      <c r="B91" s="12" t="n">
        <v>0.2</v>
      </c>
      <c r="D91" s="3" t="s">
        <v>245</v>
      </c>
    </row>
    <row r="92" customFormat="false" ht="15" hidden="false" customHeight="false" outlineLevel="0" collapsed="false">
      <c r="A92" s="9" t="s">
        <v>246</v>
      </c>
      <c r="B92" s="38" t="n">
        <v>10</v>
      </c>
      <c r="D92" s="3" t="s">
        <v>247</v>
      </c>
    </row>
    <row r="93" customFormat="false" ht="15" hidden="false" customHeight="false" outlineLevel="0" collapsed="false">
      <c r="A93" s="9" t="s">
        <v>248</v>
      </c>
      <c r="B93" s="13" t="n">
        <v>500</v>
      </c>
      <c r="D93" s="3" t="s">
        <v>249</v>
      </c>
    </row>
    <row r="94" customFormat="false" ht="15" hidden="false" customHeight="false" outlineLevel="0" collapsed="false">
      <c r="A94" s="9" t="s">
        <v>250</v>
      </c>
      <c r="B94" s="12" t="n">
        <v>0.55</v>
      </c>
      <c r="D94" s="3" t="s">
        <v>251</v>
      </c>
    </row>
    <row r="95" customFormat="false" ht="15" hidden="false" customHeight="false" outlineLevel="0" collapsed="false">
      <c r="A95" s="9" t="s">
        <v>252</v>
      </c>
      <c r="B95" s="12" t="n">
        <v>1</v>
      </c>
      <c r="D95" s="3" t="s">
        <v>253</v>
      </c>
    </row>
    <row r="96" customFormat="false" ht="15" hidden="false" customHeight="false" outlineLevel="0" collapsed="false">
      <c r="A96" s="9" t="s">
        <v>254</v>
      </c>
      <c r="B96" s="12" t="n">
        <v>0.15</v>
      </c>
      <c r="D96" s="3" t="s">
        <v>255</v>
      </c>
    </row>
    <row r="97" customFormat="false" ht="15" hidden="false" customHeight="false" outlineLevel="0" collapsed="false">
      <c r="A97" s="9" t="s">
        <v>256</v>
      </c>
      <c r="B97" s="13" t="n">
        <v>0</v>
      </c>
      <c r="D97" s="3" t="s">
        <v>257</v>
      </c>
    </row>
    <row r="98" customFormat="false" ht="15" hidden="false" customHeight="false" outlineLevel="0" collapsed="false">
      <c r="A98" s="9" t="s">
        <v>258</v>
      </c>
      <c r="B98" s="12" t="n">
        <v>0.6</v>
      </c>
      <c r="D98" s="3" t="s">
        <v>259</v>
      </c>
    </row>
    <row r="99" customFormat="false" ht="15" hidden="false" customHeight="false" outlineLevel="0" collapsed="false">
      <c r="A99" s="9" t="s">
        <v>260</v>
      </c>
      <c r="B99" s="13" t="n">
        <v>300</v>
      </c>
      <c r="D99" s="3" t="s">
        <v>261</v>
      </c>
    </row>
    <row r="100" customFormat="false" ht="15" hidden="false" customHeight="false" outlineLevel="0" collapsed="false">
      <c r="A100" s="9" t="s">
        <v>262</v>
      </c>
      <c r="B100" s="13" t="n">
        <v>60</v>
      </c>
      <c r="D100" s="3" t="s">
        <v>263</v>
      </c>
    </row>
    <row r="101" customFormat="false" ht="15" hidden="false" customHeight="false" outlineLevel="0" collapsed="false">
      <c r="A101" s="9" t="s">
        <v>264</v>
      </c>
      <c r="B101" s="12" t="n">
        <v>0.2</v>
      </c>
      <c r="D101" s="3" t="s">
        <v>265</v>
      </c>
    </row>
    <row r="102" customFormat="false" ht="15" hidden="false" customHeight="false" outlineLevel="0" collapsed="false">
      <c r="A102" s="9" t="s">
        <v>266</v>
      </c>
      <c r="B102" s="13" t="n">
        <v>250</v>
      </c>
      <c r="D102" s="3" t="s">
        <v>267</v>
      </c>
    </row>
    <row r="103" customFormat="false" ht="15" hidden="false" customHeight="false" outlineLevel="0" collapsed="false">
      <c r="A103" s="9" t="s">
        <v>268</v>
      </c>
      <c r="B103" s="10" t="n">
        <v>3</v>
      </c>
      <c r="D103" s="3" t="s">
        <v>269</v>
      </c>
    </row>
    <row r="105" customFormat="false" ht="15" hidden="false" customHeight="false" outlineLevel="0" collapsed="false">
      <c r="A105" s="7" t="s">
        <v>270</v>
      </c>
      <c r="B105" s="8"/>
      <c r="C105" s="8"/>
      <c r="D105" s="8"/>
    </row>
    <row r="106" customFormat="false" ht="15" hidden="false" customHeight="false" outlineLevel="0" collapsed="false">
      <c r="A106" s="9" t="s">
        <v>271</v>
      </c>
      <c r="B106" s="10" t="n">
        <v>0</v>
      </c>
      <c r="D106" s="3" t="s">
        <v>272</v>
      </c>
    </row>
    <row r="107" customFormat="false" ht="15" hidden="false" customHeight="false" outlineLevel="0" collapsed="false">
      <c r="A107" s="9" t="s">
        <v>273</v>
      </c>
      <c r="B107" s="13" t="n">
        <v>30</v>
      </c>
      <c r="D107" s="3" t="s">
        <v>274</v>
      </c>
    </row>
    <row r="108" customFormat="false" ht="15" hidden="false" customHeight="false" outlineLevel="0" collapsed="false">
      <c r="A108" s="9" t="s">
        <v>275</v>
      </c>
      <c r="B108" s="13" t="n">
        <v>20</v>
      </c>
      <c r="D108" s="3" t="s">
        <v>276</v>
      </c>
    </row>
    <row r="109" customFormat="false" ht="15" hidden="false" customHeight="false" outlineLevel="0" collapsed="false">
      <c r="A109" s="9" t="s">
        <v>277</v>
      </c>
      <c r="B109" s="13" t="n">
        <v>0</v>
      </c>
      <c r="D109" s="3" t="s">
        <v>278</v>
      </c>
    </row>
    <row r="110" customFormat="false" ht="15" hidden="false" customHeight="false" outlineLevel="0" collapsed="false">
      <c r="A110" s="9" t="s">
        <v>279</v>
      </c>
      <c r="B110" s="12" t="n">
        <v>0.25</v>
      </c>
      <c r="D110" s="3"/>
    </row>
    <row r="111" customFormat="false" ht="15" hidden="false" customHeight="false" outlineLevel="0" collapsed="false">
      <c r="A111" s="9" t="s">
        <v>280</v>
      </c>
      <c r="B111" s="12" t="n">
        <v>0.6</v>
      </c>
      <c r="D111" s="3"/>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48235"/>
    <pageSetUpPr fitToPage="false"/>
  </sheetPr>
  <dimension ref="A1:N4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8.5390625" defaultRowHeight="15" zeroHeight="false" outlineLevelRow="0" outlineLevelCol="0"/>
  <cols>
    <col collapsed="false" customWidth="true" hidden="false" outlineLevel="0" max="1" min="1" style="0" width="62"/>
    <col collapsed="false" customWidth="true" hidden="false" outlineLevel="0" max="2" min="2" style="0" width="12"/>
    <col collapsed="false" customWidth="true" hidden="false" outlineLevel="0" max="13" min="3" style="0" width="11"/>
  </cols>
  <sheetData>
    <row r="1" customFormat="false" ht="18" hidden="false" customHeight="true" outlineLevel="0" collapsed="false">
      <c r="A1" s="6" t="s">
        <v>281</v>
      </c>
      <c r="B1" s="2"/>
      <c r="C1" s="2"/>
      <c r="D1" s="2"/>
      <c r="E1" s="2"/>
      <c r="F1" s="2"/>
      <c r="G1" s="2"/>
      <c r="H1" s="2"/>
      <c r="I1" s="2"/>
      <c r="J1" s="2"/>
      <c r="K1" s="2"/>
      <c r="L1" s="2"/>
      <c r="M1" s="2"/>
      <c r="N1" s="2"/>
    </row>
    <row r="2" customFormat="false" ht="15" hidden="false" customHeight="false" outlineLevel="0" collapsed="false">
      <c r="A2" s="3" t="s">
        <v>282</v>
      </c>
    </row>
    <row r="4" customFormat="false" ht="15" hidden="false" customHeight="false" outlineLevel="0" collapsed="false">
      <c r="A4" s="7" t="s">
        <v>283</v>
      </c>
      <c r="B4" s="8"/>
      <c r="C4" s="8"/>
      <c r="D4" s="8"/>
      <c r="E4" s="8"/>
      <c r="F4" s="8"/>
      <c r="G4" s="8"/>
      <c r="H4" s="8"/>
      <c r="I4" s="8"/>
      <c r="J4" s="8"/>
      <c r="K4" s="8"/>
      <c r="L4" s="8"/>
      <c r="M4" s="8"/>
      <c r="N4" s="8"/>
    </row>
    <row r="5" customFormat="false" ht="15" hidden="false" customHeight="false" outlineLevel="0" collapsed="false">
      <c r="A5" s="4" t="s">
        <v>284</v>
      </c>
      <c r="C5" s="39" t="n">
        <v>0</v>
      </c>
      <c r="D5" s="39" t="n">
        <v>1</v>
      </c>
      <c r="E5" s="39" t="n">
        <v>2</v>
      </c>
      <c r="F5" s="39" t="n">
        <v>3</v>
      </c>
      <c r="G5" s="39" t="n">
        <v>4</v>
      </c>
      <c r="H5" s="39" t="n">
        <v>5</v>
      </c>
      <c r="I5" s="39" t="n">
        <v>6</v>
      </c>
      <c r="J5" s="39" t="n">
        <v>7</v>
      </c>
      <c r="K5" s="39" t="n">
        <v>8</v>
      </c>
      <c r="L5" s="39" t="n">
        <v>9</v>
      </c>
      <c r="M5" s="39" t="n">
        <v>10</v>
      </c>
    </row>
    <row r="6" customFormat="false" ht="15" hidden="false" customHeight="false" outlineLevel="0" collapsed="false">
      <c r="A6" s="9" t="s">
        <v>285</v>
      </c>
      <c r="C6" s="40" t="n">
        <f aca="false">cf_arr</f>
        <v>220</v>
      </c>
      <c r="D6" s="36" t="n">
        <f aca="false">C6*(1+lv_g)</f>
        <v>264</v>
      </c>
      <c r="E6" s="36" t="n">
        <f aca="false">D6*(1+lv_g)</f>
        <v>316.8</v>
      </c>
      <c r="F6" s="36" t="n">
        <f aca="false">E6*(1+lv_g)</f>
        <v>380.16</v>
      </c>
      <c r="G6" s="36" t="n">
        <f aca="false">F6*(1+lv_g)</f>
        <v>456.192</v>
      </c>
      <c r="H6" s="36" t="n">
        <f aca="false">G6*(1+lv_g)</f>
        <v>547.4304</v>
      </c>
      <c r="I6" s="36" t="n">
        <f aca="false">H6*(1+lv_g)</f>
        <v>656.91648</v>
      </c>
      <c r="J6" s="36" t="n">
        <f aca="false">I6*(1+lv_g)</f>
        <v>788.299776</v>
      </c>
      <c r="K6" s="36" t="n">
        <f aca="false">J6*(1+lv_g)</f>
        <v>945.9597312</v>
      </c>
      <c r="L6" s="36" t="n">
        <f aca="false">K6*(1+lv_g)</f>
        <v>1135.15167744</v>
      </c>
      <c r="M6" s="36" t="n">
        <f aca="false">L6*(1+lv_g)</f>
        <v>1362.182012928</v>
      </c>
    </row>
    <row r="7" customFormat="false" ht="15" hidden="false" customHeight="false" outlineLevel="0" collapsed="false">
      <c r="A7" s="9" t="s">
        <v>286</v>
      </c>
      <c r="C7" s="18" t="n">
        <f aca="false">1</f>
        <v>1</v>
      </c>
      <c r="D7" s="18" t="n">
        <f aca="false">IF(D5&gt;=a_churn_year,1-0,1)</f>
        <v>1</v>
      </c>
      <c r="E7" s="18" t="n">
        <f aca="false">IF(E5&gt;=a_churn_year,1-0,1)</f>
        <v>1</v>
      </c>
      <c r="F7" s="18" t="n">
        <f aca="false">IF(F5&gt;=a_churn_year,1-0,1)</f>
        <v>1</v>
      </c>
      <c r="G7" s="18" t="n">
        <f aca="false">IF(G5&gt;=a_churn_year,1-0,1)</f>
        <v>1</v>
      </c>
      <c r="H7" s="18" t="n">
        <f aca="false">IF(H5&gt;=a_churn_year,1-0,1)</f>
        <v>1</v>
      </c>
      <c r="I7" s="18" t="n">
        <f aca="false">IF(I5&gt;=a_churn_year,1-0,1)</f>
        <v>1</v>
      </c>
      <c r="J7" s="18" t="n">
        <f aca="false">IF(J5&gt;=a_churn_year,1-0,1)</f>
        <v>1</v>
      </c>
      <c r="K7" s="18" t="n">
        <f aca="false">IF(K5&gt;=a_churn_year,1-0,1)</f>
        <v>1</v>
      </c>
      <c r="L7" s="18" t="n">
        <f aca="false">IF(L5&gt;=a_churn_year,1-0,1)</f>
        <v>1</v>
      </c>
      <c r="M7" s="18" t="n">
        <f aca="false">IF(M5&gt;=a_churn_year,1-0,1)</f>
        <v>1</v>
      </c>
    </row>
    <row r="8" customFormat="false" ht="15" hidden="false" customHeight="false" outlineLevel="0" collapsed="false">
      <c r="A8" s="4" t="s">
        <v>287</v>
      </c>
      <c r="C8" s="41" t="n">
        <f aca="false">C6*C7</f>
        <v>220</v>
      </c>
      <c r="D8" s="41" t="n">
        <f aca="false">D6*D7</f>
        <v>264</v>
      </c>
      <c r="E8" s="41" t="n">
        <f aca="false">E6*E7</f>
        <v>316.8</v>
      </c>
      <c r="F8" s="41" t="n">
        <f aca="false">F6*F7</f>
        <v>380.16</v>
      </c>
      <c r="G8" s="41" t="n">
        <f aca="false">G6*G7</f>
        <v>456.192</v>
      </c>
      <c r="H8" s="41" t="n">
        <f aca="false">H6*H7</f>
        <v>547.4304</v>
      </c>
      <c r="I8" s="41" t="n">
        <f aca="false">I6*I7</f>
        <v>656.91648</v>
      </c>
      <c r="J8" s="41" t="n">
        <f aca="false">J6*J7</f>
        <v>788.299776</v>
      </c>
      <c r="K8" s="41" t="n">
        <f aca="false">K6*K7</f>
        <v>945.9597312</v>
      </c>
      <c r="L8" s="41" t="n">
        <f aca="false">L6*L7</f>
        <v>1135.15167744</v>
      </c>
      <c r="M8" s="41" t="n">
        <f aca="false">M6*M7</f>
        <v>1362.182012928</v>
      </c>
    </row>
    <row r="9" customFormat="false" ht="15" hidden="false" customHeight="false" outlineLevel="0" collapsed="false">
      <c r="A9" s="9" t="s">
        <v>288</v>
      </c>
      <c r="C9" s="18" t="n">
        <f aca="false">MIN(a_m0+a_mstep*C5,a_mcap)</f>
        <v>0</v>
      </c>
      <c r="D9" s="18" t="n">
        <f aca="false">MIN(a_m0+a_mstep*D5,a_mcap)</f>
        <v>0.05</v>
      </c>
      <c r="E9" s="18" t="n">
        <f aca="false">MIN(a_m0+a_mstep*E5,a_mcap)</f>
        <v>0.1</v>
      </c>
      <c r="F9" s="18" t="n">
        <f aca="false">MIN(a_m0+a_mstep*F5,a_mcap)</f>
        <v>0.15</v>
      </c>
      <c r="G9" s="18" t="n">
        <f aca="false">MIN(a_m0+a_mstep*G5,a_mcap)</f>
        <v>0.2</v>
      </c>
      <c r="H9" s="18" t="n">
        <f aca="false">MIN(a_m0+a_mstep*H5,a_mcap)</f>
        <v>0.25</v>
      </c>
      <c r="I9" s="18" t="n">
        <f aca="false">MIN(a_m0+a_mstep*I5,a_mcap)</f>
        <v>0.25</v>
      </c>
      <c r="J9" s="18" t="n">
        <f aca="false">MIN(a_m0+a_mstep*J5,a_mcap)</f>
        <v>0.25</v>
      </c>
      <c r="K9" s="18" t="n">
        <f aca="false">MIN(a_m0+a_mstep*K5,a_mcap)</f>
        <v>0.25</v>
      </c>
      <c r="L9" s="18" t="n">
        <f aca="false">MIN(a_m0+a_mstep*L5,a_mcap)</f>
        <v>0.25</v>
      </c>
      <c r="M9" s="18" t="n">
        <f aca="false">MIN(a_m0+a_mstep*M5,a_mcap)</f>
        <v>0.25</v>
      </c>
    </row>
    <row r="10" customFormat="false" ht="15" hidden="false" customHeight="false" outlineLevel="0" collapsed="false">
      <c r="A10" s="9" t="s">
        <v>289</v>
      </c>
      <c r="C10" s="36" t="n">
        <f aca="false">IF(C5=a_churn_year,a_sticky*(C6-C8)*(1-C9),0)</f>
        <v>0</v>
      </c>
      <c r="D10" s="36" t="n">
        <f aca="false">IF(D5=a_churn_year,a_sticky*(D6-D8)*(1-D9),0)</f>
        <v>0</v>
      </c>
      <c r="E10" s="36" t="n">
        <f aca="false">IF(E5=a_churn_year,a_sticky*(E6-E8)*(1-E9),0)</f>
        <v>0</v>
      </c>
      <c r="F10" s="36" t="n">
        <f aca="false">IF(F5=a_churn_year,a_sticky*(F6-F8)*(1-F9),0)</f>
        <v>0</v>
      </c>
      <c r="G10" s="36" t="n">
        <f aca="false">IF(G5=a_churn_year,a_sticky*(G6-G8)*(1-G9),0)</f>
        <v>0</v>
      </c>
      <c r="H10" s="36" t="n">
        <f aca="false">IF(H5=a_churn_year,a_sticky*(H6-H8)*(1-H9),0)</f>
        <v>0</v>
      </c>
      <c r="I10" s="36" t="n">
        <f aca="false">IF(I5=a_churn_year,a_sticky*(I6-I8)*(1-I9),0)</f>
        <v>0</v>
      </c>
      <c r="J10" s="36" t="n">
        <f aca="false">IF(J5=a_churn_year,a_sticky*(J6-J8)*(1-J9),0)</f>
        <v>0</v>
      </c>
      <c r="K10" s="36" t="n">
        <f aca="false">IF(K5=a_churn_year,a_sticky*(K6-K8)*(1-K9),0)</f>
        <v>0</v>
      </c>
      <c r="L10" s="36" t="n">
        <f aca="false">IF(L5=a_churn_year,a_sticky*(L6-L8)*(1-L9),0)</f>
        <v>0</v>
      </c>
      <c r="M10" s="36" t="n">
        <f aca="false">IF(M5=a_churn_year,a_sticky*(M6-M8)*(1-M9),0)</f>
        <v>0</v>
      </c>
    </row>
    <row r="11" customFormat="false" ht="15" hidden="false" customHeight="false" outlineLevel="0" collapsed="false">
      <c r="A11" s="4" t="s">
        <v>290</v>
      </c>
      <c r="C11" s="41" t="n">
        <f aca="false">C8*C9-C10</f>
        <v>0</v>
      </c>
      <c r="D11" s="41" t="n">
        <f aca="false">D8*D9-D10</f>
        <v>13.2</v>
      </c>
      <c r="E11" s="41" t="n">
        <f aca="false">E8*E9-E10</f>
        <v>31.68</v>
      </c>
      <c r="F11" s="41" t="n">
        <f aca="false">F8*F9-F10</f>
        <v>57.024</v>
      </c>
      <c r="G11" s="41" t="n">
        <f aca="false">G8*G9-G10</f>
        <v>91.2384</v>
      </c>
      <c r="H11" s="41" t="n">
        <f aca="false">H8*H9-H10</f>
        <v>136.8576</v>
      </c>
      <c r="I11" s="41" t="n">
        <f aca="false">I8*I9-I10</f>
        <v>164.22912</v>
      </c>
      <c r="J11" s="41" t="n">
        <f aca="false">J8*J9-J10</f>
        <v>197.074944</v>
      </c>
      <c r="K11" s="41" t="n">
        <f aca="false">K8*K9-K10</f>
        <v>236.4899328</v>
      </c>
      <c r="L11" s="41" t="n">
        <f aca="false">L8*L9-L10</f>
        <v>283.78791936</v>
      </c>
      <c r="M11" s="41" t="n">
        <f aca="false">M8*M9-M10</f>
        <v>340.545503232</v>
      </c>
    </row>
    <row r="12" customFormat="false" ht="15" hidden="false" customHeight="false" outlineLevel="0" collapsed="false">
      <c r="A12" s="9" t="s">
        <v>291</v>
      </c>
      <c r="C12" s="36" t="n">
        <f aca="false">C8*a_da</f>
        <v>6.6</v>
      </c>
      <c r="D12" s="36" t="n">
        <f aca="false">D8*a_da</f>
        <v>7.92</v>
      </c>
      <c r="E12" s="36" t="n">
        <f aca="false">E8*a_da</f>
        <v>9.504</v>
      </c>
      <c r="F12" s="36" t="n">
        <f aca="false">F8*a_da</f>
        <v>11.4048</v>
      </c>
      <c r="G12" s="36" t="n">
        <f aca="false">G8*a_da</f>
        <v>13.68576</v>
      </c>
      <c r="H12" s="36" t="n">
        <f aca="false">H8*a_da</f>
        <v>16.422912</v>
      </c>
      <c r="I12" s="36" t="n">
        <f aca="false">I8*a_da</f>
        <v>19.7074944</v>
      </c>
      <c r="J12" s="36" t="n">
        <f aca="false">J8*a_da</f>
        <v>23.64899328</v>
      </c>
      <c r="K12" s="36" t="n">
        <f aca="false">K8*a_da</f>
        <v>28.378791936</v>
      </c>
      <c r="L12" s="36" t="n">
        <f aca="false">L8*a_da</f>
        <v>34.0545503232</v>
      </c>
      <c r="M12" s="36" t="n">
        <f aca="false">M8*a_da</f>
        <v>40.86546038784</v>
      </c>
    </row>
    <row r="13" customFormat="false" ht="15" hidden="false" customHeight="false" outlineLevel="0" collapsed="false">
      <c r="A13" s="9" t="s">
        <v>292</v>
      </c>
      <c r="C13" s="36" t="n">
        <f aca="false">C11-C12</f>
        <v>-6.6</v>
      </c>
      <c r="D13" s="36" t="n">
        <f aca="false">D11-D12</f>
        <v>5.28</v>
      </c>
      <c r="E13" s="36" t="n">
        <f aca="false">E11-E12</f>
        <v>22.176</v>
      </c>
      <c r="F13" s="36" t="n">
        <f aca="false">F11-F12</f>
        <v>45.6192</v>
      </c>
      <c r="G13" s="36" t="n">
        <f aca="false">G11-G12</f>
        <v>77.55264</v>
      </c>
      <c r="H13" s="36" t="n">
        <f aca="false">H11-H12</f>
        <v>120.434688</v>
      </c>
      <c r="I13" s="36" t="n">
        <f aca="false">I11-I12</f>
        <v>144.5216256</v>
      </c>
      <c r="J13" s="36" t="n">
        <f aca="false">J11-J12</f>
        <v>173.42595072</v>
      </c>
      <c r="K13" s="36" t="n">
        <f aca="false">K11-K12</f>
        <v>208.111140864</v>
      </c>
      <c r="L13" s="36" t="n">
        <f aca="false">L11-L12</f>
        <v>249.7333690368</v>
      </c>
      <c r="M13" s="36" t="n">
        <f aca="false">M11-M12</f>
        <v>299.68004284416</v>
      </c>
    </row>
    <row r="14" customFormat="false" ht="15" hidden="false" customHeight="false" outlineLevel="0" collapsed="false">
      <c r="A14" s="9" t="s">
        <v>293</v>
      </c>
      <c r="C14" s="36" t="n">
        <f aca="false">MAX(0,C13)*a_tax</f>
        <v>0</v>
      </c>
      <c r="D14" s="36" t="n">
        <f aca="false">MAX(0,D13)*a_tax</f>
        <v>1.32</v>
      </c>
      <c r="E14" s="36" t="n">
        <f aca="false">MAX(0,E13)*a_tax</f>
        <v>5.544</v>
      </c>
      <c r="F14" s="36" t="n">
        <f aca="false">MAX(0,F13)*a_tax</f>
        <v>11.4048</v>
      </c>
      <c r="G14" s="36" t="n">
        <f aca="false">MAX(0,G13)*a_tax</f>
        <v>19.38816</v>
      </c>
      <c r="H14" s="36" t="n">
        <f aca="false">MAX(0,H13)*a_tax</f>
        <v>30.108672</v>
      </c>
      <c r="I14" s="36" t="n">
        <f aca="false">MAX(0,I13)*a_tax</f>
        <v>36.1304064</v>
      </c>
      <c r="J14" s="36" t="n">
        <f aca="false">MAX(0,J13)*a_tax</f>
        <v>43.35648768</v>
      </c>
      <c r="K14" s="36" t="n">
        <f aca="false">MAX(0,K13)*a_tax</f>
        <v>52.027785216</v>
      </c>
      <c r="L14" s="36" t="n">
        <f aca="false">MAX(0,L13)*a_tax</f>
        <v>62.4333422592</v>
      </c>
      <c r="M14" s="36" t="n">
        <f aca="false">MAX(0,M13)*a_tax</f>
        <v>74.92001071104</v>
      </c>
    </row>
    <row r="15" customFormat="false" ht="15" hidden="false" customHeight="false" outlineLevel="0" collapsed="false">
      <c r="A15" s="4" t="s">
        <v>294</v>
      </c>
      <c r="C15" s="42" t="n">
        <f aca="false">cf_lim_pat</f>
        <v>0</v>
      </c>
      <c r="D15" s="41" t="n">
        <f aca="false">D13-D14</f>
        <v>3.96</v>
      </c>
      <c r="E15" s="41" t="n">
        <f aca="false">E13-E14</f>
        <v>16.632</v>
      </c>
      <c r="F15" s="41" t="n">
        <f aca="false">F13-F14</f>
        <v>34.2144</v>
      </c>
      <c r="G15" s="41" t="n">
        <f aca="false">G13-G14</f>
        <v>58.16448</v>
      </c>
      <c r="H15" s="41" t="n">
        <f aca="false">H13-H14</f>
        <v>90.326016</v>
      </c>
      <c r="I15" s="41" t="n">
        <f aca="false">I13-I14</f>
        <v>108.3912192</v>
      </c>
      <c r="J15" s="41" t="n">
        <f aca="false">J13-J14</f>
        <v>130.06946304</v>
      </c>
      <c r="K15" s="41" t="n">
        <f aca="false">K13-K14</f>
        <v>156.083355648</v>
      </c>
      <c r="L15" s="41" t="n">
        <f aca="false">L13-L14</f>
        <v>187.3000267776</v>
      </c>
      <c r="M15" s="41" t="n">
        <f aca="false">M13-M14</f>
        <v>224.76003213312</v>
      </c>
    </row>
    <row r="16" customFormat="false" ht="15" hidden="false" customHeight="false" outlineLevel="0" collapsed="false">
      <c r="A16" s="9" t="s">
        <v>295</v>
      </c>
      <c r="C16" s="36" t="n">
        <f aca="false">C8*a_capex</f>
        <v>6.6</v>
      </c>
      <c r="D16" s="36" t="n">
        <f aca="false">D8*a_capex</f>
        <v>7.92</v>
      </c>
      <c r="E16" s="36" t="n">
        <f aca="false">E8*a_capex</f>
        <v>9.504</v>
      </c>
      <c r="F16" s="36" t="n">
        <f aca="false">F8*a_capex</f>
        <v>11.4048</v>
      </c>
      <c r="G16" s="36" t="n">
        <f aca="false">G8*a_capex</f>
        <v>13.68576</v>
      </c>
      <c r="H16" s="36" t="n">
        <f aca="false">H8*a_capex</f>
        <v>16.422912</v>
      </c>
      <c r="I16" s="36" t="n">
        <f aca="false">I8*a_capex</f>
        <v>19.7074944</v>
      </c>
      <c r="J16" s="36" t="n">
        <f aca="false">J8*a_capex</f>
        <v>23.64899328</v>
      </c>
      <c r="K16" s="36" t="n">
        <f aca="false">K8*a_capex</f>
        <v>28.378791936</v>
      </c>
      <c r="L16" s="36" t="n">
        <f aca="false">L8*a_capex</f>
        <v>34.0545503232</v>
      </c>
      <c r="M16" s="36" t="n">
        <f aca="false">M8*a_capex</f>
        <v>40.86546038784</v>
      </c>
    </row>
    <row r="17" customFormat="false" ht="15" hidden="false" customHeight="false" outlineLevel="0" collapsed="false">
      <c r="A17" s="9" t="s">
        <v>296</v>
      </c>
      <c r="C17" s="36" t="n">
        <f aca="false">0</f>
        <v>0</v>
      </c>
      <c r="D17" s="36" t="n">
        <f aca="false">a_wc*(D8-C8)</f>
        <v>2.2</v>
      </c>
      <c r="E17" s="36" t="n">
        <f aca="false">a_wc*(E8-D8)</f>
        <v>2.64</v>
      </c>
      <c r="F17" s="36" t="n">
        <f aca="false">a_wc*(F8-E8)</f>
        <v>3.168</v>
      </c>
      <c r="G17" s="36" t="n">
        <f aca="false">a_wc*(G8-F8)</f>
        <v>3.8016</v>
      </c>
      <c r="H17" s="36" t="n">
        <f aca="false">a_wc*(H8-G8)</f>
        <v>4.56192</v>
      </c>
      <c r="I17" s="36" t="n">
        <f aca="false">a_wc*(I8-H8)</f>
        <v>5.474304</v>
      </c>
      <c r="J17" s="36" t="n">
        <f aca="false">a_wc*(J8-I8)</f>
        <v>6.5691648</v>
      </c>
      <c r="K17" s="36" t="n">
        <f aca="false">a_wc*(K8-J8)</f>
        <v>7.88299776</v>
      </c>
      <c r="L17" s="36" t="n">
        <f aca="false">a_wc*(L8-K8)</f>
        <v>9.45959731199999</v>
      </c>
      <c r="M17" s="36" t="n">
        <f aca="false">a_wc*(M8-L8)</f>
        <v>11.3515167744</v>
      </c>
    </row>
    <row r="18" customFormat="false" ht="15" hidden="false" customHeight="false" outlineLevel="0" collapsed="false">
      <c r="A18" s="4" t="s">
        <v>297</v>
      </c>
      <c r="C18" s="36" t="n">
        <f aca="false">0</f>
        <v>0</v>
      </c>
      <c r="D18" s="41" t="n">
        <f aca="false">D15+D12-D16-D17</f>
        <v>1.76</v>
      </c>
      <c r="E18" s="41" t="n">
        <f aca="false">E15+E12-E16-E17</f>
        <v>13.992</v>
      </c>
      <c r="F18" s="41" t="n">
        <f aca="false">F15+F12-F16-F17</f>
        <v>31.0464</v>
      </c>
      <c r="G18" s="41" t="n">
        <f aca="false">G15+G12-G16-G17</f>
        <v>54.36288</v>
      </c>
      <c r="H18" s="41" t="n">
        <f aca="false">H15+H12-H16-H17</f>
        <v>85.764096</v>
      </c>
      <c r="I18" s="41" t="n">
        <f aca="false">I15+I12-I16-I17</f>
        <v>102.9169152</v>
      </c>
      <c r="J18" s="41" t="n">
        <f aca="false">J15+J12-J16-J17</f>
        <v>123.50029824</v>
      </c>
      <c r="K18" s="41" t="n">
        <f aca="false">K15+K12-K16-K17</f>
        <v>148.200357888</v>
      </c>
      <c r="L18" s="41" t="n">
        <f aca="false">L15+L12-L16-L17</f>
        <v>177.8404294656</v>
      </c>
      <c r="M18" s="41" t="n">
        <f aca="false">M15+M12-M16-M17</f>
        <v>213.40851535872</v>
      </c>
    </row>
    <row r="20" customFormat="false" ht="15" hidden="false" customHeight="false" outlineLevel="0" collapsed="false">
      <c r="A20" s="7" t="s">
        <v>298</v>
      </c>
      <c r="B20" s="8"/>
      <c r="C20" s="8"/>
      <c r="D20" s="8"/>
      <c r="E20" s="8"/>
      <c r="F20" s="8"/>
      <c r="G20" s="8"/>
      <c r="H20" s="8"/>
      <c r="I20" s="8"/>
      <c r="J20" s="8"/>
      <c r="K20" s="8"/>
      <c r="L20" s="8"/>
      <c r="M20" s="8"/>
      <c r="N20" s="8"/>
    </row>
    <row r="21" customFormat="false" ht="15" hidden="false" customHeight="false" outlineLevel="0" collapsed="false">
      <c r="A21" s="4" t="s">
        <v>284</v>
      </c>
      <c r="C21" s="39" t="n">
        <v>0</v>
      </c>
      <c r="D21" s="39" t="n">
        <v>1</v>
      </c>
      <c r="E21" s="39" t="n">
        <v>2</v>
      </c>
      <c r="F21" s="39" t="n">
        <v>3</v>
      </c>
      <c r="G21" s="39" t="n">
        <v>4</v>
      </c>
      <c r="H21" s="39" t="n">
        <v>5</v>
      </c>
      <c r="I21" s="39" t="n">
        <v>6</v>
      </c>
      <c r="J21" s="39" t="n">
        <v>7</v>
      </c>
      <c r="K21" s="39" t="n">
        <v>8</v>
      </c>
      <c r="L21" s="39" t="n">
        <v>9</v>
      </c>
      <c r="M21" s="39" t="n">
        <v>10</v>
      </c>
    </row>
    <row r="22" customFormat="false" ht="15" hidden="false" customHeight="false" outlineLevel="0" collapsed="false">
      <c r="A22" s="9" t="s">
        <v>285</v>
      </c>
      <c r="C22" s="40" t="n">
        <f aca="false">cf_arr</f>
        <v>220</v>
      </c>
      <c r="D22" s="36" t="n">
        <f aca="false">C22*(1+lv_g)</f>
        <v>264</v>
      </c>
      <c r="E22" s="36" t="n">
        <f aca="false">D22*(1+lv_g)</f>
        <v>316.8</v>
      </c>
      <c r="F22" s="36" t="n">
        <f aca="false">E22*(1+lv_g)</f>
        <v>380.16</v>
      </c>
      <c r="G22" s="36" t="n">
        <f aca="false">F22*(1+lv_g)</f>
        <v>456.192</v>
      </c>
      <c r="H22" s="36" t="n">
        <f aca="false">G22*(1+lv_g)</f>
        <v>547.4304</v>
      </c>
      <c r="I22" s="36" t="n">
        <f aca="false">H22*(1+lv_g)</f>
        <v>656.91648</v>
      </c>
      <c r="J22" s="36" t="n">
        <f aca="false">I22*(1+lv_g)</f>
        <v>788.299776</v>
      </c>
      <c r="K22" s="36" t="n">
        <f aca="false">J22*(1+lv_g)</f>
        <v>945.9597312</v>
      </c>
      <c r="L22" s="36" t="n">
        <f aca="false">K22*(1+lv_g)</f>
        <v>1135.15167744</v>
      </c>
      <c r="M22" s="36" t="n">
        <f aca="false">L22*(1+lv_g)</f>
        <v>1362.182012928</v>
      </c>
    </row>
    <row r="23" customFormat="false" ht="15" hidden="false" customHeight="false" outlineLevel="0" collapsed="false">
      <c r="A23" s="9" t="s">
        <v>286</v>
      </c>
      <c r="C23" s="18" t="n">
        <f aca="false">1</f>
        <v>1</v>
      </c>
      <c r="D23" s="18" t="n">
        <f aca="false">IF(D21&gt;=a_churn_year,1-lv_churn,1)</f>
        <v>0.625</v>
      </c>
      <c r="E23" s="18" t="n">
        <f aca="false">IF(E21&gt;=a_churn_year,1-lv_churn,1)</f>
        <v>0.625</v>
      </c>
      <c r="F23" s="18" t="n">
        <f aca="false">IF(F21&gt;=a_churn_year,1-lv_churn,1)</f>
        <v>0.625</v>
      </c>
      <c r="G23" s="18" t="n">
        <f aca="false">IF(G21&gt;=a_churn_year,1-lv_churn,1)</f>
        <v>0.625</v>
      </c>
      <c r="H23" s="18" t="n">
        <f aca="false">IF(H21&gt;=a_churn_year,1-lv_churn,1)</f>
        <v>0.625</v>
      </c>
      <c r="I23" s="18" t="n">
        <f aca="false">IF(I21&gt;=a_churn_year,1-lv_churn,1)</f>
        <v>0.625</v>
      </c>
      <c r="J23" s="18" t="n">
        <f aca="false">IF(J21&gt;=a_churn_year,1-lv_churn,1)</f>
        <v>0.625</v>
      </c>
      <c r="K23" s="18" t="n">
        <f aca="false">IF(K21&gt;=a_churn_year,1-lv_churn,1)</f>
        <v>0.625</v>
      </c>
      <c r="L23" s="18" t="n">
        <f aca="false">IF(L21&gt;=a_churn_year,1-lv_churn,1)</f>
        <v>0.625</v>
      </c>
      <c r="M23" s="18" t="n">
        <f aca="false">IF(M21&gt;=a_churn_year,1-lv_churn,1)</f>
        <v>0.625</v>
      </c>
    </row>
    <row r="24" customFormat="false" ht="15" hidden="false" customHeight="false" outlineLevel="0" collapsed="false">
      <c r="A24" s="4" t="s">
        <v>287</v>
      </c>
      <c r="C24" s="41" t="n">
        <f aca="false">C22*C23</f>
        <v>220</v>
      </c>
      <c r="D24" s="41" t="n">
        <f aca="false">D22*D23</f>
        <v>165</v>
      </c>
      <c r="E24" s="41" t="n">
        <f aca="false">E22*E23</f>
        <v>198</v>
      </c>
      <c r="F24" s="41" t="n">
        <f aca="false">F22*F23</f>
        <v>237.6</v>
      </c>
      <c r="G24" s="41" t="n">
        <f aca="false">G22*G23</f>
        <v>285.12</v>
      </c>
      <c r="H24" s="41" t="n">
        <f aca="false">H22*H23</f>
        <v>342.144</v>
      </c>
      <c r="I24" s="41" t="n">
        <f aca="false">I22*I23</f>
        <v>410.5728</v>
      </c>
      <c r="J24" s="41" t="n">
        <f aca="false">J22*J23</f>
        <v>492.68736</v>
      </c>
      <c r="K24" s="41" t="n">
        <f aca="false">K22*K23</f>
        <v>591.224832</v>
      </c>
      <c r="L24" s="41" t="n">
        <f aca="false">L22*L23</f>
        <v>709.4697984</v>
      </c>
      <c r="M24" s="41" t="n">
        <f aca="false">M22*M23</f>
        <v>851.36375808</v>
      </c>
    </row>
    <row r="25" customFormat="false" ht="15" hidden="false" customHeight="false" outlineLevel="0" collapsed="false">
      <c r="A25" s="9" t="s">
        <v>288</v>
      </c>
      <c r="C25" s="18" t="n">
        <f aca="false">MIN(a_m0+a_mstep*C21,a_mcap)</f>
        <v>0</v>
      </c>
      <c r="D25" s="18" t="n">
        <f aca="false">MIN(a_m0+a_mstep*D21,a_mcap)</f>
        <v>0.05</v>
      </c>
      <c r="E25" s="18" t="n">
        <f aca="false">MIN(a_m0+a_mstep*E21,a_mcap)</f>
        <v>0.1</v>
      </c>
      <c r="F25" s="18" t="n">
        <f aca="false">MIN(a_m0+a_mstep*F21,a_mcap)</f>
        <v>0.15</v>
      </c>
      <c r="G25" s="18" t="n">
        <f aca="false">MIN(a_m0+a_mstep*G21,a_mcap)</f>
        <v>0.2</v>
      </c>
      <c r="H25" s="18" t="n">
        <f aca="false">MIN(a_m0+a_mstep*H21,a_mcap)</f>
        <v>0.25</v>
      </c>
      <c r="I25" s="18" t="n">
        <f aca="false">MIN(a_m0+a_mstep*I21,a_mcap)</f>
        <v>0.25</v>
      </c>
      <c r="J25" s="18" t="n">
        <f aca="false">MIN(a_m0+a_mstep*J21,a_mcap)</f>
        <v>0.25</v>
      </c>
      <c r="K25" s="18" t="n">
        <f aca="false">MIN(a_m0+a_mstep*K21,a_mcap)</f>
        <v>0.25</v>
      </c>
      <c r="L25" s="18" t="n">
        <f aca="false">MIN(a_m0+a_mstep*L21,a_mcap)</f>
        <v>0.25</v>
      </c>
      <c r="M25" s="18" t="n">
        <f aca="false">MIN(a_m0+a_mstep*M21,a_mcap)</f>
        <v>0.25</v>
      </c>
    </row>
    <row r="26" customFormat="false" ht="15" hidden="false" customHeight="false" outlineLevel="0" collapsed="false">
      <c r="A26" s="9" t="s">
        <v>289</v>
      </c>
      <c r="C26" s="36" t="n">
        <f aca="false">IF(C21=a_churn_year,a_sticky*(C22-C24)*(1-C25),0)</f>
        <v>0</v>
      </c>
      <c r="D26" s="36" t="n">
        <f aca="false">IF(D21=a_churn_year,a_sticky*(D22-D24)*(1-D25),0)</f>
        <v>47.025</v>
      </c>
      <c r="E26" s="36" t="n">
        <f aca="false">IF(E21=a_churn_year,a_sticky*(E22-E24)*(1-E25),0)</f>
        <v>0</v>
      </c>
      <c r="F26" s="36" t="n">
        <f aca="false">IF(F21=a_churn_year,a_sticky*(F22-F24)*(1-F25),0)</f>
        <v>0</v>
      </c>
      <c r="G26" s="36" t="n">
        <f aca="false">IF(G21=a_churn_year,a_sticky*(G22-G24)*(1-G25),0)</f>
        <v>0</v>
      </c>
      <c r="H26" s="36" t="n">
        <f aca="false">IF(H21=a_churn_year,a_sticky*(H22-H24)*(1-H25),0)</f>
        <v>0</v>
      </c>
      <c r="I26" s="36" t="n">
        <f aca="false">IF(I21=a_churn_year,a_sticky*(I22-I24)*(1-I25),0)</f>
        <v>0</v>
      </c>
      <c r="J26" s="36" t="n">
        <f aca="false">IF(J21=a_churn_year,a_sticky*(J22-J24)*(1-J25),0)</f>
        <v>0</v>
      </c>
      <c r="K26" s="36" t="n">
        <f aca="false">IF(K21=a_churn_year,a_sticky*(K22-K24)*(1-K25),0)</f>
        <v>0</v>
      </c>
      <c r="L26" s="36" t="n">
        <f aca="false">IF(L21=a_churn_year,a_sticky*(L22-L24)*(1-L25),0)</f>
        <v>0</v>
      </c>
      <c r="M26" s="36" t="n">
        <f aca="false">IF(M21=a_churn_year,a_sticky*(M22-M24)*(1-M25),0)</f>
        <v>0</v>
      </c>
    </row>
    <row r="27" customFormat="false" ht="15" hidden="false" customHeight="false" outlineLevel="0" collapsed="false">
      <c r="A27" s="4" t="s">
        <v>290</v>
      </c>
      <c r="C27" s="41" t="n">
        <f aca="false">C24*C25-C26</f>
        <v>0</v>
      </c>
      <c r="D27" s="41" t="n">
        <f aca="false">D24*D25-D26</f>
        <v>-38.775</v>
      </c>
      <c r="E27" s="41" t="n">
        <f aca="false">E24*E25-E26</f>
        <v>19.8</v>
      </c>
      <c r="F27" s="41" t="n">
        <f aca="false">F24*F25-F26</f>
        <v>35.64</v>
      </c>
      <c r="G27" s="41" t="n">
        <f aca="false">G24*G25-G26</f>
        <v>57.024</v>
      </c>
      <c r="H27" s="41" t="n">
        <f aca="false">H24*H25-H26</f>
        <v>85.536</v>
      </c>
      <c r="I27" s="41" t="n">
        <f aca="false">I24*I25-I26</f>
        <v>102.6432</v>
      </c>
      <c r="J27" s="41" t="n">
        <f aca="false">J24*J25-J26</f>
        <v>123.17184</v>
      </c>
      <c r="K27" s="41" t="n">
        <f aca="false">K24*K25-K26</f>
        <v>147.806208</v>
      </c>
      <c r="L27" s="41" t="n">
        <f aca="false">L24*L25-L26</f>
        <v>177.3674496</v>
      </c>
      <c r="M27" s="41" t="n">
        <f aca="false">M24*M25-M26</f>
        <v>212.84093952</v>
      </c>
    </row>
    <row r="28" customFormat="false" ht="15" hidden="false" customHeight="false" outlineLevel="0" collapsed="false">
      <c r="A28" s="9" t="s">
        <v>291</v>
      </c>
      <c r="C28" s="36" t="n">
        <f aca="false">C24*a_da</f>
        <v>6.6</v>
      </c>
      <c r="D28" s="36" t="n">
        <f aca="false">D24*a_da</f>
        <v>4.95</v>
      </c>
      <c r="E28" s="36" t="n">
        <f aca="false">E24*a_da</f>
        <v>5.94</v>
      </c>
      <c r="F28" s="36" t="n">
        <f aca="false">F24*a_da</f>
        <v>7.128</v>
      </c>
      <c r="G28" s="36" t="n">
        <f aca="false">G24*a_da</f>
        <v>8.5536</v>
      </c>
      <c r="H28" s="36" t="n">
        <f aca="false">H24*a_da</f>
        <v>10.26432</v>
      </c>
      <c r="I28" s="36" t="n">
        <f aca="false">I24*a_da</f>
        <v>12.317184</v>
      </c>
      <c r="J28" s="36" t="n">
        <f aca="false">J24*a_da</f>
        <v>14.7806208</v>
      </c>
      <c r="K28" s="36" t="n">
        <f aca="false">K24*a_da</f>
        <v>17.73674496</v>
      </c>
      <c r="L28" s="36" t="n">
        <f aca="false">L24*a_da</f>
        <v>21.284093952</v>
      </c>
      <c r="M28" s="36" t="n">
        <f aca="false">M24*a_da</f>
        <v>25.5409127424</v>
      </c>
    </row>
    <row r="29" customFormat="false" ht="15" hidden="false" customHeight="false" outlineLevel="0" collapsed="false">
      <c r="A29" s="9" t="s">
        <v>292</v>
      </c>
      <c r="C29" s="36" t="n">
        <f aca="false">C27-C28</f>
        <v>-6.6</v>
      </c>
      <c r="D29" s="36" t="n">
        <f aca="false">D27-D28</f>
        <v>-43.725</v>
      </c>
      <c r="E29" s="36" t="n">
        <f aca="false">E27-E28</f>
        <v>13.86</v>
      </c>
      <c r="F29" s="36" t="n">
        <f aca="false">F27-F28</f>
        <v>28.512</v>
      </c>
      <c r="G29" s="36" t="n">
        <f aca="false">G27-G28</f>
        <v>48.4704</v>
      </c>
      <c r="H29" s="36" t="n">
        <f aca="false">H27-H28</f>
        <v>75.27168</v>
      </c>
      <c r="I29" s="36" t="n">
        <f aca="false">I27-I28</f>
        <v>90.326016</v>
      </c>
      <c r="J29" s="36" t="n">
        <f aca="false">J27-J28</f>
        <v>108.3912192</v>
      </c>
      <c r="K29" s="36" t="n">
        <f aca="false">K27-K28</f>
        <v>130.06946304</v>
      </c>
      <c r="L29" s="36" t="n">
        <f aca="false">L27-L28</f>
        <v>156.083355648</v>
      </c>
      <c r="M29" s="36" t="n">
        <f aca="false">M27-M28</f>
        <v>187.3000267776</v>
      </c>
    </row>
    <row r="30" customFormat="false" ht="15" hidden="false" customHeight="false" outlineLevel="0" collapsed="false">
      <c r="A30" s="9" t="s">
        <v>293</v>
      </c>
      <c r="C30" s="36" t="n">
        <f aca="false">MAX(0,C29)*a_tax</f>
        <v>0</v>
      </c>
      <c r="D30" s="36" t="n">
        <f aca="false">MAX(0,D29)*a_tax</f>
        <v>0</v>
      </c>
      <c r="E30" s="36" t="n">
        <f aca="false">MAX(0,E29)*a_tax</f>
        <v>3.465</v>
      </c>
      <c r="F30" s="36" t="n">
        <f aca="false">MAX(0,F29)*a_tax</f>
        <v>7.128</v>
      </c>
      <c r="G30" s="36" t="n">
        <f aca="false">MAX(0,G29)*a_tax</f>
        <v>12.1176</v>
      </c>
      <c r="H30" s="36" t="n">
        <f aca="false">MAX(0,H29)*a_tax</f>
        <v>18.81792</v>
      </c>
      <c r="I30" s="36" t="n">
        <f aca="false">MAX(0,I29)*a_tax</f>
        <v>22.581504</v>
      </c>
      <c r="J30" s="36" t="n">
        <f aca="false">MAX(0,J29)*a_tax</f>
        <v>27.0978048</v>
      </c>
      <c r="K30" s="36" t="n">
        <f aca="false">MAX(0,K29)*a_tax</f>
        <v>32.51736576</v>
      </c>
      <c r="L30" s="36" t="n">
        <f aca="false">MAX(0,L29)*a_tax</f>
        <v>39.020838912</v>
      </c>
      <c r="M30" s="36" t="n">
        <f aca="false">MAX(0,M29)*a_tax</f>
        <v>46.8250066944</v>
      </c>
    </row>
    <row r="31" customFormat="false" ht="15" hidden="false" customHeight="false" outlineLevel="0" collapsed="false">
      <c r="A31" s="4" t="s">
        <v>294</v>
      </c>
      <c r="C31" s="42" t="n">
        <f aca="false">cf_lim_pat</f>
        <v>0</v>
      </c>
      <c r="D31" s="41" t="n">
        <f aca="false">D29-D30</f>
        <v>-43.725</v>
      </c>
      <c r="E31" s="41" t="n">
        <f aca="false">E29-E30</f>
        <v>10.395</v>
      </c>
      <c r="F31" s="41" t="n">
        <f aca="false">F29-F30</f>
        <v>21.384</v>
      </c>
      <c r="G31" s="41" t="n">
        <f aca="false">G29-G30</f>
        <v>36.3528</v>
      </c>
      <c r="H31" s="41" t="n">
        <f aca="false">H29-H30</f>
        <v>56.45376</v>
      </c>
      <c r="I31" s="41" t="n">
        <f aca="false">I29-I30</f>
        <v>67.744512</v>
      </c>
      <c r="J31" s="41" t="n">
        <f aca="false">J29-J30</f>
        <v>81.2934144</v>
      </c>
      <c r="K31" s="41" t="n">
        <f aca="false">K29-K30</f>
        <v>97.55209728</v>
      </c>
      <c r="L31" s="41" t="n">
        <f aca="false">L29-L30</f>
        <v>117.062516736</v>
      </c>
      <c r="M31" s="41" t="n">
        <f aca="false">M29-M30</f>
        <v>140.4750200832</v>
      </c>
    </row>
    <row r="32" customFormat="false" ht="15" hidden="false" customHeight="false" outlineLevel="0" collapsed="false">
      <c r="A32" s="9" t="s">
        <v>295</v>
      </c>
      <c r="C32" s="36" t="n">
        <f aca="false">C24*a_capex</f>
        <v>6.6</v>
      </c>
      <c r="D32" s="36" t="n">
        <f aca="false">D24*a_capex</f>
        <v>4.95</v>
      </c>
      <c r="E32" s="36" t="n">
        <f aca="false">E24*a_capex</f>
        <v>5.94</v>
      </c>
      <c r="F32" s="36" t="n">
        <f aca="false">F24*a_capex</f>
        <v>7.128</v>
      </c>
      <c r="G32" s="36" t="n">
        <f aca="false">G24*a_capex</f>
        <v>8.5536</v>
      </c>
      <c r="H32" s="36" t="n">
        <f aca="false">H24*a_capex</f>
        <v>10.26432</v>
      </c>
      <c r="I32" s="36" t="n">
        <f aca="false">I24*a_capex</f>
        <v>12.317184</v>
      </c>
      <c r="J32" s="36" t="n">
        <f aca="false">J24*a_capex</f>
        <v>14.7806208</v>
      </c>
      <c r="K32" s="36" t="n">
        <f aca="false">K24*a_capex</f>
        <v>17.73674496</v>
      </c>
      <c r="L32" s="36" t="n">
        <f aca="false">L24*a_capex</f>
        <v>21.284093952</v>
      </c>
      <c r="M32" s="36" t="n">
        <f aca="false">M24*a_capex</f>
        <v>25.5409127424</v>
      </c>
    </row>
    <row r="33" customFormat="false" ht="15" hidden="false" customHeight="false" outlineLevel="0" collapsed="false">
      <c r="A33" s="9" t="s">
        <v>296</v>
      </c>
      <c r="C33" s="36" t="n">
        <f aca="false">0</f>
        <v>0</v>
      </c>
      <c r="D33" s="36" t="n">
        <f aca="false">a_wc*(D24-C24)</f>
        <v>-2.75</v>
      </c>
      <c r="E33" s="36" t="n">
        <f aca="false">a_wc*(E24-D24)</f>
        <v>1.65</v>
      </c>
      <c r="F33" s="36" t="n">
        <f aca="false">a_wc*(F24-E24)</f>
        <v>1.98</v>
      </c>
      <c r="G33" s="36" t="n">
        <f aca="false">a_wc*(G24-F24)</f>
        <v>2.376</v>
      </c>
      <c r="H33" s="36" t="n">
        <f aca="false">a_wc*(H24-G24)</f>
        <v>2.8512</v>
      </c>
      <c r="I33" s="36" t="n">
        <f aca="false">a_wc*(I24-H24)</f>
        <v>3.42144</v>
      </c>
      <c r="J33" s="36" t="n">
        <f aca="false">a_wc*(J24-I24)</f>
        <v>4.105728</v>
      </c>
      <c r="K33" s="36" t="n">
        <f aca="false">a_wc*(K24-J24)</f>
        <v>4.9268736</v>
      </c>
      <c r="L33" s="36" t="n">
        <f aca="false">a_wc*(L24-K24)</f>
        <v>5.91224832</v>
      </c>
      <c r="M33" s="36" t="n">
        <f aca="false">a_wc*(M24-L24)</f>
        <v>7.094697984</v>
      </c>
    </row>
    <row r="34" customFormat="false" ht="15" hidden="false" customHeight="false" outlineLevel="0" collapsed="false">
      <c r="A34" s="4" t="s">
        <v>297</v>
      </c>
      <c r="C34" s="36" t="n">
        <f aca="false">0</f>
        <v>0</v>
      </c>
      <c r="D34" s="41" t="n">
        <f aca="false">D31+D28-D32-D33</f>
        <v>-40.975</v>
      </c>
      <c r="E34" s="41" t="n">
        <f aca="false">E31+E28-E32-E33</f>
        <v>8.745</v>
      </c>
      <c r="F34" s="41" t="n">
        <f aca="false">F31+F28-F32-F33</f>
        <v>19.404</v>
      </c>
      <c r="G34" s="41" t="n">
        <f aca="false">G31+G28-G32-G33</f>
        <v>33.9768</v>
      </c>
      <c r="H34" s="41" t="n">
        <f aca="false">H31+H28-H32-H33</f>
        <v>53.60256</v>
      </c>
      <c r="I34" s="41" t="n">
        <f aca="false">I31+I28-I32-I33</f>
        <v>64.323072</v>
      </c>
      <c r="J34" s="41" t="n">
        <f aca="false">J31+J28-J32-J33</f>
        <v>77.1876864</v>
      </c>
      <c r="K34" s="41" t="n">
        <f aca="false">K31+K28-K32-K33</f>
        <v>92.62522368</v>
      </c>
      <c r="L34" s="41" t="n">
        <f aca="false">L31+L28-L32-L33</f>
        <v>111.150268416</v>
      </c>
      <c r="M34" s="41" t="n">
        <f aca="false">M31+M28-M32-M33</f>
        <v>133.3803220992</v>
      </c>
    </row>
    <row r="36" customFormat="false" ht="15" hidden="false" customHeight="false" outlineLevel="0" collapsed="false">
      <c r="A36" s="7" t="s">
        <v>299</v>
      </c>
      <c r="B36" s="8"/>
      <c r="C36" s="8"/>
      <c r="D36" s="8"/>
      <c r="E36" s="8"/>
      <c r="F36" s="8"/>
      <c r="G36" s="8"/>
      <c r="H36" s="8"/>
      <c r="I36" s="8"/>
      <c r="J36" s="8"/>
      <c r="K36" s="8"/>
      <c r="L36" s="8"/>
      <c r="M36" s="8"/>
      <c r="N36" s="8"/>
    </row>
    <row r="37" customFormat="false" ht="15" hidden="false" customHeight="false" outlineLevel="0" collapsed="false">
      <c r="A37" s="4" t="s">
        <v>284</v>
      </c>
      <c r="C37" s="39" t="n">
        <v>0</v>
      </c>
      <c r="D37" s="39" t="n">
        <v>1</v>
      </c>
      <c r="E37" s="39" t="n">
        <v>2</v>
      </c>
      <c r="F37" s="39" t="n">
        <v>3</v>
      </c>
      <c r="G37" s="39" t="n">
        <v>4</v>
      </c>
      <c r="H37" s="39" t="n">
        <v>5</v>
      </c>
      <c r="I37" s="39" t="n">
        <v>6</v>
      </c>
      <c r="J37" s="39" t="n">
        <v>7</v>
      </c>
      <c r="K37" s="39" t="n">
        <v>8</v>
      </c>
      <c r="L37" s="39" t="n">
        <v>9</v>
      </c>
      <c r="M37" s="39" t="n">
        <v>10</v>
      </c>
    </row>
    <row r="38" customFormat="false" ht="15" hidden="false" customHeight="false" outlineLevel="0" collapsed="false">
      <c r="A38" s="9" t="s">
        <v>300</v>
      </c>
      <c r="C38" s="40" t="n">
        <f aca="false">cf_arr</f>
        <v>220</v>
      </c>
      <c r="D38" s="36" t="n">
        <f aca="false">C38*(1+a_g_bear)</f>
        <v>242</v>
      </c>
      <c r="E38" s="36" t="n">
        <f aca="false">D38*(1+a_g_bear)</f>
        <v>266.2</v>
      </c>
      <c r="F38" s="36" t="n">
        <f aca="false">E38*(1+a_g_bear)</f>
        <v>292.82</v>
      </c>
      <c r="G38" s="36" t="n">
        <f aca="false">F38*(1+a_g_bear)</f>
        <v>322.102</v>
      </c>
      <c r="H38" s="36" t="n">
        <f aca="false">G38*(1+a_g_bear)</f>
        <v>354.3122</v>
      </c>
      <c r="I38" s="36" t="n">
        <f aca="false">H38*(1+a_g_bear)</f>
        <v>389.74342</v>
      </c>
      <c r="J38" s="36" t="n">
        <f aca="false">I38*(1+a_g_bear)</f>
        <v>428.717762</v>
      </c>
      <c r="K38" s="36" t="n">
        <f aca="false">J38*(1+a_g_bear)</f>
        <v>471.5895382</v>
      </c>
      <c r="L38" s="36" t="n">
        <f aca="false">K38*(1+a_g_bear)</f>
        <v>518.74849202</v>
      </c>
      <c r="M38" s="36" t="n">
        <f aca="false">L38*(1+a_g_bear)</f>
        <v>570.623341222</v>
      </c>
    </row>
    <row r="39" customFormat="false" ht="15" hidden="false" customHeight="false" outlineLevel="0" collapsed="false">
      <c r="A39" s="9" t="s">
        <v>301</v>
      </c>
      <c r="C39" s="40" t="n">
        <f aca="false">cf_lim_pat</f>
        <v>0</v>
      </c>
      <c r="D39" s="36" t="n">
        <f aca="false">(D38*(MIN(a_m0+a_mstep*D37,a_mcap)-a_da))*(1-a_tax*(D38*(MIN(a_m0+a_mstep*D37,a_mcap)-a_da)&gt;0))</f>
        <v>3.63</v>
      </c>
      <c r="E39" s="36" t="n">
        <f aca="false">(E38*(MIN(a_m0+a_mstep*E37,a_mcap)-a_da))*(1-a_tax*(E38*(MIN(a_m0+a_mstep*E37,a_mcap)-a_da)&gt;0))</f>
        <v>13.9755</v>
      </c>
      <c r="F39" s="36" t="n">
        <f aca="false">(F38*(MIN(a_m0+a_mstep*F37,a_mcap)-a_da))*(1-a_tax*(F38*(MIN(a_m0+a_mstep*F37,a_mcap)-a_da)&gt;0))</f>
        <v>26.3538</v>
      </c>
      <c r="G39" s="36" t="n">
        <f aca="false">(G38*(MIN(a_m0+a_mstep*G37,a_mcap)-a_da))*(1-a_tax*(G38*(MIN(a_m0+a_mstep*G37,a_mcap)-a_da)&gt;0))</f>
        <v>41.068005</v>
      </c>
      <c r="H39" s="36" t="n">
        <f aca="false">(H38*(MIN(a_m0+a_mstep*H37,a_mcap)-a_da))*(1-a_tax*(H38*(MIN(a_m0+a_mstep*H37,a_mcap)-a_da)&gt;0))</f>
        <v>58.461513</v>
      </c>
      <c r="I39" s="36" t="n">
        <f aca="false">(I38*(MIN(a_m0+a_mstep*I37,a_mcap)-a_da))*(1-a_tax*(I38*(MIN(a_m0+a_mstep*I37,a_mcap)-a_da)&gt;0))</f>
        <v>64.3076643</v>
      </c>
      <c r="J39" s="36" t="n">
        <f aca="false">(J38*(MIN(a_m0+a_mstep*J37,a_mcap)-a_da))*(1-a_tax*(J38*(MIN(a_m0+a_mstep*J37,a_mcap)-a_da)&gt;0))</f>
        <v>70.73843073</v>
      </c>
      <c r="K39" s="36" t="n">
        <f aca="false">(K38*(MIN(a_m0+a_mstep*K37,a_mcap)-a_da))*(1-a_tax*(K38*(MIN(a_m0+a_mstep*K37,a_mcap)-a_da)&gt;0))</f>
        <v>77.812273803</v>
      </c>
      <c r="L39" s="36" t="n">
        <f aca="false">(L38*(MIN(a_m0+a_mstep*L37,a_mcap)-a_da))*(1-a_tax*(L38*(MIN(a_m0+a_mstep*L37,a_mcap)-a_da)&gt;0))</f>
        <v>85.5935011833001</v>
      </c>
      <c r="M39" s="36" t="n">
        <f aca="false">(M38*(MIN(a_m0+a_mstep*M37,a_mcap)-a_da))*(1-a_tax*(M38*(MIN(a_m0+a_mstep*M37,a_mcap)-a_da)&gt;0))</f>
        <v>94.1528513016301</v>
      </c>
    </row>
    <row r="40" customFormat="false" ht="15" hidden="false" customHeight="false" outlineLevel="0" collapsed="false">
      <c r="A40" s="9" t="s">
        <v>302</v>
      </c>
      <c r="C40" s="40" t="n">
        <f aca="false">cf_arr</f>
        <v>220</v>
      </c>
      <c r="D40" s="36" t="n">
        <f aca="false">C40*(1+a_g_base)</f>
        <v>264</v>
      </c>
      <c r="E40" s="36" t="n">
        <f aca="false">D40*(1+a_g_base)</f>
        <v>316.8</v>
      </c>
      <c r="F40" s="36" t="n">
        <f aca="false">E40*(1+a_g_base)</f>
        <v>380.16</v>
      </c>
      <c r="G40" s="36" t="n">
        <f aca="false">F40*(1+a_g_base)</f>
        <v>456.192</v>
      </c>
      <c r="H40" s="36" t="n">
        <f aca="false">G40*(1+a_g_base)</f>
        <v>547.4304</v>
      </c>
      <c r="I40" s="36" t="n">
        <f aca="false">H40*(1+a_g_base)</f>
        <v>656.91648</v>
      </c>
      <c r="J40" s="36" t="n">
        <f aca="false">I40*(1+a_g_base)</f>
        <v>788.299776</v>
      </c>
      <c r="K40" s="36" t="n">
        <f aca="false">J40*(1+a_g_base)</f>
        <v>945.9597312</v>
      </c>
      <c r="L40" s="36" t="n">
        <f aca="false">K40*(1+a_g_base)</f>
        <v>1135.15167744</v>
      </c>
      <c r="M40" s="36" t="n">
        <f aca="false">L40*(1+a_g_base)</f>
        <v>1362.182012928</v>
      </c>
    </row>
    <row r="41" customFormat="false" ht="15" hidden="false" customHeight="false" outlineLevel="0" collapsed="false">
      <c r="A41" s="9" t="s">
        <v>303</v>
      </c>
      <c r="C41" s="40" t="n">
        <f aca="false">cf_lim_pat</f>
        <v>0</v>
      </c>
      <c r="D41" s="36" t="n">
        <f aca="false">(D40*(MIN(a_m0+a_mstep*D37,a_mcap)-a_da))*(1-a_tax*(D40*(MIN(a_m0+a_mstep*D37,a_mcap)-a_da)&gt;0))</f>
        <v>3.96</v>
      </c>
      <c r="E41" s="36" t="n">
        <f aca="false">(E40*(MIN(a_m0+a_mstep*E37,a_mcap)-a_da))*(1-a_tax*(E40*(MIN(a_m0+a_mstep*E37,a_mcap)-a_da)&gt;0))</f>
        <v>16.632</v>
      </c>
      <c r="F41" s="36" t="n">
        <f aca="false">(F40*(MIN(a_m0+a_mstep*F37,a_mcap)-a_da))*(1-a_tax*(F40*(MIN(a_m0+a_mstep*F37,a_mcap)-a_da)&gt;0))</f>
        <v>34.2144</v>
      </c>
      <c r="G41" s="36" t="n">
        <f aca="false">(G40*(MIN(a_m0+a_mstep*G37,a_mcap)-a_da))*(1-a_tax*(G40*(MIN(a_m0+a_mstep*G37,a_mcap)-a_da)&gt;0))</f>
        <v>58.16448</v>
      </c>
      <c r="H41" s="36" t="n">
        <f aca="false">(H40*(MIN(a_m0+a_mstep*H37,a_mcap)-a_da))*(1-a_tax*(H40*(MIN(a_m0+a_mstep*H37,a_mcap)-a_da)&gt;0))</f>
        <v>90.326016</v>
      </c>
      <c r="I41" s="36" t="n">
        <f aca="false">(I40*(MIN(a_m0+a_mstep*I37,a_mcap)-a_da))*(1-a_tax*(I40*(MIN(a_m0+a_mstep*I37,a_mcap)-a_da)&gt;0))</f>
        <v>108.3912192</v>
      </c>
      <c r="J41" s="36" t="n">
        <f aca="false">(J40*(MIN(a_m0+a_mstep*J37,a_mcap)-a_da))*(1-a_tax*(J40*(MIN(a_m0+a_mstep*J37,a_mcap)-a_da)&gt;0))</f>
        <v>130.06946304</v>
      </c>
      <c r="K41" s="36" t="n">
        <f aca="false">(K40*(MIN(a_m0+a_mstep*K37,a_mcap)-a_da))*(1-a_tax*(K40*(MIN(a_m0+a_mstep*K37,a_mcap)-a_da)&gt;0))</f>
        <v>156.083355648</v>
      </c>
      <c r="L41" s="36" t="n">
        <f aca="false">(L40*(MIN(a_m0+a_mstep*L37,a_mcap)-a_da))*(1-a_tax*(L40*(MIN(a_m0+a_mstep*L37,a_mcap)-a_da)&gt;0))</f>
        <v>187.3000267776</v>
      </c>
      <c r="M41" s="36" t="n">
        <f aca="false">(M40*(MIN(a_m0+a_mstep*M37,a_mcap)-a_da))*(1-a_tax*(M40*(MIN(a_m0+a_mstep*M37,a_mcap)-a_da)&gt;0))</f>
        <v>224.76003213312</v>
      </c>
    </row>
    <row r="42" customFormat="false" ht="15" hidden="false" customHeight="false" outlineLevel="0" collapsed="false">
      <c r="A42" s="9" t="s">
        <v>304</v>
      </c>
      <c r="C42" s="40" t="n">
        <f aca="false">cf_arr</f>
        <v>220</v>
      </c>
      <c r="D42" s="36" t="n">
        <f aca="false">C42*(1+a_g_bull)</f>
        <v>286</v>
      </c>
      <c r="E42" s="36" t="n">
        <f aca="false">D42*(1+a_g_bull)</f>
        <v>371.8</v>
      </c>
      <c r="F42" s="36" t="n">
        <f aca="false">E42*(1+a_g_bull)</f>
        <v>483.34</v>
      </c>
      <c r="G42" s="36" t="n">
        <f aca="false">F42*(1+a_g_bull)</f>
        <v>628.342</v>
      </c>
      <c r="H42" s="36" t="n">
        <f aca="false">G42*(1+a_g_bull)</f>
        <v>816.8446</v>
      </c>
      <c r="I42" s="36" t="n">
        <f aca="false">H42*(1+a_g_bull)</f>
        <v>1061.89798</v>
      </c>
      <c r="J42" s="36" t="n">
        <f aca="false">I42*(1+a_g_bull)</f>
        <v>1380.467374</v>
      </c>
      <c r="K42" s="36" t="n">
        <f aca="false">J42*(1+a_g_bull)</f>
        <v>1794.6075862</v>
      </c>
      <c r="L42" s="36" t="n">
        <f aca="false">K42*(1+a_g_bull)</f>
        <v>2332.98986206</v>
      </c>
      <c r="M42" s="36" t="n">
        <f aca="false">L42*(1+a_g_bull)</f>
        <v>3032.886820678</v>
      </c>
    </row>
    <row r="43" customFormat="false" ht="15" hidden="false" customHeight="false" outlineLevel="0" collapsed="false">
      <c r="A43" s="9" t="s">
        <v>305</v>
      </c>
      <c r="C43" s="40" t="n">
        <f aca="false">cf_lim_pat</f>
        <v>0</v>
      </c>
      <c r="D43" s="36" t="n">
        <f aca="false">(D42*(MIN(a_m0+a_mstep*D37,a_mcap)-a_da))*(1-a_tax*(D42*(MIN(a_m0+a_mstep*D37,a_mcap)-a_da)&gt;0))</f>
        <v>4.29</v>
      </c>
      <c r="E43" s="36" t="n">
        <f aca="false">(E42*(MIN(a_m0+a_mstep*E37,a_mcap)-a_da))*(1-a_tax*(E42*(MIN(a_m0+a_mstep*E37,a_mcap)-a_da)&gt;0))</f>
        <v>19.5195</v>
      </c>
      <c r="F43" s="36" t="n">
        <f aca="false">(F42*(MIN(a_m0+a_mstep*F37,a_mcap)-a_da))*(1-a_tax*(F42*(MIN(a_m0+a_mstep*F37,a_mcap)-a_da)&gt;0))</f>
        <v>43.5006</v>
      </c>
      <c r="G43" s="36" t="n">
        <f aca="false">(G42*(MIN(a_m0+a_mstep*G37,a_mcap)-a_da))*(1-a_tax*(G42*(MIN(a_m0+a_mstep*G37,a_mcap)-a_da)&gt;0))</f>
        <v>80.113605</v>
      </c>
      <c r="H43" s="36" t="n">
        <f aca="false">(H42*(MIN(a_m0+a_mstep*H37,a_mcap)-a_da))*(1-a_tax*(H42*(MIN(a_m0+a_mstep*H37,a_mcap)-a_da)&gt;0))</f>
        <v>134.779359</v>
      </c>
      <c r="I43" s="36" t="n">
        <f aca="false">(I42*(MIN(a_m0+a_mstep*I37,a_mcap)-a_da))*(1-a_tax*(I42*(MIN(a_m0+a_mstep*I37,a_mcap)-a_da)&gt;0))</f>
        <v>175.2131667</v>
      </c>
      <c r="J43" s="36" t="n">
        <f aca="false">(J42*(MIN(a_m0+a_mstep*J37,a_mcap)-a_da))*(1-a_tax*(J42*(MIN(a_m0+a_mstep*J37,a_mcap)-a_da)&gt;0))</f>
        <v>227.77711671</v>
      </c>
      <c r="K43" s="36" t="n">
        <f aca="false">(K42*(MIN(a_m0+a_mstep*K37,a_mcap)-a_da))*(1-a_tax*(K42*(MIN(a_m0+a_mstep*K37,a_mcap)-a_da)&gt;0))</f>
        <v>296.110251723</v>
      </c>
      <c r="L43" s="36" t="n">
        <f aca="false">(L42*(MIN(a_m0+a_mstep*L37,a_mcap)-a_da))*(1-a_tax*(L42*(MIN(a_m0+a_mstep*L37,a_mcap)-a_da)&gt;0))</f>
        <v>384.9433272399</v>
      </c>
      <c r="M43" s="36" t="n">
        <f aca="false">(M42*(MIN(a_m0+a_mstep*M37,a_mcap)-a_da))*(1-a_tax*(M42*(MIN(a_m0+a_mstep*M37,a_mcap)-a_da)&gt;0))</f>
        <v>500.42632541187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48235"/>
    <pageSetUpPr fitToPage="false"/>
  </sheetPr>
  <dimension ref="A1:N8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8.5390625" defaultRowHeight="15" zeroHeight="false" outlineLevelRow="0" outlineLevelCol="0"/>
  <cols>
    <col collapsed="false" customWidth="true" hidden="false" outlineLevel="0" max="1" min="1" style="0" width="62"/>
    <col collapsed="false" customWidth="true" hidden="false" outlineLevel="0" max="2" min="2" style="0" width="12"/>
    <col collapsed="false" customWidth="true" hidden="false" outlineLevel="0" max="13" min="3" style="0" width="11"/>
  </cols>
  <sheetData>
    <row r="1" customFormat="false" ht="18" hidden="false" customHeight="true" outlineLevel="0" collapsed="false">
      <c r="A1" s="6" t="s">
        <v>306</v>
      </c>
      <c r="B1" s="2"/>
      <c r="C1" s="2"/>
      <c r="D1" s="2"/>
      <c r="E1" s="2"/>
      <c r="F1" s="2"/>
      <c r="G1" s="2"/>
      <c r="H1" s="2"/>
      <c r="I1" s="2"/>
      <c r="J1" s="2"/>
      <c r="K1" s="2"/>
      <c r="L1" s="2"/>
      <c r="M1" s="2"/>
      <c r="N1" s="2"/>
    </row>
    <row r="2" customFormat="false" ht="15" hidden="false" customHeight="false" outlineLevel="0" collapsed="false">
      <c r="A2" s="3" t="s">
        <v>307</v>
      </c>
    </row>
    <row r="4" customFormat="false" ht="15" hidden="false" customHeight="false" outlineLevel="0" collapsed="false">
      <c r="A4" s="7" t="s">
        <v>308</v>
      </c>
      <c r="B4" s="8"/>
      <c r="C4" s="8"/>
      <c r="D4" s="8"/>
      <c r="E4" s="8"/>
      <c r="F4" s="8"/>
      <c r="G4" s="8"/>
      <c r="H4" s="8"/>
      <c r="I4" s="8"/>
      <c r="J4" s="8"/>
      <c r="K4" s="8"/>
      <c r="L4" s="8"/>
      <c r="M4" s="8"/>
      <c r="N4" s="8"/>
    </row>
    <row r="5" customFormat="false" ht="15" hidden="false" customHeight="false" outlineLevel="0" collapsed="false">
      <c r="A5" s="4" t="s">
        <v>284</v>
      </c>
      <c r="C5" s="39" t="n">
        <v>0</v>
      </c>
      <c r="D5" s="39" t="n">
        <v>1</v>
      </c>
      <c r="E5" s="39" t="n">
        <v>2</v>
      </c>
      <c r="F5" s="39" t="n">
        <v>3</v>
      </c>
      <c r="G5" s="39" t="n">
        <v>4</v>
      </c>
      <c r="H5" s="39" t="n">
        <v>5</v>
      </c>
      <c r="I5" s="39" t="n">
        <v>6</v>
      </c>
      <c r="J5" s="39" t="n">
        <v>7</v>
      </c>
      <c r="K5" s="39" t="n">
        <v>8</v>
      </c>
      <c r="L5" s="39" t="n">
        <v>9</v>
      </c>
      <c r="M5" s="39" t="n">
        <v>10</v>
      </c>
    </row>
    <row r="6" customFormat="false" ht="15" hidden="false" customHeight="false" outlineLevel="0" collapsed="false">
      <c r="A6" s="9" t="s">
        <v>309</v>
      </c>
      <c r="C6" s="40" t="n">
        <f aca="false">Liminal_Ops!C18</f>
        <v>0</v>
      </c>
      <c r="D6" s="40" t="n">
        <f aca="false">Liminal_Ops!D18</f>
        <v>1.76</v>
      </c>
      <c r="E6" s="40" t="n">
        <f aca="false">Liminal_Ops!E18</f>
        <v>13.992</v>
      </c>
      <c r="F6" s="40" t="n">
        <f aca="false">Liminal_Ops!F18</f>
        <v>31.0464</v>
      </c>
      <c r="G6" s="40" t="n">
        <f aca="false">Liminal_Ops!G18</f>
        <v>54.36288</v>
      </c>
      <c r="H6" s="40" t="n">
        <f aca="false">Liminal_Ops!H18</f>
        <v>85.764096</v>
      </c>
      <c r="I6" s="40" t="n">
        <f aca="false">Liminal_Ops!I18</f>
        <v>102.9169152</v>
      </c>
      <c r="J6" s="40" t="n">
        <f aca="false">Liminal_Ops!J18</f>
        <v>123.50029824</v>
      </c>
      <c r="K6" s="40" t="n">
        <f aca="false">Liminal_Ops!K18</f>
        <v>148.200357888</v>
      </c>
      <c r="L6" s="40" t="n">
        <f aca="false">Liminal_Ops!L18</f>
        <v>177.8404294656</v>
      </c>
      <c r="M6" s="40" t="n">
        <f aca="false">Liminal_Ops!M18</f>
        <v>213.40851535872</v>
      </c>
    </row>
    <row r="7" customFormat="false" ht="15" hidden="false" customHeight="false" outlineLevel="0" collapsed="false">
      <c r="A7" s="9" t="s">
        <v>310</v>
      </c>
      <c r="C7" s="43" t="n">
        <f aca="false">1</f>
        <v>1</v>
      </c>
      <c r="D7" s="43" t="n">
        <f aca="false">1/(1+lv_wacc)^D5</f>
        <v>0.884955752212389</v>
      </c>
      <c r="E7" s="43" t="n">
        <f aca="false">1/(1+lv_wacc)^E5</f>
        <v>0.783146683373796</v>
      </c>
      <c r="F7" s="43" t="n">
        <f aca="false">1/(1+lv_wacc)^F5</f>
        <v>0.693050162277696</v>
      </c>
      <c r="G7" s="43" t="n">
        <f aca="false">1/(1+lv_wacc)^G5</f>
        <v>0.613318727679377</v>
      </c>
      <c r="H7" s="43" t="n">
        <f aca="false">1/(1+lv_wacc)^H5</f>
        <v>0.542759935999449</v>
      </c>
      <c r="I7" s="43" t="n">
        <f aca="false">1/(1+lv_wacc)^I5</f>
        <v>0.48031852743314</v>
      </c>
      <c r="J7" s="43" t="n">
        <f aca="false">1/(1+lv_wacc)^J5</f>
        <v>0.425060643746142</v>
      </c>
      <c r="K7" s="43" t="n">
        <f aca="false">1/(1+lv_wacc)^K5</f>
        <v>0.37615986172225</v>
      </c>
      <c r="L7" s="43" t="n">
        <f aca="false">1/(1+lv_wacc)^L5</f>
        <v>0.332884833382522</v>
      </c>
      <c r="M7" s="43" t="n">
        <f aca="false">1/(1+lv_wacc)^M5</f>
        <v>0.294588348126126</v>
      </c>
    </row>
    <row r="8" customFormat="false" ht="15" hidden="false" customHeight="false" outlineLevel="0" collapsed="false">
      <c r="A8" s="9" t="s">
        <v>311</v>
      </c>
      <c r="C8" s="36" t="n">
        <f aca="false">C6*C7</f>
        <v>0</v>
      </c>
      <c r="D8" s="36" t="n">
        <f aca="false">D6*D7</f>
        <v>1.55752212389381</v>
      </c>
      <c r="E8" s="36" t="n">
        <f aca="false">E6*E7</f>
        <v>10.9577883937662</v>
      </c>
      <c r="F8" s="36" t="n">
        <f aca="false">F6*F7</f>
        <v>21.5167125581383</v>
      </c>
      <c r="G8" s="36" t="n">
        <f aca="false">G6*G7</f>
        <v>33.3417723945867</v>
      </c>
      <c r="H8" s="36" t="n">
        <f aca="false">H6*H7</f>
        <v>46.5493152560106</v>
      </c>
      <c r="I8" s="36" t="n">
        <f aca="false">I6*I7</f>
        <v>49.4329011568254</v>
      </c>
      <c r="J8" s="36" t="n">
        <f aca="false">J6*J7</f>
        <v>52.4951162727349</v>
      </c>
      <c r="K8" s="36" t="n">
        <f aca="false">K6*K7</f>
        <v>55.747026130338</v>
      </c>
      <c r="L8" s="36" t="n">
        <f aca="false">L6*L7</f>
        <v>59.2003817313324</v>
      </c>
      <c r="M8" s="36" t="n">
        <f aca="false">M6*M7</f>
        <v>62.8676620155742</v>
      </c>
    </row>
    <row r="9" customFormat="false" ht="15" hidden="false" customHeight="false" outlineLevel="0" collapsed="false">
      <c r="A9" s="9" t="s">
        <v>312</v>
      </c>
      <c r="B9" s="32" t="n">
        <f aca="false">SUM(D8:M8)</f>
        <v>393.6661980332</v>
      </c>
    </row>
    <row r="10" customFormat="false" ht="15" hidden="false" customHeight="false" outlineLevel="0" collapsed="false">
      <c r="A10" s="9" t="s">
        <v>313</v>
      </c>
      <c r="B10" s="32" t="n">
        <f aca="false">M6*(1+a_tg)/(lv_wacc-a_tg)</f>
        <v>2800.9867640832</v>
      </c>
    </row>
    <row r="11" customFormat="false" ht="15" hidden="false" customHeight="false" outlineLevel="0" collapsed="false">
      <c r="A11" s="9" t="s">
        <v>314</v>
      </c>
      <c r="B11" s="32" t="n">
        <f aca="false">B10*M7</f>
        <v>825.138063954411</v>
      </c>
    </row>
    <row r="12" customFormat="false" ht="15" hidden="false" customHeight="false" outlineLevel="0" collapsed="false">
      <c r="A12" s="4" t="s">
        <v>315</v>
      </c>
      <c r="B12" s="20" t="n">
        <f aca="false">B9+B11</f>
        <v>1218.80426198761</v>
      </c>
    </row>
    <row r="13" customFormat="false" ht="15" hidden="false" customHeight="false" outlineLevel="0" collapsed="false">
      <c r="A13" s="9" t="s">
        <v>316</v>
      </c>
      <c r="B13" s="18" t="n">
        <f aca="false">B11/B12</f>
        <v>0.677006218052426</v>
      </c>
    </row>
    <row r="14" customFormat="false" ht="15" hidden="false" customHeight="false" outlineLevel="0" collapsed="false">
      <c r="A14" s="9" t="s">
        <v>317</v>
      </c>
      <c r="B14" s="17" t="n">
        <f aca="false">B12/cf_arr</f>
        <v>5.54001937267096</v>
      </c>
    </row>
    <row r="15" customFormat="false" ht="15" hidden="false" customHeight="false" outlineLevel="0" collapsed="false">
      <c r="A15" s="4" t="s">
        <v>318</v>
      </c>
      <c r="B15" s="15" t="n">
        <f aca="false">B12-lv_price</f>
        <v>-2781.19573801239</v>
      </c>
    </row>
    <row r="16" customFormat="false" ht="15" hidden="false" customHeight="false" outlineLevel="0" collapsed="false">
      <c r="A16" s="4" t="s">
        <v>319</v>
      </c>
      <c r="B16" s="14" t="n">
        <f aca="false">lv_price/B12-1</f>
        <v>2.28190516291504</v>
      </c>
    </row>
    <row r="17" customFormat="false" ht="15" hidden="false" customHeight="false" outlineLevel="0" collapsed="false">
      <c r="A17" s="9" t="s">
        <v>320</v>
      </c>
      <c r="B17" s="32" t="n">
        <f aca="false">lv_stake*B12</f>
        <v>316.889108116779</v>
      </c>
    </row>
    <row r="18" customFormat="false" ht="15" hidden="false" customHeight="false" outlineLevel="0" collapsed="false">
      <c r="A18" s="9" t="s">
        <v>321</v>
      </c>
      <c r="B18" s="18" t="n">
        <f aca="false">lv_min_price/B17-1</f>
        <v>1.0511907268219</v>
      </c>
    </row>
    <row r="20" customFormat="false" ht="15" hidden="false" customHeight="false" outlineLevel="0" collapsed="false">
      <c r="A20" s="7" t="s">
        <v>322</v>
      </c>
      <c r="B20" s="8"/>
      <c r="C20" s="8"/>
      <c r="D20" s="8"/>
      <c r="E20" s="8"/>
      <c r="F20" s="8"/>
      <c r="G20" s="8"/>
      <c r="H20" s="8"/>
      <c r="I20" s="8"/>
      <c r="J20" s="8"/>
      <c r="K20" s="8"/>
      <c r="L20" s="8"/>
      <c r="M20" s="8"/>
      <c r="N20" s="8"/>
    </row>
    <row r="21" customFormat="false" ht="15" hidden="false" customHeight="false" outlineLevel="0" collapsed="false">
      <c r="A21" s="3" t="s">
        <v>323</v>
      </c>
    </row>
    <row r="22" customFormat="false" ht="15" hidden="false" customHeight="false" outlineLevel="0" collapsed="false">
      <c r="A22" s="4" t="s">
        <v>284</v>
      </c>
      <c r="C22" s="39" t="n">
        <v>0</v>
      </c>
      <c r="D22" s="39" t="n">
        <v>1</v>
      </c>
      <c r="E22" s="39" t="n">
        <v>2</v>
      </c>
      <c r="F22" s="39" t="n">
        <v>3</v>
      </c>
      <c r="G22" s="39" t="n">
        <v>4</v>
      </c>
      <c r="H22" s="39" t="n">
        <v>5</v>
      </c>
      <c r="I22" s="39" t="n">
        <v>6</v>
      </c>
      <c r="J22" s="39" t="n">
        <v>7</v>
      </c>
      <c r="K22" s="39" t="n">
        <v>8</v>
      </c>
      <c r="L22" s="39" t="n">
        <v>9</v>
      </c>
      <c r="M22" s="39" t="n">
        <v>10</v>
      </c>
    </row>
    <row r="23" customFormat="false" ht="15" hidden="false" customHeight="false" outlineLevel="0" collapsed="false">
      <c r="A23" s="9" t="s">
        <v>324</v>
      </c>
      <c r="B23" s="44" t="n">
        <v>0.1</v>
      </c>
      <c r="C23" s="36" t="n">
        <f aca="false">0</f>
        <v>0</v>
      </c>
      <c r="D23" s="36" t="n">
        <f aca="false">(((cf_arr*(1+$B23)^D22)*IF(D22&gt;=a_churn_year,1-0,1))*(MIN(a_m0+a_mstep*D22,a_mcap)-a_da)-IF(D22=a_churn_year,a_sticky*((cf_arr*(1+$B23)^D22)-((cf_arr*(1+$B23)^D22)*IF(D22&gt;=a_churn_year,1-0,1)))*(1-MIN(a_m0+a_mstep*D22,a_mcap)),0))-MAX(0,(((cf_arr*(1+$B23)^D22)*IF(D22&gt;=a_churn_year,1-0,1))*(MIN(a_m0+a_mstep*D22,a_mcap)-a_da)-IF(D22=a_churn_year,a_sticky*((cf_arr*(1+$B23)^D22)-((cf_arr*(1+$B23)^D22)*IF(D22&gt;=a_churn_year,1-0,1)))*(1-MIN(a_m0+a_mstep*D22,a_mcap)),0)))*a_tax+((cf_arr*(1+$B23)^D22)*IF(D22&gt;=a_churn_year,1-0,1))*a_da-((cf_arr*(1+$B23)^D22)*IF(D22&gt;=a_churn_year,1-0,1))*a_capex-a_wc*(((cf_arr*(1+$B23)^D22)*IF(D22&gt;=a_churn_year,1-0,1))-(cf_arr*(1+$B23)^C22*IF(C22&gt;=a_churn_year,1-0,1)))</f>
        <v>2.53</v>
      </c>
      <c r="E23" s="36" t="n">
        <f aca="false">(((cf_arr*(1+$B23)^E22)*IF(E22&gt;=a_churn_year,1-0,1))*(MIN(a_m0+a_mstep*E22,a_mcap)-a_da)-IF(E22=a_churn_year,a_sticky*((cf_arr*(1+$B23)^E22)-((cf_arr*(1+$B23)^E22)*IF(E22&gt;=a_churn_year,1-0,1)))*(1-MIN(a_m0+a_mstep*E22,a_mcap)),0))-MAX(0,(((cf_arr*(1+$B23)^E22)*IF(E22&gt;=a_churn_year,1-0,1))*(MIN(a_m0+a_mstep*E22,a_mcap)-a_da)-IF(E22=a_churn_year,a_sticky*((cf_arr*(1+$B23)^E22)-((cf_arr*(1+$B23)^E22)*IF(E22&gt;=a_churn_year,1-0,1)))*(1-MIN(a_m0+a_mstep*E22,a_mcap)),0)))*a_tax+((cf_arr*(1+$B23)^E22)*IF(E22&gt;=a_churn_year,1-0,1))*a_da-((cf_arr*(1+$B23)^E22)*IF(E22&gt;=a_churn_year,1-0,1))*a_capex-a_wc*(((cf_arr*(1+$B23)^E22)*IF(E22&gt;=a_churn_year,1-0,1))-(cf_arr*(1+$B23)^D22*IF(D22&gt;=a_churn_year,1-0,1)))</f>
        <v>12.7655</v>
      </c>
      <c r="F23" s="36" t="n">
        <f aca="false">(((cf_arr*(1+$B23)^F22)*IF(F22&gt;=a_churn_year,1-0,1))*(MIN(a_m0+a_mstep*F22,a_mcap)-a_da)-IF(F22=a_churn_year,a_sticky*((cf_arr*(1+$B23)^F22)-((cf_arr*(1+$B23)^F22)*IF(F22&gt;=a_churn_year,1-0,1)))*(1-MIN(a_m0+a_mstep*F22,a_mcap)),0))-MAX(0,(((cf_arr*(1+$B23)^F22)*IF(F22&gt;=a_churn_year,1-0,1))*(MIN(a_m0+a_mstep*F22,a_mcap)-a_da)-IF(F22=a_churn_year,a_sticky*((cf_arr*(1+$B23)^F22)-((cf_arr*(1+$B23)^F22)*IF(F22&gt;=a_churn_year,1-0,1)))*(1-MIN(a_m0+a_mstep*F22,a_mcap)),0)))*a_tax+((cf_arr*(1+$B23)^F22)*IF(F22&gt;=a_churn_year,1-0,1))*a_da-((cf_arr*(1+$B23)^F22)*IF(F22&gt;=a_churn_year,1-0,1))*a_capex-a_wc*(((cf_arr*(1+$B23)^F22)*IF(F22&gt;=a_churn_year,1-0,1))-(cf_arr*(1+$B23)^E22*IF(E22&gt;=a_churn_year,1-0,1)))</f>
        <v>25.0228</v>
      </c>
      <c r="G23" s="36" t="n">
        <f aca="false">(((cf_arr*(1+$B23)^G22)*IF(G22&gt;=a_churn_year,1-0,1))*(MIN(a_m0+a_mstep*G22,a_mcap)-a_da)-IF(G22=a_churn_year,a_sticky*((cf_arr*(1+$B23)^G22)-((cf_arr*(1+$B23)^G22)*IF(G22&gt;=a_churn_year,1-0,1)))*(1-MIN(a_m0+a_mstep*G22,a_mcap)),0))-MAX(0,(((cf_arr*(1+$B23)^G22)*IF(G22&gt;=a_churn_year,1-0,1))*(MIN(a_m0+a_mstep*G22,a_mcap)-a_da)-IF(G22=a_churn_year,a_sticky*((cf_arr*(1+$B23)^G22)-((cf_arr*(1+$B23)^G22)*IF(G22&gt;=a_churn_year,1-0,1)))*(1-MIN(a_m0+a_mstep*G22,a_mcap)),0)))*a_tax+((cf_arr*(1+$B23)^G22)*IF(G22&gt;=a_churn_year,1-0,1))*a_da-((cf_arr*(1+$B23)^G22)*IF(G22&gt;=a_churn_year,1-0,1))*a_capex-a_wc*(((cf_arr*(1+$B23)^G22)*IF(G22&gt;=a_churn_year,1-0,1))-(cf_arr*(1+$B23)^F22*IF(F22&gt;=a_churn_year,1-0,1)))</f>
        <v>39.603905</v>
      </c>
      <c r="H23" s="36" t="n">
        <f aca="false">(((cf_arr*(1+$B23)^H22)*IF(H22&gt;=a_churn_year,1-0,1))*(MIN(a_m0+a_mstep*H22,a_mcap)-a_da)-IF(H22=a_churn_year,a_sticky*((cf_arr*(1+$B23)^H22)-((cf_arr*(1+$B23)^H22)*IF(H22&gt;=a_churn_year,1-0,1)))*(1-MIN(a_m0+a_mstep*H22,a_mcap)),0))-MAX(0,(((cf_arr*(1+$B23)^H22)*IF(H22&gt;=a_churn_year,1-0,1))*(MIN(a_m0+a_mstep*H22,a_mcap)-a_da)-IF(H22=a_churn_year,a_sticky*((cf_arr*(1+$B23)^H22)-((cf_arr*(1+$B23)^H22)*IF(H22&gt;=a_churn_year,1-0,1)))*(1-MIN(a_m0+a_mstep*H22,a_mcap)),0)))*a_tax+((cf_arr*(1+$B23)^H22)*IF(H22&gt;=a_churn_year,1-0,1))*a_da-((cf_arr*(1+$B23)^H22)*IF(H22&gt;=a_churn_year,1-0,1))*a_capex-a_wc*(((cf_arr*(1+$B23)^H22)*IF(H22&gt;=a_churn_year,1-0,1))-(cf_arr*(1+$B23)^G22*IF(G22&gt;=a_churn_year,1-0,1)))</f>
        <v>56.851003</v>
      </c>
      <c r="I23" s="36" t="n">
        <f aca="false">(((cf_arr*(1+$B23)^I22)*IF(I22&gt;=a_churn_year,1-0,1))*(MIN(a_m0+a_mstep*I22,a_mcap)-a_da)-IF(I22=a_churn_year,a_sticky*((cf_arr*(1+$B23)^I22)-((cf_arr*(1+$B23)^I22)*IF(I22&gt;=a_churn_year,1-0,1)))*(1-MIN(a_m0+a_mstep*I22,a_mcap)),0))-MAX(0,(((cf_arr*(1+$B23)^I22)*IF(I22&gt;=a_churn_year,1-0,1))*(MIN(a_m0+a_mstep*I22,a_mcap)-a_da)-IF(I22=a_churn_year,a_sticky*((cf_arr*(1+$B23)^I22)-((cf_arr*(1+$B23)^I22)*IF(I22&gt;=a_churn_year,1-0,1)))*(1-MIN(a_m0+a_mstep*I22,a_mcap)),0)))*a_tax+((cf_arr*(1+$B23)^I22)*IF(I22&gt;=a_churn_year,1-0,1))*a_da-((cf_arr*(1+$B23)^I22)*IF(I22&gt;=a_churn_year,1-0,1))*a_capex-a_wc*(((cf_arr*(1+$B23)^I22)*IF(I22&gt;=a_churn_year,1-0,1))-(cf_arr*(1+$B23)^H22*IF(H22&gt;=a_churn_year,1-0,1)))</f>
        <v>62.5361033</v>
      </c>
      <c r="J23" s="36" t="n">
        <f aca="false">(((cf_arr*(1+$B23)^J22)*IF(J22&gt;=a_churn_year,1-0,1))*(MIN(a_m0+a_mstep*J22,a_mcap)-a_da)-IF(J22=a_churn_year,a_sticky*((cf_arr*(1+$B23)^J22)-((cf_arr*(1+$B23)^J22)*IF(J22&gt;=a_churn_year,1-0,1)))*(1-MIN(a_m0+a_mstep*J22,a_mcap)),0))-MAX(0,(((cf_arr*(1+$B23)^J22)*IF(J22&gt;=a_churn_year,1-0,1))*(MIN(a_m0+a_mstep*J22,a_mcap)-a_da)-IF(J22=a_churn_year,a_sticky*((cf_arr*(1+$B23)^J22)-((cf_arr*(1+$B23)^J22)*IF(J22&gt;=a_churn_year,1-0,1)))*(1-MIN(a_m0+a_mstep*J22,a_mcap)),0)))*a_tax+((cf_arr*(1+$B23)^J22)*IF(J22&gt;=a_churn_year,1-0,1))*a_da-((cf_arr*(1+$B23)^J22)*IF(J22&gt;=a_churn_year,1-0,1))*a_capex-a_wc*(((cf_arr*(1+$B23)^J22)*IF(J22&gt;=a_churn_year,1-0,1))-(cf_arr*(1+$B23)^I22*IF(I22&gt;=a_churn_year,1-0,1)))</f>
        <v>68.78971363</v>
      </c>
      <c r="K23" s="36" t="n">
        <f aca="false">(((cf_arr*(1+$B23)^K22)*IF(K22&gt;=a_churn_year,1-0,1))*(MIN(a_m0+a_mstep*K22,a_mcap)-a_da)-IF(K22=a_churn_year,a_sticky*((cf_arr*(1+$B23)^K22)-((cf_arr*(1+$B23)^K22)*IF(K22&gt;=a_churn_year,1-0,1)))*(1-MIN(a_m0+a_mstep*K22,a_mcap)),0))-MAX(0,(((cf_arr*(1+$B23)^K22)*IF(K22&gt;=a_churn_year,1-0,1))*(MIN(a_m0+a_mstep*K22,a_mcap)-a_da)-IF(K22=a_churn_year,a_sticky*((cf_arr*(1+$B23)^K22)-((cf_arr*(1+$B23)^K22)*IF(K22&gt;=a_churn_year,1-0,1)))*(1-MIN(a_m0+a_mstep*K22,a_mcap)),0)))*a_tax+((cf_arr*(1+$B23)^K22)*IF(K22&gt;=a_churn_year,1-0,1))*a_da-((cf_arr*(1+$B23)^K22)*IF(K22&gt;=a_churn_year,1-0,1))*a_capex-a_wc*(((cf_arr*(1+$B23)^K22)*IF(K22&gt;=a_churn_year,1-0,1))-(cf_arr*(1+$B23)^J22*IF(J22&gt;=a_churn_year,1-0,1)))</f>
        <v>75.6686849930001</v>
      </c>
      <c r="L23" s="36" t="n">
        <f aca="false">(((cf_arr*(1+$B23)^L22)*IF(L22&gt;=a_churn_year,1-0,1))*(MIN(a_m0+a_mstep*L22,a_mcap)-a_da)-IF(L22=a_churn_year,a_sticky*((cf_arr*(1+$B23)^L22)-((cf_arr*(1+$B23)^L22)*IF(L22&gt;=a_churn_year,1-0,1)))*(1-MIN(a_m0+a_mstep*L22,a_mcap)),0))-MAX(0,(((cf_arr*(1+$B23)^L22)*IF(L22&gt;=a_churn_year,1-0,1))*(MIN(a_m0+a_mstep*L22,a_mcap)-a_da)-IF(L22=a_churn_year,a_sticky*((cf_arr*(1+$B23)^L22)-((cf_arr*(1+$B23)^L22)*IF(L22&gt;=a_churn_year,1-0,1)))*(1-MIN(a_m0+a_mstep*L22,a_mcap)),0)))*a_tax+((cf_arr*(1+$B23)^L22)*IF(L22&gt;=a_churn_year,1-0,1))*a_da-((cf_arr*(1+$B23)^L22)*IF(L22&gt;=a_churn_year,1-0,1))*a_capex-a_wc*(((cf_arr*(1+$B23)^L22)*IF(L22&gt;=a_churn_year,1-0,1))-(cf_arr*(1+$B23)^K22*IF(K22&gt;=a_churn_year,1-0,1)))</f>
        <v>83.2355534923001</v>
      </c>
      <c r="M23" s="36" t="n">
        <f aca="false">(((cf_arr*(1+$B23)^M22)*IF(M22&gt;=a_churn_year,1-0,1))*(MIN(a_m0+a_mstep*M22,a_mcap)-a_da)-IF(M22=a_churn_year,a_sticky*((cf_arr*(1+$B23)^M22)-((cf_arr*(1+$B23)^M22)*IF(M22&gt;=a_churn_year,1-0,1)))*(1-MIN(a_m0+a_mstep*M22,a_mcap)),0))-MAX(0,(((cf_arr*(1+$B23)^M22)*IF(M22&gt;=a_churn_year,1-0,1))*(MIN(a_m0+a_mstep*M22,a_mcap)-a_da)-IF(M22=a_churn_year,a_sticky*((cf_arr*(1+$B23)^M22)-((cf_arr*(1+$B23)^M22)*IF(M22&gt;=a_churn_year,1-0,1)))*(1-MIN(a_m0+a_mstep*M22,a_mcap)),0)))*a_tax+((cf_arr*(1+$B23)^M22)*IF(M22&gt;=a_churn_year,1-0,1))*a_da-((cf_arr*(1+$B23)^M22)*IF(M22&gt;=a_churn_year,1-0,1))*a_capex-a_wc*(((cf_arr*(1+$B23)^M22)*IF(M22&gt;=a_churn_year,1-0,1))-(cf_arr*(1+$B23)^L22*IF(L22&gt;=a_churn_year,1-0,1)))</f>
        <v>91.5591088415301</v>
      </c>
    </row>
    <row r="24" customFormat="false" ht="15" hidden="false" customHeight="false" outlineLevel="0" collapsed="false">
      <c r="A24" s="9" t="s">
        <v>325</v>
      </c>
      <c r="B24" s="44" t="n">
        <v>0.15</v>
      </c>
      <c r="C24" s="36" t="n">
        <f aca="false">0</f>
        <v>0</v>
      </c>
      <c r="D24" s="36" t="n">
        <f aca="false">(((cf_arr*(1+$B24)^D22)*IF(D22&gt;=a_churn_year,1-0,1))*(MIN(a_m0+a_mstep*D22,a_mcap)-a_da)-IF(D22=a_churn_year,a_sticky*((cf_arr*(1+$B24)^D22)-((cf_arr*(1+$B24)^D22)*IF(D22&gt;=a_churn_year,1-0,1)))*(1-MIN(a_m0+a_mstep*D22,a_mcap)),0))-MAX(0,(((cf_arr*(1+$B24)^D22)*IF(D22&gt;=a_churn_year,1-0,1))*(MIN(a_m0+a_mstep*D22,a_mcap)-a_da)-IF(D22=a_churn_year,a_sticky*((cf_arr*(1+$B24)^D22)-((cf_arr*(1+$B24)^D22)*IF(D22&gt;=a_churn_year,1-0,1)))*(1-MIN(a_m0+a_mstep*D22,a_mcap)),0)))*a_tax+((cf_arr*(1+$B24)^D22)*IF(D22&gt;=a_churn_year,1-0,1))*a_da-((cf_arr*(1+$B24)^D22)*IF(D22&gt;=a_churn_year,1-0,1))*a_capex-a_wc*(((cf_arr*(1+$B24)^D22)*IF(D22&gt;=a_churn_year,1-0,1))-(cf_arr*(1+$B24)^C22*IF(C22&gt;=a_churn_year,1-0,1)))</f>
        <v>2.145</v>
      </c>
      <c r="E24" s="36" t="n">
        <f aca="false">(((cf_arr*(1+$B24)^E22)*IF(E22&gt;=a_churn_year,1-0,1))*(MIN(a_m0+a_mstep*E22,a_mcap)-a_da)-IF(E22=a_churn_year,a_sticky*((cf_arr*(1+$B24)^E22)-((cf_arr*(1+$B24)^E22)*IF(E22&gt;=a_churn_year,1-0,1)))*(1-MIN(a_m0+a_mstep*E22,a_mcap)),0))-MAX(0,(((cf_arr*(1+$B24)^E22)*IF(E22&gt;=a_churn_year,1-0,1))*(MIN(a_m0+a_mstep*E22,a_mcap)-a_da)-IF(E22=a_churn_year,a_sticky*((cf_arr*(1+$B24)^E22)-((cf_arr*(1+$B24)^E22)*IF(E22&gt;=a_churn_year,1-0,1)))*(1-MIN(a_m0+a_mstep*E22,a_mcap)),0)))*a_tax+((cf_arr*(1+$B24)^E22)*IF(E22&gt;=a_churn_year,1-0,1))*a_da-((cf_arr*(1+$B24)^E22)*IF(E22&gt;=a_churn_year,1-0,1))*a_capex-a_wc*(((cf_arr*(1+$B24)^E22)*IF(E22&gt;=a_churn_year,1-0,1))-(cf_arr*(1+$B24)^D22*IF(D22&gt;=a_churn_year,1-0,1)))</f>
        <v>13.377375</v>
      </c>
      <c r="F24" s="36" t="n">
        <f aca="false">(((cf_arr*(1+$B24)^F22)*IF(F22&gt;=a_churn_year,1-0,1))*(MIN(a_m0+a_mstep*F22,a_mcap)-a_da)-IF(F22=a_churn_year,a_sticky*((cf_arr*(1+$B24)^F22)-((cf_arr*(1+$B24)^F22)*IF(F22&gt;=a_churn_year,1-0,1)))*(1-MIN(a_m0+a_mstep*F22,a_mcap)),0))-MAX(0,(((cf_arr*(1+$B24)^F22)*IF(F22&gt;=a_churn_year,1-0,1))*(MIN(a_m0+a_mstep*F22,a_mcap)-a_da)-IF(F22=a_churn_year,a_sticky*((cf_arr*(1+$B24)^F22)-((cf_arr*(1+$B24)^F22)*IF(F22&gt;=a_churn_year,1-0,1)))*(1-MIN(a_m0+a_mstep*F22,a_mcap)),0)))*a_tax+((cf_arr*(1+$B24)^F22)*IF(F22&gt;=a_churn_year,1-0,1))*a_da-((cf_arr*(1+$B24)^F22)*IF(F22&gt;=a_churn_year,1-0,1))*a_capex-a_wc*(((cf_arr*(1+$B24)^F22)*IF(F22&gt;=a_churn_year,1-0,1))-(cf_arr*(1+$B24)^E22*IF(E22&gt;=a_churn_year,1-0,1)))</f>
        <v>27.9312</v>
      </c>
      <c r="G24" s="36" t="n">
        <f aca="false">(((cf_arr*(1+$B24)^G22)*IF(G22&gt;=a_churn_year,1-0,1))*(MIN(a_m0+a_mstep*G22,a_mcap)-a_da)-IF(G22=a_churn_year,a_sticky*((cf_arr*(1+$B24)^G22)-((cf_arr*(1+$B24)^G22)*IF(G22&gt;=a_churn_year,1-0,1)))*(1-MIN(a_m0+a_mstep*G22,a_mcap)),0))-MAX(0,(((cf_arr*(1+$B24)^G22)*IF(G22&gt;=a_churn_year,1-0,1))*(MIN(a_m0+a_mstep*G22,a_mcap)-a_da)-IF(G22=a_churn_year,a_sticky*((cf_arr*(1+$B24)^G22)-((cf_arr*(1+$B24)^G22)*IF(G22&gt;=a_churn_year,1-0,1)))*(1-MIN(a_m0+a_mstep*G22,a_mcap)),0)))*a_tax+((cf_arr*(1+$B24)^G22)*IF(G22&gt;=a_churn_year,1-0,1))*a_da-((cf_arr*(1+$B24)^G22)*IF(G22&gt;=a_churn_year,1-0,1))*a_capex-a_wc*(((cf_arr*(1+$B24)^G22)*IF(G22&gt;=a_churn_year,1-0,1))-(cf_arr*(1+$B24)^F22*IF(F22&gt;=a_churn_year,1-0,1)))</f>
        <v>46.5501815625</v>
      </c>
      <c r="H24" s="36" t="n">
        <f aca="false">(((cf_arr*(1+$B24)^H22)*IF(H22&gt;=a_churn_year,1-0,1))*(MIN(a_m0+a_mstep*H22,a_mcap)-a_da)-IF(H22=a_churn_year,a_sticky*((cf_arr*(1+$B24)^H22)-((cf_arr*(1+$B24)^H22)*IF(H22&gt;=a_churn_year,1-0,1)))*(1-MIN(a_m0+a_mstep*H22,a_mcap)),0))-MAX(0,(((cf_arr*(1+$B24)^H22)*IF(H22&gt;=a_churn_year,1-0,1))*(MIN(a_m0+a_mstep*H22,a_mcap)-a_da)-IF(H22=a_churn_year,a_sticky*((cf_arr*(1+$B24)^H22)-((cf_arr*(1+$B24)^H22)*IF(H22&gt;=a_churn_year,1-0,1)))*(1-MIN(a_m0+a_mstep*H22,a_mcap)),0)))*a_tax+((cf_arr*(1+$B24)^H22)*IF(H22&gt;=a_churn_year,1-0,1))*a_da-((cf_arr*(1+$B24)^H22)*IF(H22&gt;=a_churn_year,1-0,1))*a_capex-a_wc*(((cf_arr*(1+$B24)^H22)*IF(H22&gt;=a_churn_year,1-0,1))-(cf_arr*(1+$B24)^G22*IF(G22&gt;=a_churn_year,1-0,1)))</f>
        <v>70.12640559375</v>
      </c>
      <c r="I24" s="36" t="n">
        <f aca="false">(((cf_arr*(1+$B24)^I22)*IF(I22&gt;=a_churn_year,1-0,1))*(MIN(a_m0+a_mstep*I22,a_mcap)-a_da)-IF(I22=a_churn_year,a_sticky*((cf_arr*(1+$B24)^I22)-((cf_arr*(1+$B24)^I22)*IF(I22&gt;=a_churn_year,1-0,1)))*(1-MIN(a_m0+a_mstep*I22,a_mcap)),0))-MAX(0,(((cf_arr*(1+$B24)^I22)*IF(I22&gt;=a_churn_year,1-0,1))*(MIN(a_m0+a_mstep*I22,a_mcap)-a_da)-IF(I22=a_churn_year,a_sticky*((cf_arr*(1+$B24)^I22)-((cf_arr*(1+$B24)^I22)*IF(I22&gt;=a_churn_year,1-0,1)))*(1-MIN(a_m0+a_mstep*I22,a_mcap)),0)))*a_tax+((cf_arr*(1+$B24)^I22)*IF(I22&gt;=a_churn_year,1-0,1))*a_da-((cf_arr*(1+$B24)^I22)*IF(I22&gt;=a_churn_year,1-0,1))*a_capex-a_wc*(((cf_arr*(1+$B24)^I22)*IF(I22&gt;=a_churn_year,1-0,1))-(cf_arr*(1+$B24)^H22*IF(H22&gt;=a_churn_year,1-0,1)))</f>
        <v>80.6453664328125</v>
      </c>
      <c r="J24" s="36" t="n">
        <f aca="false">(((cf_arr*(1+$B24)^J22)*IF(J22&gt;=a_churn_year,1-0,1))*(MIN(a_m0+a_mstep*J22,a_mcap)-a_da)-IF(J22=a_churn_year,a_sticky*((cf_arr*(1+$B24)^J22)-((cf_arr*(1+$B24)^J22)*IF(J22&gt;=a_churn_year,1-0,1)))*(1-MIN(a_m0+a_mstep*J22,a_mcap)),0))-MAX(0,(((cf_arr*(1+$B24)^J22)*IF(J22&gt;=a_churn_year,1-0,1))*(MIN(a_m0+a_mstep*J22,a_mcap)-a_da)-IF(J22=a_churn_year,a_sticky*((cf_arr*(1+$B24)^J22)-((cf_arr*(1+$B24)^J22)*IF(J22&gt;=a_churn_year,1-0,1)))*(1-MIN(a_m0+a_mstep*J22,a_mcap)),0)))*a_tax+((cf_arr*(1+$B24)^J22)*IF(J22&gt;=a_churn_year,1-0,1))*a_da-((cf_arr*(1+$B24)^J22)*IF(J22&gt;=a_churn_year,1-0,1))*a_capex-a_wc*(((cf_arr*(1+$B24)^J22)*IF(J22&gt;=a_churn_year,1-0,1))-(cf_arr*(1+$B24)^I22*IF(I22&gt;=a_churn_year,1-0,1)))</f>
        <v>92.7421713977343</v>
      </c>
      <c r="K24" s="36" t="n">
        <f aca="false">(((cf_arr*(1+$B24)^K22)*IF(K22&gt;=a_churn_year,1-0,1))*(MIN(a_m0+a_mstep*K22,a_mcap)-a_da)-IF(K22=a_churn_year,a_sticky*((cf_arr*(1+$B24)^K22)-((cf_arr*(1+$B24)^K22)*IF(K22&gt;=a_churn_year,1-0,1)))*(1-MIN(a_m0+a_mstep*K22,a_mcap)),0))-MAX(0,(((cf_arr*(1+$B24)^K22)*IF(K22&gt;=a_churn_year,1-0,1))*(MIN(a_m0+a_mstep*K22,a_mcap)-a_da)-IF(K22=a_churn_year,a_sticky*((cf_arr*(1+$B24)^K22)-((cf_arr*(1+$B24)^K22)*IF(K22&gt;=a_churn_year,1-0,1)))*(1-MIN(a_m0+a_mstep*K22,a_mcap)),0)))*a_tax+((cf_arr*(1+$B24)^K22)*IF(K22&gt;=a_churn_year,1-0,1))*a_da-((cf_arr*(1+$B24)^K22)*IF(K22&gt;=a_churn_year,1-0,1))*a_capex-a_wc*(((cf_arr*(1+$B24)^K22)*IF(K22&gt;=a_churn_year,1-0,1))-(cf_arr*(1+$B24)^J22*IF(J22&gt;=a_churn_year,1-0,1)))</f>
        <v>106.653497107394</v>
      </c>
      <c r="L24" s="36" t="n">
        <f aca="false">(((cf_arr*(1+$B24)^L22)*IF(L22&gt;=a_churn_year,1-0,1))*(MIN(a_m0+a_mstep*L22,a_mcap)-a_da)-IF(L22=a_churn_year,a_sticky*((cf_arr*(1+$B24)^L22)-((cf_arr*(1+$B24)^L22)*IF(L22&gt;=a_churn_year,1-0,1)))*(1-MIN(a_m0+a_mstep*L22,a_mcap)),0))-MAX(0,(((cf_arr*(1+$B24)^L22)*IF(L22&gt;=a_churn_year,1-0,1))*(MIN(a_m0+a_mstep*L22,a_mcap)-a_da)-IF(L22=a_churn_year,a_sticky*((cf_arr*(1+$B24)^L22)-((cf_arr*(1+$B24)^L22)*IF(L22&gt;=a_churn_year,1-0,1)))*(1-MIN(a_m0+a_mstep*L22,a_mcap)),0)))*a_tax+((cf_arr*(1+$B24)^L22)*IF(L22&gt;=a_churn_year,1-0,1))*a_da-((cf_arr*(1+$B24)^L22)*IF(L22&gt;=a_churn_year,1-0,1))*a_capex-a_wc*(((cf_arr*(1+$B24)^L22)*IF(L22&gt;=a_churn_year,1-0,1))-(cf_arr*(1+$B24)^K22*IF(K22&gt;=a_churn_year,1-0,1)))</f>
        <v>122.651521673504</v>
      </c>
      <c r="M24" s="36" t="n">
        <f aca="false">(((cf_arr*(1+$B24)^M22)*IF(M22&gt;=a_churn_year,1-0,1))*(MIN(a_m0+a_mstep*M22,a_mcap)-a_da)-IF(M22=a_churn_year,a_sticky*((cf_arr*(1+$B24)^M22)-((cf_arr*(1+$B24)^M22)*IF(M22&gt;=a_churn_year,1-0,1)))*(1-MIN(a_m0+a_mstep*M22,a_mcap)),0))-MAX(0,(((cf_arr*(1+$B24)^M22)*IF(M22&gt;=a_churn_year,1-0,1))*(MIN(a_m0+a_mstep*M22,a_mcap)-a_da)-IF(M22=a_churn_year,a_sticky*((cf_arr*(1+$B24)^M22)-((cf_arr*(1+$B24)^M22)*IF(M22&gt;=a_churn_year,1-0,1)))*(1-MIN(a_m0+a_mstep*M22,a_mcap)),0)))*a_tax+((cf_arr*(1+$B24)^M22)*IF(M22&gt;=a_churn_year,1-0,1))*a_da-((cf_arr*(1+$B24)^M22)*IF(M22&gt;=a_churn_year,1-0,1))*a_capex-a_wc*(((cf_arr*(1+$B24)^M22)*IF(M22&gt;=a_churn_year,1-0,1))-(cf_arr*(1+$B24)^L22*IF(L22&gt;=a_churn_year,1-0,1)))</f>
        <v>141.049249924529</v>
      </c>
    </row>
    <row r="25" customFormat="false" ht="15" hidden="false" customHeight="false" outlineLevel="0" collapsed="false">
      <c r="A25" s="9" t="s">
        <v>326</v>
      </c>
      <c r="B25" s="44" t="n">
        <v>0.2</v>
      </c>
      <c r="C25" s="36" t="n">
        <f aca="false">0</f>
        <v>0</v>
      </c>
      <c r="D25" s="36" t="n">
        <f aca="false">(((cf_arr*(1+$B25)^D22)*IF(D22&gt;=a_churn_year,1-0,1))*(MIN(a_m0+a_mstep*D22,a_mcap)-a_da)-IF(D22=a_churn_year,a_sticky*((cf_arr*(1+$B25)^D22)-((cf_arr*(1+$B25)^D22)*IF(D22&gt;=a_churn_year,1-0,1)))*(1-MIN(a_m0+a_mstep*D22,a_mcap)),0))-MAX(0,(((cf_arr*(1+$B25)^D22)*IF(D22&gt;=a_churn_year,1-0,1))*(MIN(a_m0+a_mstep*D22,a_mcap)-a_da)-IF(D22=a_churn_year,a_sticky*((cf_arr*(1+$B25)^D22)-((cf_arr*(1+$B25)^D22)*IF(D22&gt;=a_churn_year,1-0,1)))*(1-MIN(a_m0+a_mstep*D22,a_mcap)),0)))*a_tax+((cf_arr*(1+$B25)^D22)*IF(D22&gt;=a_churn_year,1-0,1))*a_da-((cf_arr*(1+$B25)^D22)*IF(D22&gt;=a_churn_year,1-0,1))*a_capex-a_wc*(((cf_arr*(1+$B25)^D22)*IF(D22&gt;=a_churn_year,1-0,1))-(cf_arr*(1+$B25)^C22*IF(C22&gt;=a_churn_year,1-0,1)))</f>
        <v>1.76</v>
      </c>
      <c r="E25" s="36" t="n">
        <f aca="false">(((cf_arr*(1+$B25)^E22)*IF(E22&gt;=a_churn_year,1-0,1))*(MIN(a_m0+a_mstep*E22,a_mcap)-a_da)-IF(E22=a_churn_year,a_sticky*((cf_arr*(1+$B25)^E22)-((cf_arr*(1+$B25)^E22)*IF(E22&gt;=a_churn_year,1-0,1)))*(1-MIN(a_m0+a_mstep*E22,a_mcap)),0))-MAX(0,(((cf_arr*(1+$B25)^E22)*IF(E22&gt;=a_churn_year,1-0,1))*(MIN(a_m0+a_mstep*E22,a_mcap)-a_da)-IF(E22=a_churn_year,a_sticky*((cf_arr*(1+$B25)^E22)-((cf_arr*(1+$B25)^E22)*IF(E22&gt;=a_churn_year,1-0,1)))*(1-MIN(a_m0+a_mstep*E22,a_mcap)),0)))*a_tax+((cf_arr*(1+$B25)^E22)*IF(E22&gt;=a_churn_year,1-0,1))*a_da-((cf_arr*(1+$B25)^E22)*IF(E22&gt;=a_churn_year,1-0,1))*a_capex-a_wc*(((cf_arr*(1+$B25)^E22)*IF(E22&gt;=a_churn_year,1-0,1))-(cf_arr*(1+$B25)^D22*IF(D22&gt;=a_churn_year,1-0,1)))</f>
        <v>13.992</v>
      </c>
      <c r="F25" s="36" t="n">
        <f aca="false">(((cf_arr*(1+$B25)^F22)*IF(F22&gt;=a_churn_year,1-0,1))*(MIN(a_m0+a_mstep*F22,a_mcap)-a_da)-IF(F22=a_churn_year,a_sticky*((cf_arr*(1+$B25)^F22)-((cf_arr*(1+$B25)^F22)*IF(F22&gt;=a_churn_year,1-0,1)))*(1-MIN(a_m0+a_mstep*F22,a_mcap)),0))-MAX(0,(((cf_arr*(1+$B25)^F22)*IF(F22&gt;=a_churn_year,1-0,1))*(MIN(a_m0+a_mstep*F22,a_mcap)-a_da)-IF(F22=a_churn_year,a_sticky*((cf_arr*(1+$B25)^F22)-((cf_arr*(1+$B25)^F22)*IF(F22&gt;=a_churn_year,1-0,1)))*(1-MIN(a_m0+a_mstep*F22,a_mcap)),0)))*a_tax+((cf_arr*(1+$B25)^F22)*IF(F22&gt;=a_churn_year,1-0,1))*a_da-((cf_arr*(1+$B25)^F22)*IF(F22&gt;=a_churn_year,1-0,1))*a_capex-a_wc*(((cf_arr*(1+$B25)^F22)*IF(F22&gt;=a_churn_year,1-0,1))-(cf_arr*(1+$B25)^E22*IF(E22&gt;=a_churn_year,1-0,1)))</f>
        <v>31.0464</v>
      </c>
      <c r="G25" s="36" t="n">
        <f aca="false">(((cf_arr*(1+$B25)^G22)*IF(G22&gt;=a_churn_year,1-0,1))*(MIN(a_m0+a_mstep*G22,a_mcap)-a_da)-IF(G22=a_churn_year,a_sticky*((cf_arr*(1+$B25)^G22)-((cf_arr*(1+$B25)^G22)*IF(G22&gt;=a_churn_year,1-0,1)))*(1-MIN(a_m0+a_mstep*G22,a_mcap)),0))-MAX(0,(((cf_arr*(1+$B25)^G22)*IF(G22&gt;=a_churn_year,1-0,1))*(MIN(a_m0+a_mstep*G22,a_mcap)-a_da)-IF(G22=a_churn_year,a_sticky*((cf_arr*(1+$B25)^G22)-((cf_arr*(1+$B25)^G22)*IF(G22&gt;=a_churn_year,1-0,1)))*(1-MIN(a_m0+a_mstep*G22,a_mcap)),0)))*a_tax+((cf_arr*(1+$B25)^G22)*IF(G22&gt;=a_churn_year,1-0,1))*a_da-((cf_arr*(1+$B25)^G22)*IF(G22&gt;=a_churn_year,1-0,1))*a_capex-a_wc*(((cf_arr*(1+$B25)^G22)*IF(G22&gt;=a_churn_year,1-0,1))-(cf_arr*(1+$B25)^F22*IF(F22&gt;=a_churn_year,1-0,1)))</f>
        <v>54.36288</v>
      </c>
      <c r="H25" s="36" t="n">
        <f aca="false">(((cf_arr*(1+$B25)^H22)*IF(H22&gt;=a_churn_year,1-0,1))*(MIN(a_m0+a_mstep*H22,a_mcap)-a_da)-IF(H22=a_churn_year,a_sticky*((cf_arr*(1+$B25)^H22)-((cf_arr*(1+$B25)^H22)*IF(H22&gt;=a_churn_year,1-0,1)))*(1-MIN(a_m0+a_mstep*H22,a_mcap)),0))-MAX(0,(((cf_arr*(1+$B25)^H22)*IF(H22&gt;=a_churn_year,1-0,1))*(MIN(a_m0+a_mstep*H22,a_mcap)-a_da)-IF(H22=a_churn_year,a_sticky*((cf_arr*(1+$B25)^H22)-((cf_arr*(1+$B25)^H22)*IF(H22&gt;=a_churn_year,1-0,1)))*(1-MIN(a_m0+a_mstep*H22,a_mcap)),0)))*a_tax+((cf_arr*(1+$B25)^H22)*IF(H22&gt;=a_churn_year,1-0,1))*a_da-((cf_arr*(1+$B25)^H22)*IF(H22&gt;=a_churn_year,1-0,1))*a_capex-a_wc*(((cf_arr*(1+$B25)^H22)*IF(H22&gt;=a_churn_year,1-0,1))-(cf_arr*(1+$B25)^G22*IF(G22&gt;=a_churn_year,1-0,1)))</f>
        <v>85.764096</v>
      </c>
      <c r="I25" s="36" t="n">
        <f aca="false">(((cf_arr*(1+$B25)^I22)*IF(I22&gt;=a_churn_year,1-0,1))*(MIN(a_m0+a_mstep*I22,a_mcap)-a_da)-IF(I22=a_churn_year,a_sticky*((cf_arr*(1+$B25)^I22)-((cf_arr*(1+$B25)^I22)*IF(I22&gt;=a_churn_year,1-0,1)))*(1-MIN(a_m0+a_mstep*I22,a_mcap)),0))-MAX(0,(((cf_arr*(1+$B25)^I22)*IF(I22&gt;=a_churn_year,1-0,1))*(MIN(a_m0+a_mstep*I22,a_mcap)-a_da)-IF(I22=a_churn_year,a_sticky*((cf_arr*(1+$B25)^I22)-((cf_arr*(1+$B25)^I22)*IF(I22&gt;=a_churn_year,1-0,1)))*(1-MIN(a_m0+a_mstep*I22,a_mcap)),0)))*a_tax+((cf_arr*(1+$B25)^I22)*IF(I22&gt;=a_churn_year,1-0,1))*a_da-((cf_arr*(1+$B25)^I22)*IF(I22&gt;=a_churn_year,1-0,1))*a_capex-a_wc*(((cf_arr*(1+$B25)^I22)*IF(I22&gt;=a_churn_year,1-0,1))-(cf_arr*(1+$B25)^H22*IF(H22&gt;=a_churn_year,1-0,1)))</f>
        <v>102.9169152</v>
      </c>
      <c r="J25" s="36" t="n">
        <f aca="false">(((cf_arr*(1+$B25)^J22)*IF(J22&gt;=a_churn_year,1-0,1))*(MIN(a_m0+a_mstep*J22,a_mcap)-a_da)-IF(J22=a_churn_year,a_sticky*((cf_arr*(1+$B25)^J22)-((cf_arr*(1+$B25)^J22)*IF(J22&gt;=a_churn_year,1-0,1)))*(1-MIN(a_m0+a_mstep*J22,a_mcap)),0))-MAX(0,(((cf_arr*(1+$B25)^J22)*IF(J22&gt;=a_churn_year,1-0,1))*(MIN(a_m0+a_mstep*J22,a_mcap)-a_da)-IF(J22=a_churn_year,a_sticky*((cf_arr*(1+$B25)^J22)-((cf_arr*(1+$B25)^J22)*IF(J22&gt;=a_churn_year,1-0,1)))*(1-MIN(a_m0+a_mstep*J22,a_mcap)),0)))*a_tax+((cf_arr*(1+$B25)^J22)*IF(J22&gt;=a_churn_year,1-0,1))*a_da-((cf_arr*(1+$B25)^J22)*IF(J22&gt;=a_churn_year,1-0,1))*a_capex-a_wc*(((cf_arr*(1+$B25)^J22)*IF(J22&gt;=a_churn_year,1-0,1))-(cf_arr*(1+$B25)^I22*IF(I22&gt;=a_churn_year,1-0,1)))</f>
        <v>123.50029824</v>
      </c>
      <c r="K25" s="36" t="n">
        <f aca="false">(((cf_arr*(1+$B25)^K22)*IF(K22&gt;=a_churn_year,1-0,1))*(MIN(a_m0+a_mstep*K22,a_mcap)-a_da)-IF(K22=a_churn_year,a_sticky*((cf_arr*(1+$B25)^K22)-((cf_arr*(1+$B25)^K22)*IF(K22&gt;=a_churn_year,1-0,1)))*(1-MIN(a_m0+a_mstep*K22,a_mcap)),0))-MAX(0,(((cf_arr*(1+$B25)^K22)*IF(K22&gt;=a_churn_year,1-0,1))*(MIN(a_m0+a_mstep*K22,a_mcap)-a_da)-IF(K22=a_churn_year,a_sticky*((cf_arr*(1+$B25)^K22)-((cf_arr*(1+$B25)^K22)*IF(K22&gt;=a_churn_year,1-0,1)))*(1-MIN(a_m0+a_mstep*K22,a_mcap)),0)))*a_tax+((cf_arr*(1+$B25)^K22)*IF(K22&gt;=a_churn_year,1-0,1))*a_da-((cf_arr*(1+$B25)^K22)*IF(K22&gt;=a_churn_year,1-0,1))*a_capex-a_wc*(((cf_arr*(1+$B25)^K22)*IF(K22&gt;=a_churn_year,1-0,1))-(cf_arr*(1+$B25)^J22*IF(J22&gt;=a_churn_year,1-0,1)))</f>
        <v>148.200357888</v>
      </c>
      <c r="L25" s="36" t="n">
        <f aca="false">(((cf_arr*(1+$B25)^L22)*IF(L22&gt;=a_churn_year,1-0,1))*(MIN(a_m0+a_mstep*L22,a_mcap)-a_da)-IF(L22=a_churn_year,a_sticky*((cf_arr*(1+$B25)^L22)-((cf_arr*(1+$B25)^L22)*IF(L22&gt;=a_churn_year,1-0,1)))*(1-MIN(a_m0+a_mstep*L22,a_mcap)),0))-MAX(0,(((cf_arr*(1+$B25)^L22)*IF(L22&gt;=a_churn_year,1-0,1))*(MIN(a_m0+a_mstep*L22,a_mcap)-a_da)-IF(L22=a_churn_year,a_sticky*((cf_arr*(1+$B25)^L22)-((cf_arr*(1+$B25)^L22)*IF(L22&gt;=a_churn_year,1-0,1)))*(1-MIN(a_m0+a_mstep*L22,a_mcap)),0)))*a_tax+((cf_arr*(1+$B25)^L22)*IF(L22&gt;=a_churn_year,1-0,1))*a_da-((cf_arr*(1+$B25)^L22)*IF(L22&gt;=a_churn_year,1-0,1))*a_capex-a_wc*(((cf_arr*(1+$B25)^L22)*IF(L22&gt;=a_churn_year,1-0,1))-(cf_arr*(1+$B25)^K22*IF(K22&gt;=a_churn_year,1-0,1)))</f>
        <v>177.8404294656</v>
      </c>
      <c r="M25" s="36" t="n">
        <f aca="false">(((cf_arr*(1+$B25)^M22)*IF(M22&gt;=a_churn_year,1-0,1))*(MIN(a_m0+a_mstep*M22,a_mcap)-a_da)-IF(M22=a_churn_year,a_sticky*((cf_arr*(1+$B25)^M22)-((cf_arr*(1+$B25)^M22)*IF(M22&gt;=a_churn_year,1-0,1)))*(1-MIN(a_m0+a_mstep*M22,a_mcap)),0))-MAX(0,(((cf_arr*(1+$B25)^M22)*IF(M22&gt;=a_churn_year,1-0,1))*(MIN(a_m0+a_mstep*M22,a_mcap)-a_da)-IF(M22=a_churn_year,a_sticky*((cf_arr*(1+$B25)^M22)-((cf_arr*(1+$B25)^M22)*IF(M22&gt;=a_churn_year,1-0,1)))*(1-MIN(a_m0+a_mstep*M22,a_mcap)),0)))*a_tax+((cf_arr*(1+$B25)^M22)*IF(M22&gt;=a_churn_year,1-0,1))*a_da-((cf_arr*(1+$B25)^M22)*IF(M22&gt;=a_churn_year,1-0,1))*a_capex-a_wc*(((cf_arr*(1+$B25)^M22)*IF(M22&gt;=a_churn_year,1-0,1))-(cf_arr*(1+$B25)^L22*IF(L22&gt;=a_churn_year,1-0,1)))</f>
        <v>213.40851535872</v>
      </c>
    </row>
    <row r="26" customFormat="false" ht="15" hidden="false" customHeight="false" outlineLevel="0" collapsed="false">
      <c r="A26" s="9" t="s">
        <v>327</v>
      </c>
      <c r="B26" s="44" t="n">
        <v>0.25</v>
      </c>
      <c r="C26" s="36" t="n">
        <f aca="false">0</f>
        <v>0</v>
      </c>
      <c r="D26" s="36" t="n">
        <f aca="false">(((cf_arr*(1+$B26)^D22)*IF(D22&gt;=a_churn_year,1-0,1))*(MIN(a_m0+a_mstep*D22,a_mcap)-a_da)-IF(D22=a_churn_year,a_sticky*((cf_arr*(1+$B26)^D22)-((cf_arr*(1+$B26)^D22)*IF(D22&gt;=a_churn_year,1-0,1)))*(1-MIN(a_m0+a_mstep*D22,a_mcap)),0))-MAX(0,(((cf_arr*(1+$B26)^D22)*IF(D22&gt;=a_churn_year,1-0,1))*(MIN(a_m0+a_mstep*D22,a_mcap)-a_da)-IF(D22=a_churn_year,a_sticky*((cf_arr*(1+$B26)^D22)-((cf_arr*(1+$B26)^D22)*IF(D22&gt;=a_churn_year,1-0,1)))*(1-MIN(a_m0+a_mstep*D22,a_mcap)),0)))*a_tax+((cf_arr*(1+$B26)^D22)*IF(D22&gt;=a_churn_year,1-0,1))*a_da-((cf_arr*(1+$B26)^D22)*IF(D22&gt;=a_churn_year,1-0,1))*a_capex-a_wc*(((cf_arr*(1+$B26)^D22)*IF(D22&gt;=a_churn_year,1-0,1))-(cf_arr*(1+$B26)^C22*IF(C22&gt;=a_churn_year,1-0,1)))</f>
        <v>1.375</v>
      </c>
      <c r="E26" s="36" t="n">
        <f aca="false">(((cf_arr*(1+$B26)^E22)*IF(E22&gt;=a_churn_year,1-0,1))*(MIN(a_m0+a_mstep*E22,a_mcap)-a_da)-IF(E22=a_churn_year,a_sticky*((cf_arr*(1+$B26)^E22)-((cf_arr*(1+$B26)^E22)*IF(E22&gt;=a_churn_year,1-0,1)))*(1-MIN(a_m0+a_mstep*E22,a_mcap)),0))-MAX(0,(((cf_arr*(1+$B26)^E22)*IF(E22&gt;=a_churn_year,1-0,1))*(MIN(a_m0+a_mstep*E22,a_mcap)-a_da)-IF(E22=a_churn_year,a_sticky*((cf_arr*(1+$B26)^E22)-((cf_arr*(1+$B26)^E22)*IF(E22&gt;=a_churn_year,1-0,1)))*(1-MIN(a_m0+a_mstep*E22,a_mcap)),0)))*a_tax+((cf_arr*(1+$B26)^E22)*IF(E22&gt;=a_churn_year,1-0,1))*a_da-((cf_arr*(1+$B26)^E22)*IF(E22&gt;=a_churn_year,1-0,1))*a_capex-a_wc*(((cf_arr*(1+$B26)^E22)*IF(E22&gt;=a_churn_year,1-0,1))-(cf_arr*(1+$B26)^D22*IF(D22&gt;=a_churn_year,1-0,1)))</f>
        <v>14.609375</v>
      </c>
      <c r="F26" s="36" t="n">
        <f aca="false">(((cf_arr*(1+$B26)^F22)*IF(F22&gt;=a_churn_year,1-0,1))*(MIN(a_m0+a_mstep*F22,a_mcap)-a_da)-IF(F22=a_churn_year,a_sticky*((cf_arr*(1+$B26)^F22)-((cf_arr*(1+$B26)^F22)*IF(F22&gt;=a_churn_year,1-0,1)))*(1-MIN(a_m0+a_mstep*F22,a_mcap)),0))-MAX(0,(((cf_arr*(1+$B26)^F22)*IF(F22&gt;=a_churn_year,1-0,1))*(MIN(a_m0+a_mstep*F22,a_mcap)-a_da)-IF(F22=a_churn_year,a_sticky*((cf_arr*(1+$B26)^F22)-((cf_arr*(1+$B26)^F22)*IF(F22&gt;=a_churn_year,1-0,1)))*(1-MIN(a_m0+a_mstep*F22,a_mcap)),0)))*a_tax+((cf_arr*(1+$B26)^F22)*IF(F22&gt;=a_churn_year,1-0,1))*a_da-((cf_arr*(1+$B26)^F22)*IF(F22&gt;=a_churn_year,1-0,1))*a_capex-a_wc*(((cf_arr*(1+$B26)^F22)*IF(F22&gt;=a_churn_year,1-0,1))-(cf_arr*(1+$B26)^E22*IF(E22&gt;=a_churn_year,1-0,1)))</f>
        <v>34.375</v>
      </c>
      <c r="G26" s="36" t="n">
        <f aca="false">(((cf_arr*(1+$B26)^G22)*IF(G22&gt;=a_churn_year,1-0,1))*(MIN(a_m0+a_mstep*G22,a_mcap)-a_da)-IF(G22=a_churn_year,a_sticky*((cf_arr*(1+$B26)^G22)-((cf_arr*(1+$B26)^G22)*IF(G22&gt;=a_churn_year,1-0,1)))*(1-MIN(a_m0+a_mstep*G22,a_mcap)),0))-MAX(0,(((cf_arr*(1+$B26)^G22)*IF(G22&gt;=a_churn_year,1-0,1))*(MIN(a_m0+a_mstep*G22,a_mcap)-a_da)-IF(G22=a_churn_year,a_sticky*((cf_arr*(1+$B26)^G22)-((cf_arr*(1+$B26)^G22)*IF(G22&gt;=a_churn_year,1-0,1)))*(1-MIN(a_m0+a_mstep*G22,a_mcap)),0)))*a_tax+((cf_arr*(1+$B26)^G22)*IF(G22&gt;=a_churn_year,1-0,1))*a_da-((cf_arr*(1+$B26)^G22)*IF(G22&gt;=a_churn_year,1-0,1))*a_capex-a_wc*(((cf_arr*(1+$B26)^G22)*IF(G22&gt;=a_churn_year,1-0,1))-(cf_arr*(1+$B26)^F22*IF(F22&gt;=a_churn_year,1-0,1)))</f>
        <v>63.1103515625</v>
      </c>
      <c r="H26" s="36" t="n">
        <f aca="false">(((cf_arr*(1+$B26)^H22)*IF(H22&gt;=a_churn_year,1-0,1))*(MIN(a_m0+a_mstep*H22,a_mcap)-a_da)-IF(H22=a_churn_year,a_sticky*((cf_arr*(1+$B26)^H22)-((cf_arr*(1+$B26)^H22)*IF(H22&gt;=a_churn_year,1-0,1)))*(1-MIN(a_m0+a_mstep*H22,a_mcap)),0))-MAX(0,(((cf_arr*(1+$B26)^H22)*IF(H22&gt;=a_churn_year,1-0,1))*(MIN(a_m0+a_mstep*H22,a_mcap)-a_da)-IF(H22=a_churn_year,a_sticky*((cf_arr*(1+$B26)^H22)-((cf_arr*(1+$B26)^H22)*IF(H22&gt;=a_churn_year,1-0,1)))*(1-MIN(a_m0+a_mstep*H22,a_mcap)),0)))*a_tax+((cf_arr*(1+$B26)^H22)*IF(H22&gt;=a_churn_year,1-0,1))*a_da-((cf_arr*(1+$B26)^H22)*IF(H22&gt;=a_churn_year,1-0,1))*a_capex-a_wc*(((cf_arr*(1+$B26)^H22)*IF(H22&gt;=a_churn_year,1-0,1))-(cf_arr*(1+$B26)^G22*IF(G22&gt;=a_churn_year,1-0,1)))</f>
        <v>104.06494140625</v>
      </c>
      <c r="I26" s="36" t="n">
        <f aca="false">(((cf_arr*(1+$B26)^I22)*IF(I22&gt;=a_churn_year,1-0,1))*(MIN(a_m0+a_mstep*I22,a_mcap)-a_da)-IF(I22=a_churn_year,a_sticky*((cf_arr*(1+$B26)^I22)-((cf_arr*(1+$B26)^I22)*IF(I22&gt;=a_churn_year,1-0,1)))*(1-MIN(a_m0+a_mstep*I22,a_mcap)),0))-MAX(0,(((cf_arr*(1+$B26)^I22)*IF(I22&gt;=a_churn_year,1-0,1))*(MIN(a_m0+a_mstep*I22,a_mcap)-a_da)-IF(I22=a_churn_year,a_sticky*((cf_arr*(1+$B26)^I22)-((cf_arr*(1+$B26)^I22)*IF(I22&gt;=a_churn_year,1-0,1)))*(1-MIN(a_m0+a_mstep*I22,a_mcap)),0)))*a_tax+((cf_arr*(1+$B26)^I22)*IF(I22&gt;=a_churn_year,1-0,1))*a_da-((cf_arr*(1+$B26)^I22)*IF(I22&gt;=a_churn_year,1-0,1))*a_capex-a_wc*(((cf_arr*(1+$B26)^I22)*IF(I22&gt;=a_churn_year,1-0,1))-(cf_arr*(1+$B26)^H22*IF(H22&gt;=a_churn_year,1-0,1)))</f>
        <v>130.081176757813</v>
      </c>
      <c r="J26" s="36" t="n">
        <f aca="false">(((cf_arr*(1+$B26)^J22)*IF(J22&gt;=a_churn_year,1-0,1))*(MIN(a_m0+a_mstep*J22,a_mcap)-a_da)-IF(J22=a_churn_year,a_sticky*((cf_arr*(1+$B26)^J22)-((cf_arr*(1+$B26)^J22)*IF(J22&gt;=a_churn_year,1-0,1)))*(1-MIN(a_m0+a_mstep*J22,a_mcap)),0))-MAX(0,(((cf_arr*(1+$B26)^J22)*IF(J22&gt;=a_churn_year,1-0,1))*(MIN(a_m0+a_mstep*J22,a_mcap)-a_da)-IF(J22=a_churn_year,a_sticky*((cf_arr*(1+$B26)^J22)-((cf_arr*(1+$B26)^J22)*IF(J22&gt;=a_churn_year,1-0,1)))*(1-MIN(a_m0+a_mstep*J22,a_mcap)),0)))*a_tax+((cf_arr*(1+$B26)^J22)*IF(J22&gt;=a_churn_year,1-0,1))*a_da-((cf_arr*(1+$B26)^J22)*IF(J22&gt;=a_churn_year,1-0,1))*a_capex-a_wc*(((cf_arr*(1+$B26)^J22)*IF(J22&gt;=a_churn_year,1-0,1))-(cf_arr*(1+$B26)^I22*IF(I22&gt;=a_churn_year,1-0,1)))</f>
        <v>162.601470947266</v>
      </c>
      <c r="K26" s="36" t="n">
        <f aca="false">(((cf_arr*(1+$B26)^K22)*IF(K22&gt;=a_churn_year,1-0,1))*(MIN(a_m0+a_mstep*K22,a_mcap)-a_da)-IF(K22=a_churn_year,a_sticky*((cf_arr*(1+$B26)^K22)-((cf_arr*(1+$B26)^K22)*IF(K22&gt;=a_churn_year,1-0,1)))*(1-MIN(a_m0+a_mstep*K22,a_mcap)),0))-MAX(0,(((cf_arr*(1+$B26)^K22)*IF(K22&gt;=a_churn_year,1-0,1))*(MIN(a_m0+a_mstep*K22,a_mcap)-a_da)-IF(K22=a_churn_year,a_sticky*((cf_arr*(1+$B26)^K22)-((cf_arr*(1+$B26)^K22)*IF(K22&gt;=a_churn_year,1-0,1)))*(1-MIN(a_m0+a_mstep*K22,a_mcap)),0)))*a_tax+((cf_arr*(1+$B26)^K22)*IF(K22&gt;=a_churn_year,1-0,1))*a_da-((cf_arr*(1+$B26)^K22)*IF(K22&gt;=a_churn_year,1-0,1))*a_capex-a_wc*(((cf_arr*(1+$B26)^K22)*IF(K22&gt;=a_churn_year,1-0,1))-(cf_arr*(1+$B26)^J22*IF(J22&gt;=a_churn_year,1-0,1)))</f>
        <v>203.251838684082</v>
      </c>
      <c r="L26" s="36" t="n">
        <f aca="false">(((cf_arr*(1+$B26)^L22)*IF(L22&gt;=a_churn_year,1-0,1))*(MIN(a_m0+a_mstep*L22,a_mcap)-a_da)-IF(L22=a_churn_year,a_sticky*((cf_arr*(1+$B26)^L22)-((cf_arr*(1+$B26)^L22)*IF(L22&gt;=a_churn_year,1-0,1)))*(1-MIN(a_m0+a_mstep*L22,a_mcap)),0))-MAX(0,(((cf_arr*(1+$B26)^L22)*IF(L22&gt;=a_churn_year,1-0,1))*(MIN(a_m0+a_mstep*L22,a_mcap)-a_da)-IF(L22=a_churn_year,a_sticky*((cf_arr*(1+$B26)^L22)-((cf_arr*(1+$B26)^L22)*IF(L22&gt;=a_churn_year,1-0,1)))*(1-MIN(a_m0+a_mstep*L22,a_mcap)),0)))*a_tax+((cf_arr*(1+$B26)^L22)*IF(L22&gt;=a_churn_year,1-0,1))*a_da-((cf_arr*(1+$B26)^L22)*IF(L22&gt;=a_churn_year,1-0,1))*a_capex-a_wc*(((cf_arr*(1+$B26)^L22)*IF(L22&gt;=a_churn_year,1-0,1))-(cf_arr*(1+$B26)^K22*IF(K22&gt;=a_churn_year,1-0,1)))</f>
        <v>254.064798355103</v>
      </c>
      <c r="M26" s="36" t="n">
        <f aca="false">(((cf_arr*(1+$B26)^M22)*IF(M22&gt;=a_churn_year,1-0,1))*(MIN(a_m0+a_mstep*M22,a_mcap)-a_da)-IF(M22=a_churn_year,a_sticky*((cf_arr*(1+$B26)^M22)-((cf_arr*(1+$B26)^M22)*IF(M22&gt;=a_churn_year,1-0,1)))*(1-MIN(a_m0+a_mstep*M22,a_mcap)),0))-MAX(0,(((cf_arr*(1+$B26)^M22)*IF(M22&gt;=a_churn_year,1-0,1))*(MIN(a_m0+a_mstep*M22,a_mcap)-a_da)-IF(M22=a_churn_year,a_sticky*((cf_arr*(1+$B26)^M22)-((cf_arr*(1+$B26)^M22)*IF(M22&gt;=a_churn_year,1-0,1)))*(1-MIN(a_m0+a_mstep*M22,a_mcap)),0)))*a_tax+((cf_arr*(1+$B26)^M22)*IF(M22&gt;=a_churn_year,1-0,1))*a_da-((cf_arr*(1+$B26)^M22)*IF(M22&gt;=a_churn_year,1-0,1))*a_capex-a_wc*(((cf_arr*(1+$B26)^M22)*IF(M22&gt;=a_churn_year,1-0,1))-(cf_arr*(1+$B26)^L22*IF(L22&gt;=a_churn_year,1-0,1)))</f>
        <v>317.580997943878</v>
      </c>
    </row>
    <row r="27" customFormat="false" ht="15" hidden="false" customHeight="false" outlineLevel="0" collapsed="false">
      <c r="A27" s="9" t="s">
        <v>328</v>
      </c>
      <c r="B27" s="44" t="n">
        <v>0.3</v>
      </c>
      <c r="C27" s="36" t="n">
        <f aca="false">0</f>
        <v>0</v>
      </c>
      <c r="D27" s="36" t="n">
        <f aca="false">(((cf_arr*(1+$B27)^D22)*IF(D22&gt;=a_churn_year,1-0,1))*(MIN(a_m0+a_mstep*D22,a_mcap)-a_da)-IF(D22=a_churn_year,a_sticky*((cf_arr*(1+$B27)^D22)-((cf_arr*(1+$B27)^D22)*IF(D22&gt;=a_churn_year,1-0,1)))*(1-MIN(a_m0+a_mstep*D22,a_mcap)),0))-MAX(0,(((cf_arr*(1+$B27)^D22)*IF(D22&gt;=a_churn_year,1-0,1))*(MIN(a_m0+a_mstep*D22,a_mcap)-a_da)-IF(D22=a_churn_year,a_sticky*((cf_arr*(1+$B27)^D22)-((cf_arr*(1+$B27)^D22)*IF(D22&gt;=a_churn_year,1-0,1)))*(1-MIN(a_m0+a_mstep*D22,a_mcap)),0)))*a_tax+((cf_arr*(1+$B27)^D22)*IF(D22&gt;=a_churn_year,1-0,1))*a_da-((cf_arr*(1+$B27)^D22)*IF(D22&gt;=a_churn_year,1-0,1))*a_capex-a_wc*(((cf_arr*(1+$B27)^D22)*IF(D22&gt;=a_churn_year,1-0,1))-(cf_arr*(1+$B27)^C22*IF(C22&gt;=a_churn_year,1-0,1)))</f>
        <v>0.990000000000001</v>
      </c>
      <c r="E27" s="36" t="n">
        <f aca="false">(((cf_arr*(1+$B27)^E22)*IF(E22&gt;=a_churn_year,1-0,1))*(MIN(a_m0+a_mstep*E22,a_mcap)-a_da)-IF(E22=a_churn_year,a_sticky*((cf_arr*(1+$B27)^E22)-((cf_arr*(1+$B27)^E22)*IF(E22&gt;=a_churn_year,1-0,1)))*(1-MIN(a_m0+a_mstep*E22,a_mcap)),0))-MAX(0,(((cf_arr*(1+$B27)^E22)*IF(E22&gt;=a_churn_year,1-0,1))*(MIN(a_m0+a_mstep*E22,a_mcap)-a_da)-IF(E22=a_churn_year,a_sticky*((cf_arr*(1+$B27)^E22)-((cf_arr*(1+$B27)^E22)*IF(E22&gt;=a_churn_year,1-0,1)))*(1-MIN(a_m0+a_mstep*E22,a_mcap)),0)))*a_tax+((cf_arr*(1+$B27)^E22)*IF(E22&gt;=a_churn_year,1-0,1))*a_da-((cf_arr*(1+$B27)^E22)*IF(E22&gt;=a_churn_year,1-0,1))*a_capex-a_wc*(((cf_arr*(1+$B27)^E22)*IF(E22&gt;=a_churn_year,1-0,1))-(cf_arr*(1+$B27)^D22*IF(D22&gt;=a_churn_year,1-0,1)))</f>
        <v>15.2295</v>
      </c>
      <c r="F27" s="36" t="n">
        <f aca="false">(((cf_arr*(1+$B27)^F22)*IF(F22&gt;=a_churn_year,1-0,1))*(MIN(a_m0+a_mstep*F22,a_mcap)-a_da)-IF(F22=a_churn_year,a_sticky*((cf_arr*(1+$B27)^F22)-((cf_arr*(1+$B27)^F22)*IF(F22&gt;=a_churn_year,1-0,1)))*(1-MIN(a_m0+a_mstep*F22,a_mcap)),0))-MAX(0,(((cf_arr*(1+$B27)^F22)*IF(F22&gt;=a_churn_year,1-0,1))*(MIN(a_m0+a_mstep*F22,a_mcap)-a_da)-IF(F22=a_churn_year,a_sticky*((cf_arr*(1+$B27)^F22)-((cf_arr*(1+$B27)^F22)*IF(F22&gt;=a_churn_year,1-0,1)))*(1-MIN(a_m0+a_mstep*F22,a_mcap)),0)))*a_tax+((cf_arr*(1+$B27)^F22)*IF(F22&gt;=a_churn_year,1-0,1))*a_da-((cf_arr*(1+$B27)^F22)*IF(F22&gt;=a_churn_year,1-0,1))*a_capex-a_wc*(((cf_arr*(1+$B27)^F22)*IF(F22&gt;=a_churn_year,1-0,1))-(cf_arr*(1+$B27)^E22*IF(E22&gt;=a_churn_year,1-0,1)))</f>
        <v>37.9236</v>
      </c>
      <c r="G27" s="36" t="n">
        <f aca="false">(((cf_arr*(1+$B27)^G22)*IF(G22&gt;=a_churn_year,1-0,1))*(MIN(a_m0+a_mstep*G22,a_mcap)-a_da)-IF(G22=a_churn_year,a_sticky*((cf_arr*(1+$B27)^G22)-((cf_arr*(1+$B27)^G22)*IF(G22&gt;=a_churn_year,1-0,1)))*(1-MIN(a_m0+a_mstep*G22,a_mcap)),0))-MAX(0,(((cf_arr*(1+$B27)^G22)*IF(G22&gt;=a_churn_year,1-0,1))*(MIN(a_m0+a_mstep*G22,a_mcap)-a_da)-IF(G22=a_churn_year,a_sticky*((cf_arr*(1+$B27)^G22)-((cf_arr*(1+$B27)^G22)*IF(G22&gt;=a_churn_year,1-0,1)))*(1-MIN(a_m0+a_mstep*G22,a_mcap)),0)))*a_tax+((cf_arr*(1+$B27)^G22)*IF(G22&gt;=a_churn_year,1-0,1))*a_da-((cf_arr*(1+$B27)^G22)*IF(G22&gt;=a_churn_year,1-0,1))*a_capex-a_wc*(((cf_arr*(1+$B27)^G22)*IF(G22&gt;=a_churn_year,1-0,1))-(cf_arr*(1+$B27)^F22*IF(F22&gt;=a_churn_year,1-0,1)))</f>
        <v>72.863505</v>
      </c>
      <c r="H27" s="36" t="n">
        <f aca="false">(((cf_arr*(1+$B27)^H22)*IF(H22&gt;=a_churn_year,1-0,1))*(MIN(a_m0+a_mstep*H22,a_mcap)-a_da)-IF(H22=a_churn_year,a_sticky*((cf_arr*(1+$B27)^H22)-((cf_arr*(1+$B27)^H22)*IF(H22&gt;=a_churn_year,1-0,1)))*(1-MIN(a_m0+a_mstep*H22,a_mcap)),0))-MAX(0,(((cf_arr*(1+$B27)^H22)*IF(H22&gt;=a_churn_year,1-0,1))*(MIN(a_m0+a_mstep*H22,a_mcap)-a_da)-IF(H22=a_churn_year,a_sticky*((cf_arr*(1+$B27)^H22)-((cf_arr*(1+$B27)^H22)*IF(H22&gt;=a_churn_year,1-0,1)))*(1-MIN(a_m0+a_mstep*H22,a_mcap)),0)))*a_tax+((cf_arr*(1+$B27)^H22)*IF(H22&gt;=a_churn_year,1-0,1))*a_da-((cf_arr*(1+$B27)^H22)*IF(H22&gt;=a_churn_year,1-0,1))*a_capex-a_wc*(((cf_arr*(1+$B27)^H22)*IF(H22&gt;=a_churn_year,1-0,1))-(cf_arr*(1+$B27)^G22*IF(G22&gt;=a_churn_year,1-0,1)))</f>
        <v>125.354229</v>
      </c>
      <c r="I27" s="36" t="n">
        <f aca="false">(((cf_arr*(1+$B27)^I22)*IF(I22&gt;=a_churn_year,1-0,1))*(MIN(a_m0+a_mstep*I22,a_mcap)-a_da)-IF(I22=a_churn_year,a_sticky*((cf_arr*(1+$B27)^I22)-((cf_arr*(1+$B27)^I22)*IF(I22&gt;=a_churn_year,1-0,1)))*(1-MIN(a_m0+a_mstep*I22,a_mcap)),0))-MAX(0,(((cf_arr*(1+$B27)^I22)*IF(I22&gt;=a_churn_year,1-0,1))*(MIN(a_m0+a_mstep*I22,a_mcap)-a_da)-IF(I22=a_churn_year,a_sticky*((cf_arr*(1+$B27)^I22)-((cf_arr*(1+$B27)^I22)*IF(I22&gt;=a_churn_year,1-0,1)))*(1-MIN(a_m0+a_mstep*I22,a_mcap)),0)))*a_tax+((cf_arr*(1+$B27)^I22)*IF(I22&gt;=a_churn_year,1-0,1))*a_da-((cf_arr*(1+$B27)^I22)*IF(I22&gt;=a_churn_year,1-0,1))*a_capex-a_wc*(((cf_arr*(1+$B27)^I22)*IF(I22&gt;=a_churn_year,1-0,1))-(cf_arr*(1+$B27)^H22*IF(H22&gt;=a_churn_year,1-0,1)))</f>
        <v>162.9604977</v>
      </c>
      <c r="J27" s="36" t="n">
        <f aca="false">(((cf_arr*(1+$B27)^J22)*IF(J22&gt;=a_churn_year,1-0,1))*(MIN(a_m0+a_mstep*J22,a_mcap)-a_da)-IF(J22=a_churn_year,a_sticky*((cf_arr*(1+$B27)^J22)-((cf_arr*(1+$B27)^J22)*IF(J22&gt;=a_churn_year,1-0,1)))*(1-MIN(a_m0+a_mstep*J22,a_mcap)),0))-MAX(0,(((cf_arr*(1+$B27)^J22)*IF(J22&gt;=a_churn_year,1-0,1))*(MIN(a_m0+a_mstep*J22,a_mcap)-a_da)-IF(J22=a_churn_year,a_sticky*((cf_arr*(1+$B27)^J22)-((cf_arr*(1+$B27)^J22)*IF(J22&gt;=a_churn_year,1-0,1)))*(1-MIN(a_m0+a_mstep*J22,a_mcap)),0)))*a_tax+((cf_arr*(1+$B27)^J22)*IF(J22&gt;=a_churn_year,1-0,1))*a_da-((cf_arr*(1+$B27)^J22)*IF(J22&gt;=a_churn_year,1-0,1))*a_capex-a_wc*(((cf_arr*(1+$B27)^J22)*IF(J22&gt;=a_churn_year,1-0,1))-(cf_arr*(1+$B27)^I22*IF(I22&gt;=a_churn_year,1-0,1)))</f>
        <v>211.84864701</v>
      </c>
      <c r="K27" s="36" t="n">
        <f aca="false">(((cf_arr*(1+$B27)^K22)*IF(K22&gt;=a_churn_year,1-0,1))*(MIN(a_m0+a_mstep*K22,a_mcap)-a_da)-IF(K22=a_churn_year,a_sticky*((cf_arr*(1+$B27)^K22)-((cf_arr*(1+$B27)^K22)*IF(K22&gt;=a_churn_year,1-0,1)))*(1-MIN(a_m0+a_mstep*K22,a_mcap)),0))-MAX(0,(((cf_arr*(1+$B27)^K22)*IF(K22&gt;=a_churn_year,1-0,1))*(MIN(a_m0+a_mstep*K22,a_mcap)-a_da)-IF(K22=a_churn_year,a_sticky*((cf_arr*(1+$B27)^K22)-((cf_arr*(1+$B27)^K22)*IF(K22&gt;=a_churn_year,1-0,1)))*(1-MIN(a_m0+a_mstep*K22,a_mcap)),0)))*a_tax+((cf_arr*(1+$B27)^K22)*IF(K22&gt;=a_churn_year,1-0,1))*a_da-((cf_arr*(1+$B27)^K22)*IF(K22&gt;=a_churn_year,1-0,1))*a_capex-a_wc*(((cf_arr*(1+$B27)^K22)*IF(K22&gt;=a_churn_year,1-0,1))-(cf_arr*(1+$B27)^J22*IF(J22&gt;=a_churn_year,1-0,1)))</f>
        <v>275.403241113</v>
      </c>
      <c r="L27" s="36" t="n">
        <f aca="false">(((cf_arr*(1+$B27)^L22)*IF(L22&gt;=a_churn_year,1-0,1))*(MIN(a_m0+a_mstep*L22,a_mcap)-a_da)-IF(L22=a_churn_year,a_sticky*((cf_arr*(1+$B27)^L22)-((cf_arr*(1+$B27)^L22)*IF(L22&gt;=a_churn_year,1-0,1)))*(1-MIN(a_m0+a_mstep*L22,a_mcap)),0))-MAX(0,(((cf_arr*(1+$B27)^L22)*IF(L22&gt;=a_churn_year,1-0,1))*(MIN(a_m0+a_mstep*L22,a_mcap)-a_da)-IF(L22=a_churn_year,a_sticky*((cf_arr*(1+$B27)^L22)-((cf_arr*(1+$B27)^L22)*IF(L22&gt;=a_churn_year,1-0,1)))*(1-MIN(a_m0+a_mstep*L22,a_mcap)),0)))*a_tax+((cf_arr*(1+$B27)^L22)*IF(L22&gt;=a_churn_year,1-0,1))*a_da-((cf_arr*(1+$B27)^L22)*IF(L22&gt;=a_churn_year,1-0,1))*a_capex-a_wc*(((cf_arr*(1+$B27)^L22)*IF(L22&gt;=a_churn_year,1-0,1))-(cf_arr*(1+$B27)^K22*IF(K22&gt;=a_churn_year,1-0,1)))</f>
        <v>358.0242134469</v>
      </c>
      <c r="M27" s="36" t="n">
        <f aca="false">(((cf_arr*(1+$B27)^M22)*IF(M22&gt;=a_churn_year,1-0,1))*(MIN(a_m0+a_mstep*M22,a_mcap)-a_da)-IF(M22=a_churn_year,a_sticky*((cf_arr*(1+$B27)^M22)-((cf_arr*(1+$B27)^M22)*IF(M22&gt;=a_churn_year,1-0,1)))*(1-MIN(a_m0+a_mstep*M22,a_mcap)),0))-MAX(0,(((cf_arr*(1+$B27)^M22)*IF(M22&gt;=a_churn_year,1-0,1))*(MIN(a_m0+a_mstep*M22,a_mcap)-a_da)-IF(M22=a_churn_year,a_sticky*((cf_arr*(1+$B27)^M22)-((cf_arr*(1+$B27)^M22)*IF(M22&gt;=a_churn_year,1-0,1)))*(1-MIN(a_m0+a_mstep*M22,a_mcap)),0)))*a_tax+((cf_arr*(1+$B27)^M22)*IF(M22&gt;=a_churn_year,1-0,1))*a_da-((cf_arr*(1+$B27)^M22)*IF(M22&gt;=a_churn_year,1-0,1))*a_capex-a_wc*(((cf_arr*(1+$B27)^M22)*IF(M22&gt;=a_churn_year,1-0,1))-(cf_arr*(1+$B27)^L22*IF(L22&gt;=a_churn_year,1-0,1)))</f>
        <v>465.43147748097</v>
      </c>
    </row>
    <row r="28" customFormat="false" ht="15" hidden="false" customHeight="false" outlineLevel="0" collapsed="false">
      <c r="A28" s="9" t="s">
        <v>329</v>
      </c>
      <c r="B28" s="44" t="n">
        <v>0.35</v>
      </c>
      <c r="C28" s="36" t="n">
        <f aca="false">0</f>
        <v>0</v>
      </c>
      <c r="D28" s="36" t="n">
        <f aca="false">(((cf_arr*(1+$B28)^D22)*IF(D22&gt;=a_churn_year,1-0,1))*(MIN(a_m0+a_mstep*D22,a_mcap)-a_da)-IF(D22=a_churn_year,a_sticky*((cf_arr*(1+$B28)^D22)-((cf_arr*(1+$B28)^D22)*IF(D22&gt;=a_churn_year,1-0,1)))*(1-MIN(a_m0+a_mstep*D22,a_mcap)),0))-MAX(0,(((cf_arr*(1+$B28)^D22)*IF(D22&gt;=a_churn_year,1-0,1))*(MIN(a_m0+a_mstep*D22,a_mcap)-a_da)-IF(D22=a_churn_year,a_sticky*((cf_arr*(1+$B28)^D22)-((cf_arr*(1+$B28)^D22)*IF(D22&gt;=a_churn_year,1-0,1)))*(1-MIN(a_m0+a_mstep*D22,a_mcap)),0)))*a_tax+((cf_arr*(1+$B28)^D22)*IF(D22&gt;=a_churn_year,1-0,1))*a_da-((cf_arr*(1+$B28)^D22)*IF(D22&gt;=a_churn_year,1-0,1))*a_capex-a_wc*(((cf_arr*(1+$B28)^D22)*IF(D22&gt;=a_churn_year,1-0,1))-(cf_arr*(1+$B28)^C22*IF(C22&gt;=a_churn_year,1-0,1)))</f>
        <v>0.605000000000002</v>
      </c>
      <c r="E28" s="36" t="n">
        <f aca="false">(((cf_arr*(1+$B28)^E22)*IF(E22&gt;=a_churn_year,1-0,1))*(MIN(a_m0+a_mstep*E22,a_mcap)-a_da)-IF(E22=a_churn_year,a_sticky*((cf_arr*(1+$B28)^E22)-((cf_arr*(1+$B28)^E22)*IF(E22&gt;=a_churn_year,1-0,1)))*(1-MIN(a_m0+a_mstep*E22,a_mcap)),0))-MAX(0,(((cf_arr*(1+$B28)^E22)*IF(E22&gt;=a_churn_year,1-0,1))*(MIN(a_m0+a_mstep*E22,a_mcap)-a_da)-IF(E22=a_churn_year,a_sticky*((cf_arr*(1+$B28)^E22)-((cf_arr*(1+$B28)^E22)*IF(E22&gt;=a_churn_year,1-0,1)))*(1-MIN(a_m0+a_mstep*E22,a_mcap)),0)))*a_tax+((cf_arr*(1+$B28)^E22)*IF(E22&gt;=a_churn_year,1-0,1))*a_da-((cf_arr*(1+$B28)^E22)*IF(E22&gt;=a_churn_year,1-0,1))*a_capex-a_wc*(((cf_arr*(1+$B28)^E22)*IF(E22&gt;=a_churn_year,1-0,1))-(cf_arr*(1+$B28)^D22*IF(D22&gt;=a_churn_year,1-0,1)))</f>
        <v>15.852375</v>
      </c>
      <c r="F28" s="36" t="n">
        <f aca="false">(((cf_arr*(1+$B28)^F22)*IF(F22&gt;=a_churn_year,1-0,1))*(MIN(a_m0+a_mstep*F22,a_mcap)-a_da)-IF(F22=a_churn_year,a_sticky*((cf_arr*(1+$B28)^F22)-((cf_arr*(1+$B28)^F22)*IF(F22&gt;=a_churn_year,1-0,1)))*(1-MIN(a_m0+a_mstep*F22,a_mcap)),0))-MAX(0,(((cf_arr*(1+$B28)^F22)*IF(F22&gt;=a_churn_year,1-0,1))*(MIN(a_m0+a_mstep*F22,a_mcap)-a_da)-IF(F22=a_churn_year,a_sticky*((cf_arr*(1+$B28)^F22)-((cf_arr*(1+$B28)^F22)*IF(F22&gt;=a_churn_year,1-0,1)))*(1-MIN(a_m0+a_mstep*F22,a_mcap)),0)))*a_tax+((cf_arr*(1+$B28)^F22)*IF(F22&gt;=a_churn_year,1-0,1))*a_da-((cf_arr*(1+$B28)^F22)*IF(F22&gt;=a_churn_year,1-0,1))*a_capex-a_wc*(((cf_arr*(1+$B28)^F22)*IF(F22&gt;=a_churn_year,1-0,1))-(cf_arr*(1+$B28)^E22*IF(E22&gt;=a_churn_year,1-0,1)))</f>
        <v>41.6988</v>
      </c>
      <c r="G28" s="36" t="n">
        <f aca="false">(((cf_arr*(1+$B28)^G22)*IF(G22&gt;=a_churn_year,1-0,1))*(MIN(a_m0+a_mstep*G22,a_mcap)-a_da)-IF(G22=a_churn_year,a_sticky*((cf_arr*(1+$B28)^G22)-((cf_arr*(1+$B28)^G22)*IF(G22&gt;=a_churn_year,1-0,1)))*(1-MIN(a_m0+a_mstep*G22,a_mcap)),0))-MAX(0,(((cf_arr*(1+$B28)^G22)*IF(G22&gt;=a_churn_year,1-0,1))*(MIN(a_m0+a_mstep*G22,a_mcap)-a_da)-IF(G22=a_churn_year,a_sticky*((cf_arr*(1+$B28)^G22)-((cf_arr*(1+$B28)^G22)*IF(G22&gt;=a_churn_year,1-0,1)))*(1-MIN(a_m0+a_mstep*G22,a_mcap)),0)))*a_tax+((cf_arr*(1+$B28)^G22)*IF(G22&gt;=a_churn_year,1-0,1))*a_da-((cf_arr*(1+$B28)^G22)*IF(G22&gt;=a_churn_year,1-0,1))*a_capex-a_wc*(((cf_arr*(1+$B28)^G22)*IF(G22&gt;=a_churn_year,1-0,1))-(cf_arr*(1+$B28)^F22*IF(F22&gt;=a_churn_year,1-0,1)))</f>
        <v>83.6958065625</v>
      </c>
      <c r="H28" s="36" t="n">
        <f aca="false">(((cf_arr*(1+$B28)^H22)*IF(H22&gt;=a_churn_year,1-0,1))*(MIN(a_m0+a_mstep*H22,a_mcap)-a_da)-IF(H22=a_churn_year,a_sticky*((cf_arr*(1+$B28)^H22)-((cf_arr*(1+$B28)^H22)*IF(H22&gt;=a_churn_year,1-0,1)))*(1-MIN(a_m0+a_mstep*H22,a_mcap)),0))-MAX(0,(((cf_arr*(1+$B28)^H22)*IF(H22&gt;=a_churn_year,1-0,1))*(MIN(a_m0+a_mstep*H22,a_mcap)-a_da)-IF(H22=a_churn_year,a_sticky*((cf_arr*(1+$B28)^H22)-((cf_arr*(1+$B28)^H22)*IF(H22&gt;=a_churn_year,1-0,1)))*(1-MIN(a_m0+a_mstep*H22,a_mcap)),0)))*a_tax+((cf_arr*(1+$B28)^H22)*IF(H22&gt;=a_churn_year,1-0,1))*a_da-((cf_arr*(1+$B28)^H22)*IF(H22&gt;=a_churn_year,1-0,1))*a_capex-a_wc*(((cf_arr*(1+$B28)^H22)*IF(H22&gt;=a_churn_year,1-0,1))-(cf_arr*(1+$B28)^G22*IF(G22&gt;=a_churn_year,1-0,1)))</f>
        <v>149.98261471875</v>
      </c>
      <c r="I28" s="36" t="n">
        <f aca="false">(((cf_arr*(1+$B28)^I22)*IF(I22&gt;=a_churn_year,1-0,1))*(MIN(a_m0+a_mstep*I22,a_mcap)-a_da)-IF(I22=a_churn_year,a_sticky*((cf_arr*(1+$B28)^I22)-((cf_arr*(1+$B28)^I22)*IF(I22&gt;=a_churn_year,1-0,1)))*(1-MIN(a_m0+a_mstep*I22,a_mcap)),0))-MAX(0,(((cf_arr*(1+$B28)^I22)*IF(I22&gt;=a_churn_year,1-0,1))*(MIN(a_m0+a_mstep*I22,a_mcap)-a_da)-IF(I22=a_churn_year,a_sticky*((cf_arr*(1+$B28)^I22)-((cf_arr*(1+$B28)^I22)*IF(I22&gt;=a_churn_year,1-0,1)))*(1-MIN(a_m0+a_mstep*I22,a_mcap)),0)))*a_tax+((cf_arr*(1+$B28)^I22)*IF(I22&gt;=a_churn_year,1-0,1))*a_da-((cf_arr*(1+$B28)^I22)*IF(I22&gt;=a_churn_year,1-0,1))*a_capex-a_wc*(((cf_arr*(1+$B28)^I22)*IF(I22&gt;=a_churn_year,1-0,1))-(cf_arr*(1+$B28)^H22*IF(H22&gt;=a_churn_year,1-0,1)))</f>
        <v>202.476529870313</v>
      </c>
      <c r="J28" s="36" t="n">
        <f aca="false">(((cf_arr*(1+$B28)^J22)*IF(J22&gt;=a_churn_year,1-0,1))*(MIN(a_m0+a_mstep*J22,a_mcap)-a_da)-IF(J22=a_churn_year,a_sticky*((cf_arr*(1+$B28)^J22)-((cf_arr*(1+$B28)^J22)*IF(J22&gt;=a_churn_year,1-0,1)))*(1-MIN(a_m0+a_mstep*J22,a_mcap)),0))-MAX(0,(((cf_arr*(1+$B28)^J22)*IF(J22&gt;=a_churn_year,1-0,1))*(MIN(a_m0+a_mstep*J22,a_mcap)-a_da)-IF(J22=a_churn_year,a_sticky*((cf_arr*(1+$B28)^J22)-((cf_arr*(1+$B28)^J22)*IF(J22&gt;=a_churn_year,1-0,1)))*(1-MIN(a_m0+a_mstep*J22,a_mcap)),0)))*a_tax+((cf_arr*(1+$B28)^J22)*IF(J22&gt;=a_churn_year,1-0,1))*a_da-((cf_arr*(1+$B28)^J22)*IF(J22&gt;=a_churn_year,1-0,1))*a_capex-a_wc*(((cf_arr*(1+$B28)^J22)*IF(J22&gt;=a_churn_year,1-0,1))-(cf_arr*(1+$B28)^I22*IF(I22&gt;=a_churn_year,1-0,1)))</f>
        <v>273.343315324922</v>
      </c>
      <c r="K28" s="36" t="n">
        <f aca="false">(((cf_arr*(1+$B28)^K22)*IF(K22&gt;=a_churn_year,1-0,1))*(MIN(a_m0+a_mstep*K22,a_mcap)-a_da)-IF(K22=a_churn_year,a_sticky*((cf_arr*(1+$B28)^K22)-((cf_arr*(1+$B28)^K22)*IF(K22&gt;=a_churn_year,1-0,1)))*(1-MIN(a_m0+a_mstep*K22,a_mcap)),0))-MAX(0,(((cf_arr*(1+$B28)^K22)*IF(K22&gt;=a_churn_year,1-0,1))*(MIN(a_m0+a_mstep*K22,a_mcap)-a_da)-IF(K22=a_churn_year,a_sticky*((cf_arr*(1+$B28)^K22)-((cf_arr*(1+$B28)^K22)*IF(K22&gt;=a_churn_year,1-0,1)))*(1-MIN(a_m0+a_mstep*K22,a_mcap)),0)))*a_tax+((cf_arr*(1+$B28)^K22)*IF(K22&gt;=a_churn_year,1-0,1))*a_da-((cf_arr*(1+$B28)^K22)*IF(K22&gt;=a_churn_year,1-0,1))*a_capex-a_wc*(((cf_arr*(1+$B28)^K22)*IF(K22&gt;=a_churn_year,1-0,1))-(cf_arr*(1+$B28)^J22*IF(J22&gt;=a_churn_year,1-0,1)))</f>
        <v>369.013475688645</v>
      </c>
      <c r="L28" s="36" t="n">
        <f aca="false">(((cf_arr*(1+$B28)^L22)*IF(L22&gt;=a_churn_year,1-0,1))*(MIN(a_m0+a_mstep*L22,a_mcap)-a_da)-IF(L22=a_churn_year,a_sticky*((cf_arr*(1+$B28)^L22)-((cf_arr*(1+$B28)^L22)*IF(L22&gt;=a_churn_year,1-0,1)))*(1-MIN(a_m0+a_mstep*L22,a_mcap)),0))-MAX(0,(((cf_arr*(1+$B28)^L22)*IF(L22&gt;=a_churn_year,1-0,1))*(MIN(a_m0+a_mstep*L22,a_mcap)-a_da)-IF(L22=a_churn_year,a_sticky*((cf_arr*(1+$B28)^L22)-((cf_arr*(1+$B28)^L22)*IF(L22&gt;=a_churn_year,1-0,1)))*(1-MIN(a_m0+a_mstep*L22,a_mcap)),0)))*a_tax+((cf_arr*(1+$B28)^L22)*IF(L22&gt;=a_churn_year,1-0,1))*a_da-((cf_arr*(1+$B28)^L22)*IF(L22&gt;=a_churn_year,1-0,1))*a_capex-a_wc*(((cf_arr*(1+$B28)^L22)*IF(L22&gt;=a_churn_year,1-0,1))-(cf_arr*(1+$B28)^K22*IF(K22&gt;=a_churn_year,1-0,1)))</f>
        <v>498.16819217967</v>
      </c>
      <c r="M28" s="36" t="n">
        <f aca="false">(((cf_arr*(1+$B28)^M22)*IF(M22&gt;=a_churn_year,1-0,1))*(MIN(a_m0+a_mstep*M22,a_mcap)-a_da)-IF(M22=a_churn_year,a_sticky*((cf_arr*(1+$B28)^M22)-((cf_arr*(1+$B28)^M22)*IF(M22&gt;=a_churn_year,1-0,1)))*(1-MIN(a_m0+a_mstep*M22,a_mcap)),0))-MAX(0,(((cf_arr*(1+$B28)^M22)*IF(M22&gt;=a_churn_year,1-0,1))*(MIN(a_m0+a_mstep*M22,a_mcap)-a_da)-IF(M22=a_churn_year,a_sticky*((cf_arr*(1+$B28)^M22)-((cf_arr*(1+$B28)^M22)*IF(M22&gt;=a_churn_year,1-0,1)))*(1-MIN(a_m0+a_mstep*M22,a_mcap)),0)))*a_tax+((cf_arr*(1+$B28)^M22)*IF(M22&gt;=a_churn_year,1-0,1))*a_da-((cf_arr*(1+$B28)^M22)*IF(M22&gt;=a_churn_year,1-0,1))*a_capex-a_wc*(((cf_arr*(1+$B28)^M22)*IF(M22&gt;=a_churn_year,1-0,1))-(cf_arr*(1+$B28)^L22*IF(L22&gt;=a_churn_year,1-0,1)))</f>
        <v>672.527059442555</v>
      </c>
    </row>
    <row r="29" customFormat="false" ht="15" hidden="false" customHeight="false" outlineLevel="0" collapsed="false">
      <c r="A29" s="9" t="s">
        <v>330</v>
      </c>
      <c r="B29" s="44" t="n">
        <v>0.4</v>
      </c>
      <c r="C29" s="36" t="n">
        <f aca="false">0</f>
        <v>0</v>
      </c>
      <c r="D29" s="36" t="n">
        <f aca="false">(((cf_arr*(1+$B29)^D22)*IF(D22&gt;=a_churn_year,1-0,1))*(MIN(a_m0+a_mstep*D22,a_mcap)-a_da)-IF(D22=a_churn_year,a_sticky*((cf_arr*(1+$B29)^D22)-((cf_arr*(1+$B29)^D22)*IF(D22&gt;=a_churn_year,1-0,1)))*(1-MIN(a_m0+a_mstep*D22,a_mcap)),0))-MAX(0,(((cf_arr*(1+$B29)^D22)*IF(D22&gt;=a_churn_year,1-0,1))*(MIN(a_m0+a_mstep*D22,a_mcap)-a_da)-IF(D22=a_churn_year,a_sticky*((cf_arr*(1+$B29)^D22)-((cf_arr*(1+$B29)^D22)*IF(D22&gt;=a_churn_year,1-0,1)))*(1-MIN(a_m0+a_mstep*D22,a_mcap)),0)))*a_tax+((cf_arr*(1+$B29)^D22)*IF(D22&gt;=a_churn_year,1-0,1))*a_da-((cf_arr*(1+$B29)^D22)*IF(D22&gt;=a_churn_year,1-0,1))*a_capex-a_wc*(((cf_arr*(1+$B29)^D22)*IF(D22&gt;=a_churn_year,1-0,1))-(cf_arr*(1+$B29)^C22*IF(C22&gt;=a_churn_year,1-0,1)))</f>
        <v>0.220000000000001</v>
      </c>
      <c r="E29" s="36" t="n">
        <f aca="false">(((cf_arr*(1+$B29)^E22)*IF(E22&gt;=a_churn_year,1-0,1))*(MIN(a_m0+a_mstep*E22,a_mcap)-a_da)-IF(E22=a_churn_year,a_sticky*((cf_arr*(1+$B29)^E22)-((cf_arr*(1+$B29)^E22)*IF(E22&gt;=a_churn_year,1-0,1)))*(1-MIN(a_m0+a_mstep*E22,a_mcap)),0))-MAX(0,(((cf_arr*(1+$B29)^E22)*IF(E22&gt;=a_churn_year,1-0,1))*(MIN(a_m0+a_mstep*E22,a_mcap)-a_da)-IF(E22=a_churn_year,a_sticky*((cf_arr*(1+$B29)^E22)-((cf_arr*(1+$B29)^E22)*IF(E22&gt;=a_churn_year,1-0,1)))*(1-MIN(a_m0+a_mstep*E22,a_mcap)),0)))*a_tax+((cf_arr*(1+$B29)^E22)*IF(E22&gt;=a_churn_year,1-0,1))*a_da-((cf_arr*(1+$B29)^E22)*IF(E22&gt;=a_churn_year,1-0,1))*a_capex-a_wc*(((cf_arr*(1+$B29)^E22)*IF(E22&gt;=a_churn_year,1-0,1))-(cf_arr*(1+$B29)^D22*IF(D22&gt;=a_churn_year,1-0,1)))</f>
        <v>16.478</v>
      </c>
      <c r="F29" s="36" t="n">
        <f aca="false">(((cf_arr*(1+$B29)^F22)*IF(F22&gt;=a_churn_year,1-0,1))*(MIN(a_m0+a_mstep*F22,a_mcap)-a_da)-IF(F22=a_churn_year,a_sticky*((cf_arr*(1+$B29)^F22)-((cf_arr*(1+$B29)^F22)*IF(F22&gt;=a_churn_year,1-0,1)))*(1-MIN(a_m0+a_mstep*F22,a_mcap)),0))-MAX(0,(((cf_arr*(1+$B29)^F22)*IF(F22&gt;=a_churn_year,1-0,1))*(MIN(a_m0+a_mstep*F22,a_mcap)-a_da)-IF(F22=a_churn_year,a_sticky*((cf_arr*(1+$B29)^F22)-((cf_arr*(1+$B29)^F22)*IF(F22&gt;=a_churn_year,1-0,1)))*(1-MIN(a_m0+a_mstep*F22,a_mcap)),0)))*a_tax+((cf_arr*(1+$B29)^F22)*IF(F22&gt;=a_churn_year,1-0,1))*a_da-((cf_arr*(1+$B29)^F22)*IF(F22&gt;=a_churn_year,1-0,1))*a_capex-a_wc*(((cf_arr*(1+$B29)^F22)*IF(F22&gt;=a_churn_year,1-0,1))-(cf_arr*(1+$B29)^E22*IF(E22&gt;=a_churn_year,1-0,1)))</f>
        <v>45.7072</v>
      </c>
      <c r="G29" s="36" t="n">
        <f aca="false">(((cf_arr*(1+$B29)^G22)*IF(G22&gt;=a_churn_year,1-0,1))*(MIN(a_m0+a_mstep*G22,a_mcap)-a_da)-IF(G22=a_churn_year,a_sticky*((cf_arr*(1+$B29)^G22)-((cf_arr*(1+$B29)^G22)*IF(G22&gt;=a_churn_year,1-0,1)))*(1-MIN(a_m0+a_mstep*G22,a_mcap)),0))-MAX(0,(((cf_arr*(1+$B29)^G22)*IF(G22&gt;=a_churn_year,1-0,1))*(MIN(a_m0+a_mstep*G22,a_mcap)-a_da)-IF(G22=a_churn_year,a_sticky*((cf_arr*(1+$B29)^G22)-((cf_arr*(1+$B29)^G22)*IF(G22&gt;=a_churn_year,1-0,1)))*(1-MIN(a_m0+a_mstep*G22,a_mcap)),0)))*a_tax+((cf_arr*(1+$B29)^G22)*IF(G22&gt;=a_churn_year,1-0,1))*a_da-((cf_arr*(1+$B29)^G22)*IF(G22&gt;=a_churn_year,1-0,1))*a_capex-a_wc*(((cf_arr*(1+$B29)^G22)*IF(G22&gt;=a_churn_year,1-0,1))-(cf_arr*(1+$B29)^F22*IF(F22&gt;=a_churn_year,1-0,1)))</f>
        <v>95.68328</v>
      </c>
      <c r="H29" s="36" t="n">
        <f aca="false">(((cf_arr*(1+$B29)^H22)*IF(H22&gt;=a_churn_year,1-0,1))*(MIN(a_m0+a_mstep*H22,a_mcap)-a_da)-IF(H22=a_churn_year,a_sticky*((cf_arr*(1+$B29)^H22)-((cf_arr*(1+$B29)^H22)*IF(H22&gt;=a_churn_year,1-0,1)))*(1-MIN(a_m0+a_mstep*H22,a_mcap)),0))-MAX(0,(((cf_arr*(1+$B29)^H22)*IF(H22&gt;=a_churn_year,1-0,1))*(MIN(a_m0+a_mstep*H22,a_mcap)-a_da)-IF(H22=a_churn_year,a_sticky*((cf_arr*(1+$B29)^H22)-((cf_arr*(1+$B29)^H22)*IF(H22&gt;=a_churn_year,1-0,1)))*(1-MIN(a_m0+a_mstep*H22,a_mcap)),0)))*a_tax+((cf_arr*(1+$B29)^H22)*IF(H22&gt;=a_churn_year,1-0,1))*a_da-((cf_arr*(1+$B29)^H22)*IF(H22&gt;=a_churn_year,1-0,1))*a_capex-a_wc*(((cf_arr*(1+$B29)^H22)*IF(H22&gt;=a_churn_year,1-0,1))-(cf_arr*(1+$B29)^G22*IF(G22&gt;=a_churn_year,1-0,1)))</f>
        <v>178.327072</v>
      </c>
      <c r="I29" s="36" t="n">
        <f aca="false">(((cf_arr*(1+$B29)^I22)*IF(I22&gt;=a_churn_year,1-0,1))*(MIN(a_m0+a_mstep*I22,a_mcap)-a_da)-IF(I22=a_churn_year,a_sticky*((cf_arr*(1+$B29)^I22)-((cf_arr*(1+$B29)^I22)*IF(I22&gt;=a_churn_year,1-0,1)))*(1-MIN(a_m0+a_mstep*I22,a_mcap)),0))-MAX(0,(((cf_arr*(1+$B29)^I22)*IF(I22&gt;=a_churn_year,1-0,1))*(MIN(a_m0+a_mstep*I22,a_mcap)-a_da)-IF(I22=a_churn_year,a_sticky*((cf_arr*(1+$B29)^I22)-((cf_arr*(1+$B29)^I22)*IF(I22&gt;=a_churn_year,1-0,1)))*(1-MIN(a_m0+a_mstep*I22,a_mcap)),0)))*a_tax+((cf_arr*(1+$B29)^I22)*IF(I22&gt;=a_churn_year,1-0,1))*a_da-((cf_arr*(1+$B29)^I22)*IF(I22&gt;=a_churn_year,1-0,1))*a_capex-a_wc*(((cf_arr*(1+$B29)^I22)*IF(I22&gt;=a_churn_year,1-0,1))-(cf_arr*(1+$B29)^H22*IF(H22&gt;=a_churn_year,1-0,1)))</f>
        <v>249.6579008</v>
      </c>
      <c r="J29" s="36" t="n">
        <f aca="false">(((cf_arr*(1+$B29)^J22)*IF(J22&gt;=a_churn_year,1-0,1))*(MIN(a_m0+a_mstep*J22,a_mcap)-a_da)-IF(J22=a_churn_year,a_sticky*((cf_arr*(1+$B29)^J22)-((cf_arr*(1+$B29)^J22)*IF(J22&gt;=a_churn_year,1-0,1)))*(1-MIN(a_m0+a_mstep*J22,a_mcap)),0))-MAX(0,(((cf_arr*(1+$B29)^J22)*IF(J22&gt;=a_churn_year,1-0,1))*(MIN(a_m0+a_mstep*J22,a_mcap)-a_da)-IF(J22=a_churn_year,a_sticky*((cf_arr*(1+$B29)^J22)-((cf_arr*(1+$B29)^J22)*IF(J22&gt;=a_churn_year,1-0,1)))*(1-MIN(a_m0+a_mstep*J22,a_mcap)),0)))*a_tax+((cf_arr*(1+$B29)^J22)*IF(J22&gt;=a_churn_year,1-0,1))*a_da-((cf_arr*(1+$B29)^J22)*IF(J22&gt;=a_churn_year,1-0,1))*a_capex-a_wc*(((cf_arr*(1+$B29)^J22)*IF(J22&gt;=a_churn_year,1-0,1))-(cf_arr*(1+$B29)^I22*IF(I22&gt;=a_churn_year,1-0,1)))</f>
        <v>349.52106112</v>
      </c>
      <c r="K29" s="36" t="n">
        <f aca="false">(((cf_arr*(1+$B29)^K22)*IF(K22&gt;=a_churn_year,1-0,1))*(MIN(a_m0+a_mstep*K22,a_mcap)-a_da)-IF(K22=a_churn_year,a_sticky*((cf_arr*(1+$B29)^K22)-((cf_arr*(1+$B29)^K22)*IF(K22&gt;=a_churn_year,1-0,1)))*(1-MIN(a_m0+a_mstep*K22,a_mcap)),0))-MAX(0,(((cf_arr*(1+$B29)^K22)*IF(K22&gt;=a_churn_year,1-0,1))*(MIN(a_m0+a_mstep*K22,a_mcap)-a_da)-IF(K22=a_churn_year,a_sticky*((cf_arr*(1+$B29)^K22)-((cf_arr*(1+$B29)^K22)*IF(K22&gt;=a_churn_year,1-0,1)))*(1-MIN(a_m0+a_mstep*K22,a_mcap)),0)))*a_tax+((cf_arr*(1+$B29)^K22)*IF(K22&gt;=a_churn_year,1-0,1))*a_da-((cf_arr*(1+$B29)^K22)*IF(K22&gt;=a_churn_year,1-0,1))*a_capex-a_wc*(((cf_arr*(1+$B29)^K22)*IF(K22&gt;=a_churn_year,1-0,1))-(cf_arr*(1+$B29)^J22*IF(J22&gt;=a_churn_year,1-0,1)))</f>
        <v>489.329485568</v>
      </c>
      <c r="L29" s="36" t="n">
        <f aca="false">(((cf_arr*(1+$B29)^L22)*IF(L22&gt;=a_churn_year,1-0,1))*(MIN(a_m0+a_mstep*L22,a_mcap)-a_da)-IF(L22=a_churn_year,a_sticky*((cf_arr*(1+$B29)^L22)-((cf_arr*(1+$B29)^L22)*IF(L22&gt;=a_churn_year,1-0,1)))*(1-MIN(a_m0+a_mstep*L22,a_mcap)),0))-MAX(0,(((cf_arr*(1+$B29)^L22)*IF(L22&gt;=a_churn_year,1-0,1))*(MIN(a_m0+a_mstep*L22,a_mcap)-a_da)-IF(L22=a_churn_year,a_sticky*((cf_arr*(1+$B29)^L22)-((cf_arr*(1+$B29)^L22)*IF(L22&gt;=a_churn_year,1-0,1)))*(1-MIN(a_m0+a_mstep*L22,a_mcap)),0)))*a_tax+((cf_arr*(1+$B29)^L22)*IF(L22&gt;=a_churn_year,1-0,1))*a_da-((cf_arr*(1+$B29)^L22)*IF(L22&gt;=a_churn_year,1-0,1))*a_capex-a_wc*(((cf_arr*(1+$B29)^L22)*IF(L22&gt;=a_churn_year,1-0,1))-(cf_arr*(1+$B29)^K22*IF(K22&gt;=a_churn_year,1-0,1)))</f>
        <v>685.0612797952</v>
      </c>
      <c r="M29" s="36" t="n">
        <f aca="false">(((cf_arr*(1+$B29)^M22)*IF(M22&gt;=a_churn_year,1-0,1))*(MIN(a_m0+a_mstep*M22,a_mcap)-a_da)-IF(M22=a_churn_year,a_sticky*((cf_arr*(1+$B29)^M22)-((cf_arr*(1+$B29)^M22)*IF(M22&gt;=a_churn_year,1-0,1)))*(1-MIN(a_m0+a_mstep*M22,a_mcap)),0))-MAX(0,(((cf_arr*(1+$B29)^M22)*IF(M22&gt;=a_churn_year,1-0,1))*(MIN(a_m0+a_mstep*M22,a_mcap)-a_da)-IF(M22=a_churn_year,a_sticky*((cf_arr*(1+$B29)^M22)-((cf_arr*(1+$B29)^M22)*IF(M22&gt;=a_churn_year,1-0,1)))*(1-MIN(a_m0+a_mstep*M22,a_mcap)),0)))*a_tax+((cf_arr*(1+$B29)^M22)*IF(M22&gt;=a_churn_year,1-0,1))*a_da-((cf_arr*(1+$B29)^M22)*IF(M22&gt;=a_churn_year,1-0,1))*a_capex-a_wc*(((cf_arr*(1+$B29)^M22)*IF(M22&gt;=a_churn_year,1-0,1))-(cf_arr*(1+$B29)^L22*IF(L22&gt;=a_churn_year,1-0,1)))</f>
        <v>959.08579171328</v>
      </c>
    </row>
    <row r="30" customFormat="false" ht="15" hidden="false" customHeight="false" outlineLevel="0" collapsed="false">
      <c r="A30" s="9" t="s">
        <v>331</v>
      </c>
      <c r="B30" s="44" t="n">
        <v>0.45</v>
      </c>
      <c r="C30" s="36" t="n">
        <f aca="false">0</f>
        <v>0</v>
      </c>
      <c r="D30" s="36" t="n">
        <f aca="false">(((cf_arr*(1+$B30)^D22)*IF(D22&gt;=a_churn_year,1-0,1))*(MIN(a_m0+a_mstep*D22,a_mcap)-a_da)-IF(D22=a_churn_year,a_sticky*((cf_arr*(1+$B30)^D22)-((cf_arr*(1+$B30)^D22)*IF(D22&gt;=a_churn_year,1-0,1)))*(1-MIN(a_m0+a_mstep*D22,a_mcap)),0))-MAX(0,(((cf_arr*(1+$B30)^D22)*IF(D22&gt;=a_churn_year,1-0,1))*(MIN(a_m0+a_mstep*D22,a_mcap)-a_da)-IF(D22=a_churn_year,a_sticky*((cf_arr*(1+$B30)^D22)-((cf_arr*(1+$B30)^D22)*IF(D22&gt;=a_churn_year,1-0,1)))*(1-MIN(a_m0+a_mstep*D22,a_mcap)),0)))*a_tax+((cf_arr*(1+$B30)^D22)*IF(D22&gt;=a_churn_year,1-0,1))*a_da-((cf_arr*(1+$B30)^D22)*IF(D22&gt;=a_churn_year,1-0,1))*a_capex-a_wc*(((cf_arr*(1+$B30)^D22)*IF(D22&gt;=a_churn_year,1-0,1))-(cf_arr*(1+$B30)^C22*IF(C22&gt;=a_churn_year,1-0,1)))</f>
        <v>-0.165</v>
      </c>
      <c r="E30" s="36" t="n">
        <f aca="false">(((cf_arr*(1+$B30)^E22)*IF(E22&gt;=a_churn_year,1-0,1))*(MIN(a_m0+a_mstep*E22,a_mcap)-a_da)-IF(E22=a_churn_year,a_sticky*((cf_arr*(1+$B30)^E22)-((cf_arr*(1+$B30)^E22)*IF(E22&gt;=a_churn_year,1-0,1)))*(1-MIN(a_m0+a_mstep*E22,a_mcap)),0))-MAX(0,(((cf_arr*(1+$B30)^E22)*IF(E22&gt;=a_churn_year,1-0,1))*(MIN(a_m0+a_mstep*E22,a_mcap)-a_da)-IF(E22=a_churn_year,a_sticky*((cf_arr*(1+$B30)^E22)-((cf_arr*(1+$B30)^E22)*IF(E22&gt;=a_churn_year,1-0,1)))*(1-MIN(a_m0+a_mstep*E22,a_mcap)),0)))*a_tax+((cf_arr*(1+$B30)^E22)*IF(E22&gt;=a_churn_year,1-0,1))*a_da-((cf_arr*(1+$B30)^E22)*IF(E22&gt;=a_churn_year,1-0,1))*a_capex-a_wc*(((cf_arr*(1+$B30)^E22)*IF(E22&gt;=a_churn_year,1-0,1))-(cf_arr*(1+$B30)^D22*IF(D22&gt;=a_churn_year,1-0,1)))</f>
        <v>17.106375</v>
      </c>
      <c r="F30" s="36" t="n">
        <f aca="false">(((cf_arr*(1+$B30)^F22)*IF(F22&gt;=a_churn_year,1-0,1))*(MIN(a_m0+a_mstep*F22,a_mcap)-a_da)-IF(F22=a_churn_year,a_sticky*((cf_arr*(1+$B30)^F22)-((cf_arr*(1+$B30)^F22)*IF(F22&gt;=a_churn_year,1-0,1)))*(1-MIN(a_m0+a_mstep*F22,a_mcap)),0))-MAX(0,(((cf_arr*(1+$B30)^F22)*IF(F22&gt;=a_churn_year,1-0,1))*(MIN(a_m0+a_mstep*F22,a_mcap)-a_da)-IF(F22=a_churn_year,a_sticky*((cf_arr*(1+$B30)^F22)-((cf_arr*(1+$B30)^F22)*IF(F22&gt;=a_churn_year,1-0,1)))*(1-MIN(a_m0+a_mstep*F22,a_mcap)),0)))*a_tax+((cf_arr*(1+$B30)^F22)*IF(F22&gt;=a_churn_year,1-0,1))*a_da-((cf_arr*(1+$B30)^F22)*IF(F22&gt;=a_churn_year,1-0,1))*a_capex-a_wc*(((cf_arr*(1+$B30)^F22)*IF(F22&gt;=a_churn_year,1-0,1))-(cf_arr*(1+$B30)^E22*IF(E22&gt;=a_churn_year,1-0,1)))</f>
        <v>49.9554</v>
      </c>
      <c r="G30" s="36" t="n">
        <f aca="false">(((cf_arr*(1+$B30)^G22)*IF(G22&gt;=a_churn_year,1-0,1))*(MIN(a_m0+a_mstep*G22,a_mcap)-a_da)-IF(G22=a_churn_year,a_sticky*((cf_arr*(1+$B30)^G22)-((cf_arr*(1+$B30)^G22)*IF(G22&gt;=a_churn_year,1-0,1)))*(1-MIN(a_m0+a_mstep*G22,a_mcap)),0))-MAX(0,(((cf_arr*(1+$B30)^G22)*IF(G22&gt;=a_churn_year,1-0,1))*(MIN(a_m0+a_mstep*G22,a_mcap)-a_da)-IF(G22=a_churn_year,a_sticky*((cf_arr*(1+$B30)^G22)-((cf_arr*(1+$B30)^G22)*IF(G22&gt;=a_churn_year,1-0,1)))*(1-MIN(a_m0+a_mstep*G22,a_mcap)),0)))*a_tax+((cf_arr*(1+$B30)^G22)*IF(G22&gt;=a_churn_year,1-0,1))*a_da-((cf_arr*(1+$B30)^G22)*IF(G22&gt;=a_churn_year,1-0,1))*a_capex-a_wc*(((cf_arr*(1+$B30)^G22)*IF(G22&gt;=a_churn_year,1-0,1))-(cf_arr*(1+$B30)^F22*IF(F22&gt;=a_churn_year,1-0,1)))</f>
        <v>108.9045065625</v>
      </c>
      <c r="H30" s="36" t="n">
        <f aca="false">(((cf_arr*(1+$B30)^H22)*IF(H22&gt;=a_churn_year,1-0,1))*(MIN(a_m0+a_mstep*H22,a_mcap)-a_da)-IF(H22=a_churn_year,a_sticky*((cf_arr*(1+$B30)^H22)-((cf_arr*(1+$B30)^H22)*IF(H22&gt;=a_churn_year,1-0,1)))*(1-MIN(a_m0+a_mstep*H22,a_mcap)),0))-MAX(0,(((cf_arr*(1+$B30)^H22)*IF(H22&gt;=a_churn_year,1-0,1))*(MIN(a_m0+a_mstep*H22,a_mcap)-a_da)-IF(H22=a_churn_year,a_sticky*((cf_arr*(1+$B30)^H22)-((cf_arr*(1+$B30)^H22)*IF(H22&gt;=a_churn_year,1-0,1)))*(1-MIN(a_m0+a_mstep*H22,a_mcap)),0)))*a_tax+((cf_arr*(1+$B30)^H22)*IF(H22&gt;=a_churn_year,1-0,1))*a_da-((cf_arr*(1+$B30)^H22)*IF(H22&gt;=a_churn_year,1-0,1))*a_capex-a_wc*(((cf_arr*(1+$B30)^H22)*IF(H22&gt;=a_churn_year,1-0,1))-(cf_arr*(1+$B30)^G22*IF(G22&gt;=a_churn_year,1-0,1)))</f>
        <v>210.79184053125</v>
      </c>
      <c r="I30" s="36" t="n">
        <f aca="false">(((cf_arr*(1+$B30)^I22)*IF(I22&gt;=a_churn_year,1-0,1))*(MIN(a_m0+a_mstep*I22,a_mcap)-a_da)-IF(I22=a_churn_year,a_sticky*((cf_arr*(1+$B30)^I22)-((cf_arr*(1+$B30)^I22)*IF(I22&gt;=a_churn_year,1-0,1)))*(1-MIN(a_m0+a_mstep*I22,a_mcap)),0))-MAX(0,(((cf_arr*(1+$B30)^I22)*IF(I22&gt;=a_churn_year,1-0,1))*(MIN(a_m0+a_mstep*I22,a_mcap)-a_da)-IF(I22=a_churn_year,a_sticky*((cf_arr*(1+$B30)^I22)-((cf_arr*(1+$B30)^I22)*IF(I22&gt;=a_churn_year,1-0,1)))*(1-MIN(a_m0+a_mstep*I22,a_mcap)),0)))*a_tax+((cf_arr*(1+$B30)^I22)*IF(I22&gt;=a_churn_year,1-0,1))*a_da-((cf_arr*(1+$B30)^I22)*IF(I22&gt;=a_churn_year,1-0,1))*a_capex-a_wc*(((cf_arr*(1+$B30)^I22)*IF(I22&gt;=a_churn_year,1-0,1))-(cf_arr*(1+$B30)^H22*IF(H22&gt;=a_churn_year,1-0,1)))</f>
        <v>305.648168770312</v>
      </c>
      <c r="J30" s="36" t="n">
        <f aca="false">(((cf_arr*(1+$B30)^J22)*IF(J22&gt;=a_churn_year,1-0,1))*(MIN(a_m0+a_mstep*J22,a_mcap)-a_da)-IF(J22=a_churn_year,a_sticky*((cf_arr*(1+$B30)^J22)-((cf_arr*(1+$B30)^J22)*IF(J22&gt;=a_churn_year,1-0,1)))*(1-MIN(a_m0+a_mstep*J22,a_mcap)),0))-MAX(0,(((cf_arr*(1+$B30)^J22)*IF(J22&gt;=a_churn_year,1-0,1))*(MIN(a_m0+a_mstep*J22,a_mcap)-a_da)-IF(J22=a_churn_year,a_sticky*((cf_arr*(1+$B30)^J22)-((cf_arr*(1+$B30)^J22)*IF(J22&gt;=a_churn_year,1-0,1)))*(1-MIN(a_m0+a_mstep*J22,a_mcap)),0)))*a_tax+((cf_arr*(1+$B30)^J22)*IF(J22&gt;=a_churn_year,1-0,1))*a_da-((cf_arr*(1+$B30)^J22)*IF(J22&gt;=a_churn_year,1-0,1))*a_capex-a_wc*(((cf_arr*(1+$B30)^J22)*IF(J22&gt;=a_churn_year,1-0,1))-(cf_arr*(1+$B30)^I22*IF(I22&gt;=a_churn_year,1-0,1)))</f>
        <v>443.189844716953</v>
      </c>
      <c r="K30" s="36" t="n">
        <f aca="false">(((cf_arr*(1+$B30)^K22)*IF(K22&gt;=a_churn_year,1-0,1))*(MIN(a_m0+a_mstep*K22,a_mcap)-a_da)-IF(K22=a_churn_year,a_sticky*((cf_arr*(1+$B30)^K22)-((cf_arr*(1+$B30)^K22)*IF(K22&gt;=a_churn_year,1-0,1)))*(1-MIN(a_m0+a_mstep*K22,a_mcap)),0))-MAX(0,(((cf_arr*(1+$B30)^K22)*IF(K22&gt;=a_churn_year,1-0,1))*(MIN(a_m0+a_mstep*K22,a_mcap)-a_da)-IF(K22=a_churn_year,a_sticky*((cf_arr*(1+$B30)^K22)-((cf_arr*(1+$B30)^K22)*IF(K22&gt;=a_churn_year,1-0,1)))*(1-MIN(a_m0+a_mstep*K22,a_mcap)),0)))*a_tax+((cf_arr*(1+$B30)^K22)*IF(K22&gt;=a_churn_year,1-0,1))*a_da-((cf_arr*(1+$B30)^K22)*IF(K22&gt;=a_churn_year,1-0,1))*a_capex-a_wc*(((cf_arr*(1+$B30)^K22)*IF(K22&gt;=a_churn_year,1-0,1))-(cf_arr*(1+$B30)^J22*IF(J22&gt;=a_churn_year,1-0,1)))</f>
        <v>642.625274839582</v>
      </c>
      <c r="L30" s="36" t="n">
        <f aca="false">(((cf_arr*(1+$B30)^L22)*IF(L22&gt;=a_churn_year,1-0,1))*(MIN(a_m0+a_mstep*L22,a_mcap)-a_da)-IF(L22=a_churn_year,a_sticky*((cf_arr*(1+$B30)^L22)-((cf_arr*(1+$B30)^L22)*IF(L22&gt;=a_churn_year,1-0,1)))*(1-MIN(a_m0+a_mstep*L22,a_mcap)),0))-MAX(0,(((cf_arr*(1+$B30)^L22)*IF(L22&gt;=a_churn_year,1-0,1))*(MIN(a_m0+a_mstep*L22,a_mcap)-a_da)-IF(L22=a_churn_year,a_sticky*((cf_arr*(1+$B30)^L22)-((cf_arr*(1+$B30)^L22)*IF(L22&gt;=a_churn_year,1-0,1)))*(1-MIN(a_m0+a_mstep*L22,a_mcap)),0)))*a_tax+((cf_arr*(1+$B30)^L22)*IF(L22&gt;=a_churn_year,1-0,1))*a_da-((cf_arr*(1+$B30)^L22)*IF(L22&gt;=a_churn_year,1-0,1))*a_capex-a_wc*(((cf_arr*(1+$B30)^L22)*IF(L22&gt;=a_churn_year,1-0,1))-(cf_arr*(1+$B30)^K22*IF(K22&gt;=a_churn_year,1-0,1)))</f>
        <v>931.806648517394</v>
      </c>
      <c r="M30" s="36" t="n">
        <f aca="false">(((cf_arr*(1+$B30)^M22)*IF(M22&gt;=a_churn_year,1-0,1))*(MIN(a_m0+a_mstep*M22,a_mcap)-a_da)-IF(M22=a_churn_year,a_sticky*((cf_arr*(1+$B30)^M22)-((cf_arr*(1+$B30)^M22)*IF(M22&gt;=a_churn_year,1-0,1)))*(1-MIN(a_m0+a_mstep*M22,a_mcap)),0))-MAX(0,(((cf_arr*(1+$B30)^M22)*IF(M22&gt;=a_churn_year,1-0,1))*(MIN(a_m0+a_mstep*M22,a_mcap)-a_da)-IF(M22=a_churn_year,a_sticky*((cf_arr*(1+$B30)^M22)-((cf_arr*(1+$B30)^M22)*IF(M22&gt;=a_churn_year,1-0,1)))*(1-MIN(a_m0+a_mstep*M22,a_mcap)),0)))*a_tax+((cf_arr*(1+$B30)^M22)*IF(M22&gt;=a_churn_year,1-0,1))*a_da-((cf_arr*(1+$B30)^M22)*IF(M22&gt;=a_churn_year,1-0,1))*a_capex-a_wc*(((cf_arr*(1+$B30)^M22)*IF(M22&gt;=a_churn_year,1-0,1))-(cf_arr*(1+$B30)^L22*IF(L22&gt;=a_churn_year,1-0,1)))</f>
        <v>1351.11964035022</v>
      </c>
    </row>
    <row r="31" customFormat="false" ht="15" hidden="false" customHeight="false" outlineLevel="0" collapsed="false">
      <c r="A31" s="9" t="s">
        <v>332</v>
      </c>
      <c r="B31" s="44" t="n">
        <v>0.5</v>
      </c>
      <c r="C31" s="36" t="n">
        <f aca="false">0</f>
        <v>0</v>
      </c>
      <c r="D31" s="36" t="n">
        <f aca="false">(((cf_arr*(1+$B31)^D22)*IF(D22&gt;=a_churn_year,1-0,1))*(MIN(a_m0+a_mstep*D22,a_mcap)-a_da)-IF(D22=a_churn_year,a_sticky*((cf_arr*(1+$B31)^D22)-((cf_arr*(1+$B31)^D22)*IF(D22&gt;=a_churn_year,1-0,1)))*(1-MIN(a_m0+a_mstep*D22,a_mcap)),0))-MAX(0,(((cf_arr*(1+$B31)^D22)*IF(D22&gt;=a_churn_year,1-0,1))*(MIN(a_m0+a_mstep*D22,a_mcap)-a_da)-IF(D22=a_churn_year,a_sticky*((cf_arr*(1+$B31)^D22)-((cf_arr*(1+$B31)^D22)*IF(D22&gt;=a_churn_year,1-0,1)))*(1-MIN(a_m0+a_mstep*D22,a_mcap)),0)))*a_tax+((cf_arr*(1+$B31)^D22)*IF(D22&gt;=a_churn_year,1-0,1))*a_da-((cf_arr*(1+$B31)^D22)*IF(D22&gt;=a_churn_year,1-0,1))*a_capex-a_wc*(((cf_arr*(1+$B31)^D22)*IF(D22&gt;=a_churn_year,1-0,1))-(cf_arr*(1+$B31)^C22*IF(C22&gt;=a_churn_year,1-0,1)))</f>
        <v>-0.549999999999999</v>
      </c>
      <c r="E31" s="36" t="n">
        <f aca="false">(((cf_arr*(1+$B31)^E22)*IF(E22&gt;=a_churn_year,1-0,1))*(MIN(a_m0+a_mstep*E22,a_mcap)-a_da)-IF(E22=a_churn_year,a_sticky*((cf_arr*(1+$B31)^E22)-((cf_arr*(1+$B31)^E22)*IF(E22&gt;=a_churn_year,1-0,1)))*(1-MIN(a_m0+a_mstep*E22,a_mcap)),0))-MAX(0,(((cf_arr*(1+$B31)^E22)*IF(E22&gt;=a_churn_year,1-0,1))*(MIN(a_m0+a_mstep*E22,a_mcap)-a_da)-IF(E22=a_churn_year,a_sticky*((cf_arr*(1+$B31)^E22)-((cf_arr*(1+$B31)^E22)*IF(E22&gt;=a_churn_year,1-0,1)))*(1-MIN(a_m0+a_mstep*E22,a_mcap)),0)))*a_tax+((cf_arr*(1+$B31)^E22)*IF(E22&gt;=a_churn_year,1-0,1))*a_da-((cf_arr*(1+$B31)^E22)*IF(E22&gt;=a_churn_year,1-0,1))*a_capex-a_wc*(((cf_arr*(1+$B31)^E22)*IF(E22&gt;=a_churn_year,1-0,1))-(cf_arr*(1+$B31)^D22*IF(D22&gt;=a_churn_year,1-0,1)))</f>
        <v>17.7375</v>
      </c>
      <c r="F31" s="36" t="n">
        <f aca="false">(((cf_arr*(1+$B31)^F22)*IF(F22&gt;=a_churn_year,1-0,1))*(MIN(a_m0+a_mstep*F22,a_mcap)-a_da)-IF(F22=a_churn_year,a_sticky*((cf_arr*(1+$B31)^F22)-((cf_arr*(1+$B31)^F22)*IF(F22&gt;=a_churn_year,1-0,1)))*(1-MIN(a_m0+a_mstep*F22,a_mcap)),0))-MAX(0,(((cf_arr*(1+$B31)^F22)*IF(F22&gt;=a_churn_year,1-0,1))*(MIN(a_m0+a_mstep*F22,a_mcap)-a_da)-IF(F22=a_churn_year,a_sticky*((cf_arr*(1+$B31)^F22)-((cf_arr*(1+$B31)^F22)*IF(F22&gt;=a_churn_year,1-0,1)))*(1-MIN(a_m0+a_mstep*F22,a_mcap)),0)))*a_tax+((cf_arr*(1+$B31)^F22)*IF(F22&gt;=a_churn_year,1-0,1))*a_da-((cf_arr*(1+$B31)^F22)*IF(F22&gt;=a_churn_year,1-0,1))*a_capex-a_wc*(((cf_arr*(1+$B31)^F22)*IF(F22&gt;=a_churn_year,1-0,1))-(cf_arr*(1+$B31)^E22*IF(E22&gt;=a_churn_year,1-0,1)))</f>
        <v>54.45</v>
      </c>
      <c r="G31" s="36" t="n">
        <f aca="false">(((cf_arr*(1+$B31)^G22)*IF(G22&gt;=a_churn_year,1-0,1))*(MIN(a_m0+a_mstep*G22,a_mcap)-a_da)-IF(G22=a_churn_year,a_sticky*((cf_arr*(1+$B31)^G22)-((cf_arr*(1+$B31)^G22)*IF(G22&gt;=a_churn_year,1-0,1)))*(1-MIN(a_m0+a_mstep*G22,a_mcap)),0))-MAX(0,(((cf_arr*(1+$B31)^G22)*IF(G22&gt;=a_churn_year,1-0,1))*(MIN(a_m0+a_mstep*G22,a_mcap)-a_da)-IF(G22=a_churn_year,a_sticky*((cf_arr*(1+$B31)^G22)-((cf_arr*(1+$B31)^G22)*IF(G22&gt;=a_churn_year,1-0,1)))*(1-MIN(a_m0+a_mstep*G22,a_mcap)),0)))*a_tax+((cf_arr*(1+$B31)^G22)*IF(G22&gt;=a_churn_year,1-0,1))*a_da-((cf_arr*(1+$B31)^G22)*IF(G22&gt;=a_churn_year,1-0,1))*a_capex-a_wc*(((cf_arr*(1+$B31)^G22)*IF(G22&gt;=a_churn_year,1-0,1))-(cf_arr*(1+$B31)^F22*IF(F22&gt;=a_churn_year,1-0,1)))</f>
        <v>123.440625</v>
      </c>
      <c r="H31" s="36" t="n">
        <f aca="false">(((cf_arr*(1+$B31)^H22)*IF(H22&gt;=a_churn_year,1-0,1))*(MIN(a_m0+a_mstep*H22,a_mcap)-a_da)-IF(H22=a_churn_year,a_sticky*((cf_arr*(1+$B31)^H22)-((cf_arr*(1+$B31)^H22)*IF(H22&gt;=a_churn_year,1-0,1)))*(1-MIN(a_m0+a_mstep*H22,a_mcap)),0))-MAX(0,(((cf_arr*(1+$B31)^H22)*IF(H22&gt;=a_churn_year,1-0,1))*(MIN(a_m0+a_mstep*H22,a_mcap)-a_da)-IF(H22=a_churn_year,a_sticky*((cf_arr*(1+$B31)^H22)-((cf_arr*(1+$B31)^H22)*IF(H22&gt;=a_churn_year,1-0,1)))*(1-MIN(a_m0+a_mstep*H22,a_mcap)),0)))*a_tax+((cf_arr*(1+$B31)^H22)*IF(H22&gt;=a_churn_year,1-0,1))*a_da-((cf_arr*(1+$B31)^H22)*IF(H22&gt;=a_churn_year,1-0,1))*a_capex-a_wc*(((cf_arr*(1+$B31)^H22)*IF(H22&gt;=a_churn_year,1-0,1))-(cf_arr*(1+$B31)^G22*IF(G22&gt;=a_churn_year,1-0,1)))</f>
        <v>247.809375</v>
      </c>
      <c r="I31" s="36" t="n">
        <f aca="false">(((cf_arr*(1+$B31)^I22)*IF(I22&gt;=a_churn_year,1-0,1))*(MIN(a_m0+a_mstep*I22,a_mcap)-a_da)-IF(I22=a_churn_year,a_sticky*((cf_arr*(1+$B31)^I22)-((cf_arr*(1+$B31)^I22)*IF(I22&gt;=a_churn_year,1-0,1)))*(1-MIN(a_m0+a_mstep*I22,a_mcap)),0))-MAX(0,(((cf_arr*(1+$B31)^I22)*IF(I22&gt;=a_churn_year,1-0,1))*(MIN(a_m0+a_mstep*I22,a_mcap)-a_da)-IF(I22=a_churn_year,a_sticky*((cf_arr*(1+$B31)^I22)-((cf_arr*(1+$B31)^I22)*IF(I22&gt;=a_churn_year,1-0,1)))*(1-MIN(a_m0+a_mstep*I22,a_mcap)),0)))*a_tax+((cf_arr*(1+$B31)^I22)*IF(I22&gt;=a_churn_year,1-0,1))*a_da-((cf_arr*(1+$B31)^I22)*IF(I22&gt;=a_churn_year,1-0,1))*a_capex-a_wc*(((cf_arr*(1+$B31)^I22)*IF(I22&gt;=a_churn_year,1-0,1))-(cf_arr*(1+$B31)^H22*IF(H22&gt;=a_churn_year,1-0,1)))</f>
        <v>371.7140625</v>
      </c>
      <c r="J31" s="36" t="n">
        <f aca="false">(((cf_arr*(1+$B31)^J22)*IF(J22&gt;=a_churn_year,1-0,1))*(MIN(a_m0+a_mstep*J22,a_mcap)-a_da)-IF(J22=a_churn_year,a_sticky*((cf_arr*(1+$B31)^J22)-((cf_arr*(1+$B31)^J22)*IF(J22&gt;=a_churn_year,1-0,1)))*(1-MIN(a_m0+a_mstep*J22,a_mcap)),0))-MAX(0,(((cf_arr*(1+$B31)^J22)*IF(J22&gt;=a_churn_year,1-0,1))*(MIN(a_m0+a_mstep*J22,a_mcap)-a_da)-IF(J22=a_churn_year,a_sticky*((cf_arr*(1+$B31)^J22)-((cf_arr*(1+$B31)^J22)*IF(J22&gt;=a_churn_year,1-0,1)))*(1-MIN(a_m0+a_mstep*J22,a_mcap)),0)))*a_tax+((cf_arr*(1+$B31)^J22)*IF(J22&gt;=a_churn_year,1-0,1))*a_da-((cf_arr*(1+$B31)^J22)*IF(J22&gt;=a_churn_year,1-0,1))*a_capex-a_wc*(((cf_arr*(1+$B31)^J22)*IF(J22&gt;=a_churn_year,1-0,1))-(cf_arr*(1+$B31)^I22*IF(I22&gt;=a_churn_year,1-0,1)))</f>
        <v>557.57109375</v>
      </c>
      <c r="K31" s="36" t="n">
        <f aca="false">(((cf_arr*(1+$B31)^K22)*IF(K22&gt;=a_churn_year,1-0,1))*(MIN(a_m0+a_mstep*K22,a_mcap)-a_da)-IF(K22=a_churn_year,a_sticky*((cf_arr*(1+$B31)^K22)-((cf_arr*(1+$B31)^K22)*IF(K22&gt;=a_churn_year,1-0,1)))*(1-MIN(a_m0+a_mstep*K22,a_mcap)),0))-MAX(0,(((cf_arr*(1+$B31)^K22)*IF(K22&gt;=a_churn_year,1-0,1))*(MIN(a_m0+a_mstep*K22,a_mcap)-a_da)-IF(K22=a_churn_year,a_sticky*((cf_arr*(1+$B31)^K22)-((cf_arr*(1+$B31)^K22)*IF(K22&gt;=a_churn_year,1-0,1)))*(1-MIN(a_m0+a_mstep*K22,a_mcap)),0)))*a_tax+((cf_arr*(1+$B31)^K22)*IF(K22&gt;=a_churn_year,1-0,1))*a_da-((cf_arr*(1+$B31)^K22)*IF(K22&gt;=a_churn_year,1-0,1))*a_capex-a_wc*(((cf_arr*(1+$B31)^K22)*IF(K22&gt;=a_churn_year,1-0,1))-(cf_arr*(1+$B31)^J22*IF(J22&gt;=a_churn_year,1-0,1)))</f>
        <v>836.356640625</v>
      </c>
      <c r="L31" s="36" t="n">
        <f aca="false">(((cf_arr*(1+$B31)^L22)*IF(L22&gt;=a_churn_year,1-0,1))*(MIN(a_m0+a_mstep*L22,a_mcap)-a_da)-IF(L22=a_churn_year,a_sticky*((cf_arr*(1+$B31)^L22)-((cf_arr*(1+$B31)^L22)*IF(L22&gt;=a_churn_year,1-0,1)))*(1-MIN(a_m0+a_mstep*L22,a_mcap)),0))-MAX(0,(((cf_arr*(1+$B31)^L22)*IF(L22&gt;=a_churn_year,1-0,1))*(MIN(a_m0+a_mstep*L22,a_mcap)-a_da)-IF(L22=a_churn_year,a_sticky*((cf_arr*(1+$B31)^L22)-((cf_arr*(1+$B31)^L22)*IF(L22&gt;=a_churn_year,1-0,1)))*(1-MIN(a_m0+a_mstep*L22,a_mcap)),0)))*a_tax+((cf_arr*(1+$B31)^L22)*IF(L22&gt;=a_churn_year,1-0,1))*a_da-((cf_arr*(1+$B31)^L22)*IF(L22&gt;=a_churn_year,1-0,1))*a_capex-a_wc*(((cf_arr*(1+$B31)^L22)*IF(L22&gt;=a_churn_year,1-0,1))-(cf_arr*(1+$B31)^K22*IF(K22&gt;=a_churn_year,1-0,1)))</f>
        <v>1254.5349609375</v>
      </c>
      <c r="M31" s="36" t="n">
        <f aca="false">(((cf_arr*(1+$B31)^M22)*IF(M22&gt;=a_churn_year,1-0,1))*(MIN(a_m0+a_mstep*M22,a_mcap)-a_da)-IF(M22=a_churn_year,a_sticky*((cf_arr*(1+$B31)^M22)-((cf_arr*(1+$B31)^M22)*IF(M22&gt;=a_churn_year,1-0,1)))*(1-MIN(a_m0+a_mstep*M22,a_mcap)),0))-MAX(0,(((cf_arr*(1+$B31)^M22)*IF(M22&gt;=a_churn_year,1-0,1))*(MIN(a_m0+a_mstep*M22,a_mcap)-a_da)-IF(M22=a_churn_year,a_sticky*((cf_arr*(1+$B31)^M22)-((cf_arr*(1+$B31)^M22)*IF(M22&gt;=a_churn_year,1-0,1)))*(1-MIN(a_m0+a_mstep*M22,a_mcap)),0)))*a_tax+((cf_arr*(1+$B31)^M22)*IF(M22&gt;=a_churn_year,1-0,1))*a_da-((cf_arr*(1+$B31)^M22)*IF(M22&gt;=a_churn_year,1-0,1))*a_capex-a_wc*(((cf_arr*(1+$B31)^M22)*IF(M22&gt;=a_churn_year,1-0,1))-(cf_arr*(1+$B31)^L22*IF(L22&gt;=a_churn_year,1-0,1)))</f>
        <v>1881.80244140625</v>
      </c>
    </row>
    <row r="33" customFormat="false" ht="15" hidden="false" customHeight="false" outlineLevel="0" collapsed="false">
      <c r="A33" s="4" t="s">
        <v>333</v>
      </c>
      <c r="D33" s="12" t="n">
        <v>0.11</v>
      </c>
      <c r="E33" s="12" t="n">
        <v>0.12</v>
      </c>
      <c r="F33" s="12" t="n">
        <v>0.13</v>
      </c>
      <c r="G33" s="12" t="n">
        <v>0.14</v>
      </c>
      <c r="H33" s="12" t="n">
        <v>0.15</v>
      </c>
    </row>
    <row r="34" customFormat="false" ht="15" hidden="false" customHeight="false" outlineLevel="0" collapsed="false">
      <c r="A34" s="4" t="s">
        <v>334</v>
      </c>
    </row>
    <row r="35" customFormat="false" ht="15" hidden="false" customHeight="false" outlineLevel="0" collapsed="false">
      <c r="A35" s="9" t="s">
        <v>335</v>
      </c>
      <c r="B35" s="45" t="n">
        <f aca="false">B23</f>
        <v>0.1</v>
      </c>
      <c r="D35" s="32" t="n">
        <f aca="false">SUMPRODUCT(D23:M23,1/(1+D$33)^D$22:M$22)+M23*(1+a_tg)/(D$33-a_tg)/(1+D$33)^M$22</f>
        <v>819.249504040675</v>
      </c>
      <c r="E35" s="32" t="n">
        <f aca="false">SUMPRODUCT(D23:M23,1/(1+E$33)^D$22:M$22)+M23*(1+a_tg)/(E$33-a_tg)/(1+E$33)^M$22</f>
        <v>682.723943977894</v>
      </c>
      <c r="F35" s="32" t="n">
        <f aca="false">SUMPRODUCT(D23:M23,1/(1+F$33)^D$22:M$22)+M23*(1+a_tg)/(F$33-a_tg)/(1+F$33)^M$22</f>
        <v>581.15592410453</v>
      </c>
      <c r="G35" s="32" t="n">
        <f aca="false">SUMPRODUCT(D23:M23,1/(1+G$33)^D$22:M$22)+M23*(1+a_tg)/(G$33-a_tg)/(1+G$33)^M$22</f>
        <v>502.845450346663</v>
      </c>
      <c r="H35" s="32" t="n">
        <f aca="false">SUMPRODUCT(D23:M23,1/(1+H$33)^D$22:M$22)+M23*(1+a_tg)/(H$33-a_tg)/(1+H$33)^M$22</f>
        <v>440.775888761675</v>
      </c>
    </row>
    <row r="36" customFormat="false" ht="15" hidden="false" customHeight="false" outlineLevel="0" collapsed="false">
      <c r="A36" s="9" t="s">
        <v>336</v>
      </c>
      <c r="B36" s="45" t="n">
        <f aca="false">B24</f>
        <v>0.15</v>
      </c>
      <c r="D36" s="32" t="n">
        <f aca="false">SUMPRODUCT(D24:M24,1/(1+D$33)^D$22:M$22)+M24*(1+a_tg)/(D$33-a_tg)/(1+D$33)^M$22</f>
        <v>1206.50126367232</v>
      </c>
      <c r="E36" s="32" t="n">
        <f aca="false">SUMPRODUCT(D24:M24,1/(1+E$33)^D$22:M$22)+M24*(1+a_tg)/(E$33-a_tg)/(1+E$33)^M$22</f>
        <v>998.575068367763</v>
      </c>
      <c r="F36" s="32" t="n">
        <f aca="false">SUMPRODUCT(D24:M24,1/(1+F$33)^D$22:M$22)+M24*(1+a_tg)/(F$33-a_tg)/(1+F$33)^M$22</f>
        <v>844.362858740462</v>
      </c>
      <c r="G36" s="32" t="n">
        <f aca="false">SUMPRODUCT(D24:M24,1/(1+G$33)^D$22:M$22)+M24*(1+a_tg)/(G$33-a_tg)/(1+G$33)^M$22</f>
        <v>725.850263185608</v>
      </c>
      <c r="H36" s="32" t="n">
        <f aca="false">SUMPRODUCT(D24:M24,1/(1+H$33)^D$22:M$22)+M24*(1+a_tg)/(H$33-a_tg)/(1+H$33)^M$22</f>
        <v>632.236956521739</v>
      </c>
    </row>
    <row r="37" customFormat="false" ht="15" hidden="false" customHeight="false" outlineLevel="0" collapsed="false">
      <c r="A37" s="9" t="s">
        <v>337</v>
      </c>
      <c r="B37" s="45" t="n">
        <f aca="false">B25</f>
        <v>0.2</v>
      </c>
      <c r="D37" s="32" t="n">
        <f aca="false">SUMPRODUCT(D25:M25,1/(1+D$33)^D$22:M$22)+M25*(1+a_tg)/(D$33-a_tg)/(1+D$33)^M$22</f>
        <v>1761.13341544908</v>
      </c>
      <c r="E37" s="32" t="n">
        <f aca="false">SUMPRODUCT(D25:M25,1/(1+E$33)^D$22:M$22)+M25*(1+a_tg)/(E$33-a_tg)/(1+E$33)^M$22</f>
        <v>1449.41956623227</v>
      </c>
      <c r="F37" s="32" t="n">
        <f aca="false">SUMPRODUCT(D25:M25,1/(1+F$33)^D$22:M$22)+M25*(1+a_tg)/(F$33-a_tg)/(1+F$33)^M$22</f>
        <v>1218.80426198761</v>
      </c>
      <c r="G37" s="32" t="n">
        <f aca="false">SUMPRODUCT(D25:M25,1/(1+G$33)^D$22:M$22)+M25*(1+a_tg)/(G$33-a_tg)/(1+G$33)^M$22</f>
        <v>1042.0438656158</v>
      </c>
      <c r="H37" s="32" t="n">
        <f aca="false">SUMPRODUCT(D25:M25,1/(1+H$33)^D$22:M$22)+M25*(1+a_tg)/(H$33-a_tg)/(1+H$33)^M$22</f>
        <v>902.808636920023</v>
      </c>
    </row>
    <row r="38" customFormat="false" ht="15" hidden="false" customHeight="false" outlineLevel="0" collapsed="false">
      <c r="A38" s="9" t="s">
        <v>338</v>
      </c>
      <c r="B38" s="45" t="n">
        <f aca="false">B26</f>
        <v>0.25</v>
      </c>
      <c r="D38" s="32" t="n">
        <f aca="false">SUMPRODUCT(D26:M26,1/(1+D$33)^D$22:M$22)+M26*(1+a_tg)/(D$33-a_tg)/(1+D$33)^M$22</f>
        <v>2546.11393390872</v>
      </c>
      <c r="E38" s="32" t="n">
        <f aca="false">SUMPRODUCT(D26:M26,1/(1+E$33)^D$22:M$22)+M26*(1+a_tg)/(E$33-a_tg)/(1+E$33)^M$22</f>
        <v>2085.70409154584</v>
      </c>
      <c r="F38" s="32" t="n">
        <f aca="false">SUMPRODUCT(D26:M26,1/(1+F$33)^D$22:M$22)+M26*(1+a_tg)/(F$33-a_tg)/(1+F$33)^M$22</f>
        <v>1745.76984513619</v>
      </c>
      <c r="G38" s="32" t="n">
        <f aca="false">SUMPRODUCT(D26:M26,1/(1+G$33)^D$22:M$22)+M26*(1+a_tg)/(G$33-a_tg)/(1+G$33)^M$22</f>
        <v>1485.7841940676</v>
      </c>
      <c r="H38" s="32" t="n">
        <f aca="false">SUMPRODUCT(D26:M26,1/(1+H$33)^D$22:M$22)+M26*(1+a_tg)/(H$33-a_tg)/(1+H$33)^M$22</f>
        <v>1281.4602372477</v>
      </c>
    </row>
    <row r="39" customFormat="false" ht="15" hidden="false" customHeight="false" outlineLevel="0" collapsed="false">
      <c r="A39" s="9" t="s">
        <v>339</v>
      </c>
      <c r="B39" s="45" t="n">
        <f aca="false">B27</f>
        <v>0.3</v>
      </c>
      <c r="D39" s="32" t="n">
        <f aca="false">SUMPRODUCT(D27:M27,1/(1+D$33)^D$22:M$22)+M27*(1+a_tg)/(D$33-a_tg)/(1+D$33)^M$22</f>
        <v>3644.47853580233</v>
      </c>
      <c r="E39" s="32" t="n">
        <f aca="false">SUMPRODUCT(D27:M27,1/(1+E$33)^D$22:M$22)+M27*(1+a_tg)/(E$33-a_tg)/(1+E$33)^M$22</f>
        <v>2973.88545975763</v>
      </c>
      <c r="F39" s="32" t="n">
        <f aca="false">SUMPRODUCT(D27:M27,1/(1+F$33)^D$22:M$22)+M27*(1+a_tg)/(F$33-a_tg)/(1+F$33)^M$22</f>
        <v>2479.59824343133</v>
      </c>
      <c r="G39" s="32" t="n">
        <f aca="false">SUMPRODUCT(D27:M27,1/(1+G$33)^D$22:M$22)+M27*(1+a_tg)/(G$33-a_tg)/(1+G$33)^M$22</f>
        <v>2102.24139608417</v>
      </c>
      <c r="H39" s="32" t="n">
        <f aca="false">SUMPRODUCT(D27:M27,1/(1+H$33)^D$22:M$22)+M27*(1+a_tg)/(H$33-a_tg)/(1+H$33)^M$22</f>
        <v>1806.23854621301</v>
      </c>
    </row>
    <row r="40" customFormat="false" ht="15" hidden="false" customHeight="false" outlineLevel="0" collapsed="false">
      <c r="A40" s="9" t="s">
        <v>340</v>
      </c>
      <c r="B40" s="45" t="n">
        <f aca="false">B28</f>
        <v>0.35</v>
      </c>
      <c r="D40" s="32" t="n">
        <f aca="false">SUMPRODUCT(D28:M28,1/(1+D$33)^D$22:M$22)+M28*(1+a_tg)/(D$33-a_tg)/(1+D$33)^M$22</f>
        <v>5164.61418282183</v>
      </c>
      <c r="E40" s="32" t="n">
        <f aca="false">SUMPRODUCT(D28:M28,1/(1+E$33)^D$22:M$22)+M28*(1+a_tg)/(E$33-a_tg)/(1+E$33)^M$22</f>
        <v>4200.63410658079</v>
      </c>
      <c r="F40" s="32" t="n">
        <f aca="false">SUMPRODUCT(D28:M28,1/(1+F$33)^D$22:M$22)+M28*(1+a_tg)/(F$33-a_tg)/(1+F$33)^M$22</f>
        <v>3491.09338767935</v>
      </c>
      <c r="G40" s="32" t="n">
        <f aca="false">SUMPRODUCT(D28:M28,1/(1+G$33)^D$22:M$22)+M28*(1+a_tg)/(G$33-a_tg)/(1+G$33)^M$22</f>
        <v>2950.22060317679</v>
      </c>
      <c r="H40" s="32" t="n">
        <f aca="false">SUMPRODUCT(D28:M28,1/(1+H$33)^D$22:M$22)+M28*(1+a_tg)/(H$33-a_tg)/(1+H$33)^M$22</f>
        <v>2526.63097429319</v>
      </c>
    </row>
    <row r="41" customFormat="false" ht="15" hidden="false" customHeight="false" outlineLevel="0" collapsed="false">
      <c r="A41" s="9" t="s">
        <v>341</v>
      </c>
      <c r="B41" s="45" t="n">
        <f aca="false">B29</f>
        <v>0.4</v>
      </c>
      <c r="D41" s="32" t="n">
        <f aca="false">SUMPRODUCT(D29:M29,1/(1+D$33)^D$22:M$22)+M29*(1+a_tg)/(D$33-a_tg)/(1+D$33)^M$22</f>
        <v>7246.65822104228</v>
      </c>
      <c r="E41" s="32" t="n">
        <f aca="false">SUMPRODUCT(D29:M29,1/(1+E$33)^D$22:M$22)+M29*(1+a_tg)/(E$33-a_tg)/(1+E$33)^M$22</f>
        <v>5877.92337717328</v>
      </c>
      <c r="F41" s="32" t="n">
        <f aca="false">SUMPRODUCT(D29:M29,1/(1+F$33)^D$22:M$22)+M29*(1+a_tg)/(F$33-a_tg)/(1+F$33)^M$22</f>
        <v>4871.65941022822</v>
      </c>
      <c r="G41" s="32" t="n">
        <f aca="false">SUMPRODUCT(D29:M29,1/(1+G$33)^D$22:M$22)+M29*(1+a_tg)/(G$33-a_tg)/(1+G$33)^M$22</f>
        <v>4105.57720973898</v>
      </c>
      <c r="H41" s="32" t="n">
        <f aca="false">SUMPRODUCT(D29:M29,1/(1+H$33)^D$22:M$22)+M29*(1+a_tg)/(H$33-a_tg)/(1+H$33)^M$22</f>
        <v>3506.42372983503</v>
      </c>
    </row>
    <row r="42" customFormat="false" ht="15" hidden="false" customHeight="false" outlineLevel="0" collapsed="false">
      <c r="A42" s="9" t="s">
        <v>342</v>
      </c>
      <c r="B42" s="45" t="n">
        <f aca="false">B30</f>
        <v>0.45</v>
      </c>
      <c r="D42" s="32" t="n">
        <f aca="false">SUMPRODUCT(D30:M30,1/(1+D$33)^D$22:M$22)+M30*(1+a_tg)/(D$33-a_tg)/(1+D$33)^M$22</f>
        <v>10070.1945167829</v>
      </c>
      <c r="E42" s="32" t="n">
        <f aca="false">SUMPRODUCT(D30:M30,1/(1+E$33)^D$22:M$22)+M30*(1+a_tg)/(E$33-a_tg)/(1+E$33)^M$22</f>
        <v>8149.14843711732</v>
      </c>
      <c r="F42" s="32" t="n">
        <f aca="false">SUMPRODUCT(D30:M30,1/(1+F$33)^D$22:M$22)+M30*(1+a_tg)/(F$33-a_tg)/(1+F$33)^M$22</f>
        <v>6738.27054946854</v>
      </c>
      <c r="G42" s="32" t="n">
        <f aca="false">SUMPRODUCT(D30:M30,1/(1+G$33)^D$22:M$22)+M30*(1+a_tg)/(G$33-a_tg)/(1+G$33)^M$22</f>
        <v>5665.32055342989</v>
      </c>
      <c r="H42" s="32" t="n">
        <f aca="false">SUMPRODUCT(D30:M30,1/(1+H$33)^D$22:M$22)+M30*(1+a_tg)/(H$33-a_tg)/(1+H$33)^M$22</f>
        <v>4827.13503273291</v>
      </c>
    </row>
    <row r="43" customFormat="false" ht="15" hidden="false" customHeight="false" outlineLevel="0" collapsed="false">
      <c r="A43" s="9" t="s">
        <v>343</v>
      </c>
      <c r="B43" s="45" t="n">
        <f aca="false">B31</f>
        <v>0.5</v>
      </c>
      <c r="D43" s="32" t="n">
        <f aca="false">SUMPRODUCT(D31:M31,1/(1+D$33)^D$22:M$22)+M31*(1+a_tg)/(D$33-a_tg)/(1+D$33)^M$22</f>
        <v>13863.449239394</v>
      </c>
      <c r="E43" s="32" t="n">
        <f aca="false">SUMPRODUCT(D31:M31,1/(1+E$33)^D$22:M$22)+M31*(1+a_tg)/(E$33-a_tg)/(1+E$33)^M$22</f>
        <v>11196.435458036</v>
      </c>
      <c r="F43" s="32" t="n">
        <f aca="false">SUMPRODUCT(D31:M31,1/(1+F$33)^D$22:M$22)+M31*(1+a_tg)/(F$33-a_tg)/(1+F$33)^M$22</f>
        <v>9239.40615853396</v>
      </c>
      <c r="G43" s="32" t="n">
        <f aca="false">SUMPRODUCT(D31:M31,1/(1+G$33)^D$22:M$22)+M31*(1+a_tg)/(G$33-a_tg)/(1+G$33)^M$22</f>
        <v>7752.51311203716</v>
      </c>
      <c r="H43" s="32" t="n">
        <f aca="false">SUMPRODUCT(D31:M31,1/(1+H$33)^D$22:M$22)+M31*(1+a_tg)/(H$33-a_tg)/(1+H$33)^M$22</f>
        <v>6592.1127169887</v>
      </c>
    </row>
    <row r="45" customFormat="false" ht="15" hidden="false" customHeight="false" outlineLevel="0" collapsed="false">
      <c r="A45" s="4" t="s">
        <v>344</v>
      </c>
    </row>
    <row r="46" customFormat="false" ht="15" hidden="false" customHeight="false" outlineLevel="0" collapsed="false">
      <c r="A46" s="9" t="s">
        <v>335</v>
      </c>
      <c r="D46" s="17" t="n">
        <f aca="false">D35/cf_arr</f>
        <v>3.72386138200307</v>
      </c>
      <c r="E46" s="17" t="n">
        <f aca="false">E35/cf_arr</f>
        <v>3.10329065444497</v>
      </c>
      <c r="F46" s="17" t="n">
        <f aca="false">F35/cf_arr</f>
        <v>2.64161783683877</v>
      </c>
      <c r="G46" s="17" t="n">
        <f aca="false">G35/cf_arr</f>
        <v>2.28566113793938</v>
      </c>
      <c r="H46" s="17" t="n">
        <f aca="false">H35/cf_arr</f>
        <v>2.00352676709852</v>
      </c>
    </row>
    <row r="47" customFormat="false" ht="15" hidden="false" customHeight="false" outlineLevel="0" collapsed="false">
      <c r="A47" s="9" t="s">
        <v>336</v>
      </c>
      <c r="D47" s="17" t="n">
        <f aca="false">D36/cf_arr</f>
        <v>5.48409665305601</v>
      </c>
      <c r="E47" s="17" t="n">
        <f aca="false">E36/cf_arr</f>
        <v>4.53897758348983</v>
      </c>
      <c r="F47" s="17" t="n">
        <f aca="false">F36/cf_arr</f>
        <v>3.83801299427483</v>
      </c>
      <c r="G47" s="17" t="n">
        <f aca="false">G36/cf_arr</f>
        <v>3.2993193781164</v>
      </c>
      <c r="H47" s="17" t="n">
        <f aca="false">H36/cf_arr</f>
        <v>2.87380434782609</v>
      </c>
    </row>
    <row r="48" customFormat="false" ht="15" hidden="false" customHeight="false" outlineLevel="0" collapsed="false">
      <c r="A48" s="9" t="s">
        <v>337</v>
      </c>
      <c r="D48" s="17" t="n">
        <f aca="false">D37/cf_arr</f>
        <v>8.00515188840492</v>
      </c>
      <c r="E48" s="17" t="n">
        <f aca="false">E37/cf_arr</f>
        <v>6.58827075560121</v>
      </c>
      <c r="F48" s="17" t="n">
        <f aca="false">F37/cf_arr</f>
        <v>5.54001937267096</v>
      </c>
      <c r="G48" s="17" t="n">
        <f aca="false">G37/cf_arr</f>
        <v>4.73656302552638</v>
      </c>
      <c r="H48" s="17" t="n">
        <f aca="false">H37/cf_arr</f>
        <v>4.10367562236374</v>
      </c>
    </row>
    <row r="49" customFormat="false" ht="15" hidden="false" customHeight="false" outlineLevel="0" collapsed="false">
      <c r="A49" s="9" t="s">
        <v>338</v>
      </c>
      <c r="D49" s="17" t="n">
        <f aca="false">D38/cf_arr</f>
        <v>11.5732451541305</v>
      </c>
      <c r="E49" s="17" t="n">
        <f aca="false">E38/cf_arr</f>
        <v>9.48047314339018</v>
      </c>
      <c r="F49" s="17" t="n">
        <f aca="false">F38/cf_arr</f>
        <v>7.93531747789176</v>
      </c>
      <c r="G49" s="17" t="n">
        <f aca="false">G38/cf_arr</f>
        <v>6.7535645184891</v>
      </c>
      <c r="H49" s="17" t="n">
        <f aca="false">H38/cf_arr</f>
        <v>5.82481926021681</v>
      </c>
    </row>
    <row r="50" customFormat="false" ht="15" hidden="false" customHeight="false" outlineLevel="0" collapsed="false">
      <c r="A50" s="9" t="s">
        <v>339</v>
      </c>
      <c r="D50" s="17" t="n">
        <f aca="false">D39/cf_arr</f>
        <v>16.5658115263742</v>
      </c>
      <c r="E50" s="17" t="n">
        <f aca="false">E39/cf_arr</f>
        <v>13.5176611807165</v>
      </c>
      <c r="F50" s="17" t="n">
        <f aca="false">F39/cf_arr</f>
        <v>11.270901106506</v>
      </c>
      <c r="G50" s="17" t="n">
        <f aca="false">G39/cf_arr</f>
        <v>9.55564270947349</v>
      </c>
      <c r="H50" s="17" t="n">
        <f aca="false">H39/cf_arr</f>
        <v>8.21017521005915</v>
      </c>
    </row>
    <row r="51" customFormat="false" ht="15" hidden="false" customHeight="false" outlineLevel="0" collapsed="false">
      <c r="A51" s="9" t="s">
        <v>340</v>
      </c>
      <c r="D51" s="17" t="n">
        <f aca="false">D40/cf_arr</f>
        <v>23.4755190128265</v>
      </c>
      <c r="E51" s="17" t="n">
        <f aca="false">E40/cf_arr</f>
        <v>19.0937913935491</v>
      </c>
      <c r="F51" s="17" t="n">
        <f aca="false">F40/cf_arr</f>
        <v>15.8686063076334</v>
      </c>
      <c r="G51" s="17" t="n">
        <f aca="false">G40/cf_arr</f>
        <v>13.4100936508036</v>
      </c>
      <c r="H51" s="17" t="n">
        <f aca="false">H40/cf_arr</f>
        <v>11.4846862467872</v>
      </c>
    </row>
    <row r="52" customFormat="false" ht="15" hidden="false" customHeight="false" outlineLevel="0" collapsed="false">
      <c r="A52" s="9" t="s">
        <v>341</v>
      </c>
      <c r="D52" s="17" t="n">
        <f aca="false">D41/cf_arr</f>
        <v>32.9393555501922</v>
      </c>
      <c r="E52" s="17" t="n">
        <f aca="false">E41/cf_arr</f>
        <v>26.7178335326058</v>
      </c>
      <c r="F52" s="17" t="n">
        <f aca="false">F41/cf_arr</f>
        <v>22.1439064101283</v>
      </c>
      <c r="G52" s="17" t="n">
        <f aca="false">G41/cf_arr</f>
        <v>18.6617145897226</v>
      </c>
      <c r="H52" s="17" t="n">
        <f aca="false">H41/cf_arr</f>
        <v>15.9382896810683</v>
      </c>
    </row>
    <row r="53" customFormat="false" ht="15" hidden="false" customHeight="false" outlineLevel="0" collapsed="false">
      <c r="A53" s="9" t="s">
        <v>342</v>
      </c>
      <c r="D53" s="17" t="n">
        <f aca="false">D42/cf_arr</f>
        <v>45.7736114399221</v>
      </c>
      <c r="E53" s="17" t="n">
        <f aca="false">E42/cf_arr</f>
        <v>37.0415838050787</v>
      </c>
      <c r="F53" s="17" t="n">
        <f aca="false">F42/cf_arr</f>
        <v>30.6285024975843</v>
      </c>
      <c r="G53" s="17" t="n">
        <f aca="false">G42/cf_arr</f>
        <v>25.751457061045</v>
      </c>
      <c r="H53" s="17" t="n">
        <f aca="false">H42/cf_arr</f>
        <v>21.9415228760587</v>
      </c>
    </row>
    <row r="54" customFormat="false" ht="15" hidden="false" customHeight="false" outlineLevel="0" collapsed="false">
      <c r="A54" s="9" t="s">
        <v>343</v>
      </c>
      <c r="D54" s="17" t="n">
        <f aca="false">D43/cf_arr</f>
        <v>63.015678360882</v>
      </c>
      <c r="E54" s="17" t="n">
        <f aca="false">E43/cf_arr</f>
        <v>50.8928884456182</v>
      </c>
      <c r="F54" s="17" t="n">
        <f aca="false">F43/cf_arr</f>
        <v>41.9973007206089</v>
      </c>
      <c r="G54" s="17" t="n">
        <f aca="false">G43/cf_arr</f>
        <v>35.2386959638053</v>
      </c>
      <c r="H54" s="17" t="n">
        <f aca="false">H43/cf_arr</f>
        <v>29.964148713585</v>
      </c>
    </row>
    <row r="56" customFormat="false" ht="15" hidden="false" customHeight="false" outlineLevel="0" collapsed="false">
      <c r="A56" s="7" t="s">
        <v>345</v>
      </c>
      <c r="B56" s="8"/>
      <c r="C56" s="8"/>
      <c r="D56" s="8"/>
      <c r="E56" s="8"/>
      <c r="F56" s="8"/>
      <c r="G56" s="8"/>
      <c r="H56" s="8"/>
      <c r="I56" s="8"/>
      <c r="J56" s="8"/>
      <c r="K56" s="8"/>
      <c r="L56" s="8"/>
      <c r="M56" s="8"/>
      <c r="N56" s="8"/>
    </row>
    <row r="57" customFormat="false" ht="15" hidden="false" customHeight="false" outlineLevel="0" collapsed="false">
      <c r="A57" s="9" t="s">
        <v>346</v>
      </c>
      <c r="D57" s="32" t="n">
        <f aca="false">SUMPRODUCT(D23:M23,1/(1+lv_wacc)^D$22:M$22)+M23*(1+a_tg)/(lv_wacc-a_tg)/(1+lv_wacc)^M$22</f>
        <v>581.15592410453</v>
      </c>
      <c r="E57" s="32" t="n">
        <f aca="false">SUMPRODUCT(D24:M24,1/(1+lv_wacc)^D$22:M$22)+M24*(1+a_tg)/(lv_wacc-a_tg)/(1+lv_wacc)^M$22</f>
        <v>844.362858740462</v>
      </c>
      <c r="F57" s="32" t="n">
        <f aca="false">SUMPRODUCT(D25:M25,1/(1+lv_wacc)^D$22:M$22)+M25*(1+a_tg)/(lv_wacc-a_tg)/(1+lv_wacc)^M$22</f>
        <v>1218.80426198761</v>
      </c>
      <c r="G57" s="32" t="n">
        <f aca="false">SUMPRODUCT(D26:M26,1/(1+lv_wacc)^D$22:M$22)+M26*(1+a_tg)/(lv_wacc-a_tg)/(1+lv_wacc)^M$22</f>
        <v>1745.76984513619</v>
      </c>
      <c r="H57" s="32" t="n">
        <f aca="false">SUMPRODUCT(D27:M27,1/(1+lv_wacc)^D$22:M$22)+M27*(1+a_tg)/(lv_wacc-a_tg)/(1+lv_wacc)^M$22</f>
        <v>2479.59824343133</v>
      </c>
      <c r="I57" s="32" t="n">
        <f aca="false">SUMPRODUCT(D28:M28,1/(1+lv_wacc)^D$22:M$22)+M28*(1+a_tg)/(lv_wacc-a_tg)/(1+lv_wacc)^M$22</f>
        <v>3491.09338767935</v>
      </c>
      <c r="J57" s="32" t="n">
        <f aca="false">SUMPRODUCT(D29:M29,1/(1+lv_wacc)^D$22:M$22)+M29*(1+a_tg)/(lv_wacc-a_tg)/(1+lv_wacc)^M$22</f>
        <v>4871.65941022822</v>
      </c>
      <c r="K57" s="32" t="n">
        <f aca="false">SUMPRODUCT(D30:M30,1/(1+lv_wacc)^D$22:M$22)+M30*(1+a_tg)/(lv_wacc-a_tg)/(1+lv_wacc)^M$22</f>
        <v>6738.27054946854</v>
      </c>
      <c r="L57" s="32" t="n">
        <f aca="false">SUMPRODUCT(D31:M31,1/(1+lv_wacc)^D$22:M$22)+M31*(1+a_tg)/(lv_wacc-a_tg)/(1+lv_wacc)^M$22</f>
        <v>9239.40615853396</v>
      </c>
    </row>
    <row r="58" customFormat="false" ht="15" hidden="false" customHeight="false" outlineLevel="0" collapsed="false">
      <c r="A58" s="9" t="s">
        <v>347</v>
      </c>
      <c r="D58" s="45" t="n">
        <f aca="false">B23</f>
        <v>0.1</v>
      </c>
      <c r="E58" s="45" t="n">
        <f aca="false">B24</f>
        <v>0.15</v>
      </c>
      <c r="F58" s="45" t="n">
        <f aca="false">B25</f>
        <v>0.2</v>
      </c>
      <c r="G58" s="45" t="n">
        <f aca="false">B26</f>
        <v>0.25</v>
      </c>
      <c r="H58" s="45" t="n">
        <f aca="false">B27</f>
        <v>0.3</v>
      </c>
      <c r="I58" s="45" t="n">
        <f aca="false">B28</f>
        <v>0.35</v>
      </c>
      <c r="J58" s="45" t="n">
        <f aca="false">B29</f>
        <v>0.4</v>
      </c>
      <c r="K58" s="45" t="n">
        <f aca="false">B30</f>
        <v>0.45</v>
      </c>
      <c r="L58" s="45" t="n">
        <f aca="false">B31</f>
        <v>0.5</v>
      </c>
    </row>
    <row r="59" customFormat="false" ht="15" hidden="false" customHeight="false" outlineLevel="0" collapsed="false">
      <c r="A59" s="9" t="s">
        <v>348</v>
      </c>
      <c r="B59" s="46" t="n">
        <f aca="false">COUNTIF(D57:L57,"&lt;"&amp;lv_price)</f>
        <v>6</v>
      </c>
    </row>
    <row r="60" customFormat="false" ht="15" hidden="false" customHeight="false" outlineLevel="0" collapsed="false">
      <c r="A60" s="4" t="s">
        <v>349</v>
      </c>
      <c r="B60" s="22" t="n">
        <f aca="false">IF(OR(B59=0,B59=9),"outside grid",INDEX(D58:L58,B59)+(INDEX(D58:L58,B59+1)-INDEX(D58:L58,B59))*(lv_price-INDEX(D57:L57,B59))/(INDEX(D57:L57,B59+1)-INDEX(D57:L57,B59)))</f>
        <v>0.368431085656486</v>
      </c>
    </row>
    <row r="61" customFormat="false" ht="15" hidden="false" customHeight="false" outlineLevel="0" collapsed="false">
      <c r="A61" s="3" t="s">
        <v>350</v>
      </c>
    </row>
    <row r="63" customFormat="false" ht="15" hidden="false" customHeight="false" outlineLevel="0" collapsed="false">
      <c r="A63" s="7" t="s">
        <v>351</v>
      </c>
      <c r="B63" s="8"/>
      <c r="C63" s="8"/>
      <c r="D63" s="8"/>
      <c r="E63" s="8"/>
      <c r="F63" s="8"/>
      <c r="G63" s="8"/>
      <c r="H63" s="8"/>
      <c r="I63" s="8"/>
      <c r="J63" s="8"/>
      <c r="K63" s="8"/>
      <c r="L63" s="8"/>
      <c r="M63" s="8"/>
      <c r="N63" s="8"/>
    </row>
    <row r="64" customFormat="false" ht="15" hidden="false" customHeight="false" outlineLevel="0" collapsed="false">
      <c r="A64" s="3" t="s">
        <v>352</v>
      </c>
    </row>
    <row r="65" customFormat="false" ht="15" hidden="false" customHeight="false" outlineLevel="0" collapsed="false">
      <c r="A65" s="4" t="s">
        <v>284</v>
      </c>
      <c r="C65" s="39" t="n">
        <v>0</v>
      </c>
      <c r="D65" s="39" t="n">
        <v>1</v>
      </c>
      <c r="E65" s="39" t="n">
        <v>2</v>
      </c>
      <c r="F65" s="39" t="n">
        <v>3</v>
      </c>
      <c r="G65" s="39" t="n">
        <v>4</v>
      </c>
      <c r="H65" s="39" t="n">
        <v>5</v>
      </c>
      <c r="I65" s="39" t="n">
        <v>6</v>
      </c>
      <c r="J65" s="39" t="n">
        <v>7</v>
      </c>
      <c r="K65" s="39" t="n">
        <v>8</v>
      </c>
      <c r="L65" s="39" t="n">
        <v>9</v>
      </c>
      <c r="M65" s="39" t="n">
        <v>10</v>
      </c>
    </row>
    <row r="66" customFormat="false" ht="15" hidden="false" customHeight="false" outlineLevel="0" collapsed="false">
      <c r="A66" s="4" t="s">
        <v>353</v>
      </c>
      <c r="D66" s="44" t="n">
        <v>0.1</v>
      </c>
      <c r="E66" s="44" t="n">
        <v>0.2</v>
      </c>
      <c r="F66" s="44" t="n">
        <v>0.3</v>
      </c>
      <c r="G66" s="44" t="n">
        <v>0.4</v>
      </c>
    </row>
    <row r="67" customFormat="false" ht="15" hidden="false" customHeight="false" outlineLevel="0" collapsed="false">
      <c r="A67" s="9" t="s">
        <v>354</v>
      </c>
      <c r="B67" s="12" t="n">
        <v>0</v>
      </c>
      <c r="D67" s="32" t="n">
        <f aca="false">SUMPRODUCT(D73:M73,1/(1+lv_wacc)^D$65:M$65)+M73*(1+a_tg)/(lv_wacc-a_tg)/(1+lv_wacc)^M$65</f>
        <v>581.15592410453</v>
      </c>
      <c r="E67" s="32" t="n">
        <f aca="false">SUMPRODUCT(D74:M74,1/(1+lv_wacc)^D$65:M$65)+M74*(1+a_tg)/(lv_wacc-a_tg)/(1+lv_wacc)^M$65</f>
        <v>1218.80426198761</v>
      </c>
      <c r="F67" s="32" t="n">
        <f aca="false">SUMPRODUCT(D75:M75,1/(1+lv_wacc)^D$65:M$65)+M75*(1+a_tg)/(lv_wacc-a_tg)/(1+lv_wacc)^M$65</f>
        <v>2479.59824343133</v>
      </c>
      <c r="G67" s="32" t="n">
        <f aca="false">SUMPRODUCT(D76:M76,1/(1+lv_wacc)^D$65:M$65)+M76*(1+a_tg)/(lv_wacc-a_tg)/(1+lv_wacc)^M$65</f>
        <v>4871.65941022822</v>
      </c>
    </row>
    <row r="68" customFormat="false" ht="15" hidden="false" customHeight="false" outlineLevel="0" collapsed="false">
      <c r="A68" s="9" t="s">
        <v>355</v>
      </c>
      <c r="B68" s="12" t="n">
        <v>0.3</v>
      </c>
      <c r="D68" s="32" t="n">
        <f aca="false">SUMPRODUCT(D77:M77,1/(1+lv_wacc)^D$65:M$65)+M77*(1+a_tg)/(lv_wacc-a_tg)/(1+lv_wacc)^M$65</f>
        <v>379.961359262551</v>
      </c>
      <c r="E68" s="32" t="n">
        <f aca="false">SUMPRODUCT(D78:M78,1/(1+lv_wacc)^D$65:M$65)+M78*(1+a_tg)/(lv_wacc-a_tg)/(1+lv_wacc)^M$65</f>
        <v>823.609001090443</v>
      </c>
      <c r="F68" s="32" t="n">
        <f aca="false">SUMPRODUCT(D79:M79,1/(1+lv_wacc)^D$65:M$65)+M79*(1+a_tg)/(lv_wacc-a_tg)/(1+lv_wacc)^M$65</f>
        <v>1703.45859341078</v>
      </c>
      <c r="G68" s="32" t="n">
        <f aca="false">SUMPRODUCT(D80:M80,1/(1+lv_wacc)^D$65:M$65)+M80*(1+a_tg)/(lv_wacc-a_tg)/(1+lv_wacc)^M$65</f>
        <v>3375.19521547834</v>
      </c>
    </row>
    <row r="69" customFormat="false" ht="15" hidden="false" customHeight="false" outlineLevel="0" collapsed="false">
      <c r="A69" s="9" t="s">
        <v>356</v>
      </c>
      <c r="B69" s="12" t="n">
        <v>0.375</v>
      </c>
      <c r="D69" s="32" t="n">
        <f aca="false">SUMPRODUCT(D81:M81,1/(1+lv_wacc)^D$65:M$65)+M81*(1+a_tg)/(lv_wacc-a_tg)/(1+lv_wacc)^M$65</f>
        <v>329.395018937012</v>
      </c>
      <c r="E69" s="32" t="n">
        <f aca="false">SUMPRODUCT(D82:M82,1/(1+lv_wacc)^D$65:M$65)+M82*(1+a_tg)/(lv_wacc-a_tg)/(1+lv_wacc)^M$65</f>
        <v>724.518150467921</v>
      </c>
      <c r="F69" s="32" t="n">
        <f aca="false">SUMPRODUCT(D83:M83,1/(1+lv_wacc)^D$65:M$65)+M83*(1+a_tg)/(lv_wacc-a_tg)/(1+lv_wacc)^M$65</f>
        <v>1509.10730922423</v>
      </c>
      <c r="G69" s="32" t="n">
        <f aca="false">SUMPRODUCT(D84:M84,1/(1+lv_wacc)^D$65:M$65)+M84*(1+a_tg)/(lv_wacc-a_tg)/(1+lv_wacc)^M$65</f>
        <v>3000.73845882627</v>
      </c>
    </row>
    <row r="70" customFormat="false" ht="15" hidden="false" customHeight="false" outlineLevel="0" collapsed="false">
      <c r="A70" s="9" t="s">
        <v>357</v>
      </c>
      <c r="B70" s="12" t="n">
        <v>0.45</v>
      </c>
      <c r="D70" s="32" t="n">
        <f aca="false">SUMPRODUCT(D85:M85,1/(1+lv_wacc)^D$65:M$65)+M85*(1+a_tg)/(lv_wacc-a_tg)/(1+lv_wacc)^M$65</f>
        <v>278.828678611474</v>
      </c>
      <c r="E70" s="32" t="n">
        <f aca="false">SUMPRODUCT(D86:M86,1/(1+lv_wacc)^D$65:M$65)+M86*(1+a_tg)/(lv_wacc-a_tg)/(1+lv_wacc)^M$65</f>
        <v>625.427299845399</v>
      </c>
      <c r="F70" s="32" t="n">
        <f aca="false">SUMPRODUCT(D87:M87,1/(1+lv_wacc)^D$65:M$65)+M87*(1+a_tg)/(lv_wacc-a_tg)/(1+lv_wacc)^M$65</f>
        <v>1314.75602503767</v>
      </c>
      <c r="G70" s="32" t="n">
        <f aca="false">SUMPRODUCT(D88:M88,1/(1+lv_wacc)^D$65:M$65)+M88*(1+a_tg)/(lv_wacc-a_tg)/(1+lv_wacc)^M$65</f>
        <v>2626.2817021742</v>
      </c>
    </row>
    <row r="72" customFormat="false" ht="15" hidden="false" customHeight="false" outlineLevel="0" collapsed="false">
      <c r="A72" s="4" t="s">
        <v>358</v>
      </c>
    </row>
    <row r="73" customFormat="false" ht="15" hidden="false" customHeight="false" outlineLevel="0" collapsed="false">
      <c r="A73" s="9" t="s">
        <v>359</v>
      </c>
      <c r="C73" s="36" t="n">
        <f aca="false">0</f>
        <v>0</v>
      </c>
      <c r="D73" s="36" t="n">
        <f aca="false">(((cf_arr*(1+D$66)^D65)*IF(D65&gt;=a_churn_year,1-$B$67,1))*(MIN(a_m0+a_mstep*D65,a_mcap)-a_da)-IF(D65=a_churn_year,a_sticky*((cf_arr*(1+D$66)^D65)-((cf_arr*(1+D$66)^D65)*IF(D65&gt;=a_churn_year,1-$B$67,1)))*(1-MIN(a_m0+a_mstep*D65,a_mcap)),0))-MAX(0,(((cf_arr*(1+D$66)^D65)*IF(D65&gt;=a_churn_year,1-$B$67,1))*(MIN(a_m0+a_mstep*D65,a_mcap)-a_da)-IF(D65=a_churn_year,a_sticky*((cf_arr*(1+D$66)^D65)-((cf_arr*(1+D$66)^D65)*IF(D65&gt;=a_churn_year,1-$B$67,1)))*(1-MIN(a_m0+a_mstep*D65,a_mcap)),0)))*a_tax+((cf_arr*(1+D$66)^D65)*IF(D65&gt;=a_churn_year,1-$B$67,1))*a_da-((cf_arr*(1+D$66)^D65)*IF(D65&gt;=a_churn_year,1-$B$67,1))*a_capex-a_wc*(((cf_arr*(1+D$66)^D65)*IF(D65&gt;=a_churn_year,1-$B$67,1))-(cf_arr*(1+D$66)^C65*IF(C65&gt;=a_churn_year,1-$B$67,1)))</f>
        <v>2.53</v>
      </c>
      <c r="E73" s="36" t="n">
        <f aca="false">(((cf_arr*(1+D$66)^E65)*IF(E65&gt;=a_churn_year,1-$B$67,1))*(MIN(a_m0+a_mstep*E65,a_mcap)-a_da)-IF(E65=a_churn_year,a_sticky*((cf_arr*(1+D$66)^E65)-((cf_arr*(1+D$66)^E65)*IF(E65&gt;=a_churn_year,1-$B$67,1)))*(1-MIN(a_m0+a_mstep*E65,a_mcap)),0))-MAX(0,(((cf_arr*(1+D$66)^E65)*IF(E65&gt;=a_churn_year,1-$B$67,1))*(MIN(a_m0+a_mstep*E65,a_mcap)-a_da)-IF(E65=a_churn_year,a_sticky*((cf_arr*(1+D$66)^E65)-((cf_arr*(1+D$66)^E65)*IF(E65&gt;=a_churn_year,1-$B$67,1)))*(1-MIN(a_m0+a_mstep*E65,a_mcap)),0)))*a_tax+((cf_arr*(1+D$66)^E65)*IF(E65&gt;=a_churn_year,1-$B$67,1))*a_da-((cf_arr*(1+D$66)^E65)*IF(E65&gt;=a_churn_year,1-$B$67,1))*a_capex-a_wc*(((cf_arr*(1+D$66)^E65)*IF(E65&gt;=a_churn_year,1-$B$67,1))-(cf_arr*(1+D$66)^D65*IF(D65&gt;=a_churn_year,1-$B$67,1)))</f>
        <v>12.7655</v>
      </c>
      <c r="F73" s="36" t="n">
        <f aca="false">(((cf_arr*(1+D$66)^F65)*IF(F65&gt;=a_churn_year,1-$B$67,1))*(MIN(a_m0+a_mstep*F65,a_mcap)-a_da)-IF(F65=a_churn_year,a_sticky*((cf_arr*(1+D$66)^F65)-((cf_arr*(1+D$66)^F65)*IF(F65&gt;=a_churn_year,1-$B$67,1)))*(1-MIN(a_m0+a_mstep*F65,a_mcap)),0))-MAX(0,(((cf_arr*(1+D$66)^F65)*IF(F65&gt;=a_churn_year,1-$B$67,1))*(MIN(a_m0+a_mstep*F65,a_mcap)-a_da)-IF(F65=a_churn_year,a_sticky*((cf_arr*(1+D$66)^F65)-((cf_arr*(1+D$66)^F65)*IF(F65&gt;=a_churn_year,1-$B$67,1)))*(1-MIN(a_m0+a_mstep*F65,a_mcap)),0)))*a_tax+((cf_arr*(1+D$66)^F65)*IF(F65&gt;=a_churn_year,1-$B$67,1))*a_da-((cf_arr*(1+D$66)^F65)*IF(F65&gt;=a_churn_year,1-$B$67,1))*a_capex-a_wc*(((cf_arr*(1+D$66)^F65)*IF(F65&gt;=a_churn_year,1-$B$67,1))-(cf_arr*(1+D$66)^E65*IF(E65&gt;=a_churn_year,1-$B$67,1)))</f>
        <v>25.0228</v>
      </c>
      <c r="G73" s="36" t="n">
        <f aca="false">(((cf_arr*(1+D$66)^G65)*IF(G65&gt;=a_churn_year,1-$B$67,1))*(MIN(a_m0+a_mstep*G65,a_mcap)-a_da)-IF(G65=a_churn_year,a_sticky*((cf_arr*(1+D$66)^G65)-((cf_arr*(1+D$66)^G65)*IF(G65&gt;=a_churn_year,1-$B$67,1)))*(1-MIN(a_m0+a_mstep*G65,a_mcap)),0))-MAX(0,(((cf_arr*(1+D$66)^G65)*IF(G65&gt;=a_churn_year,1-$B$67,1))*(MIN(a_m0+a_mstep*G65,a_mcap)-a_da)-IF(G65=a_churn_year,a_sticky*((cf_arr*(1+D$66)^G65)-((cf_arr*(1+D$66)^G65)*IF(G65&gt;=a_churn_year,1-$B$67,1)))*(1-MIN(a_m0+a_mstep*G65,a_mcap)),0)))*a_tax+((cf_arr*(1+D$66)^G65)*IF(G65&gt;=a_churn_year,1-$B$67,1))*a_da-((cf_arr*(1+D$66)^G65)*IF(G65&gt;=a_churn_year,1-$B$67,1))*a_capex-a_wc*(((cf_arr*(1+D$66)^G65)*IF(G65&gt;=a_churn_year,1-$B$67,1))-(cf_arr*(1+D$66)^F65*IF(F65&gt;=a_churn_year,1-$B$67,1)))</f>
        <v>39.603905</v>
      </c>
      <c r="H73" s="36" t="n">
        <f aca="false">(((cf_arr*(1+D$66)^H65)*IF(H65&gt;=a_churn_year,1-$B$67,1))*(MIN(a_m0+a_mstep*H65,a_mcap)-a_da)-IF(H65=a_churn_year,a_sticky*((cf_arr*(1+D$66)^H65)-((cf_arr*(1+D$66)^H65)*IF(H65&gt;=a_churn_year,1-$B$67,1)))*(1-MIN(a_m0+a_mstep*H65,a_mcap)),0))-MAX(0,(((cf_arr*(1+D$66)^H65)*IF(H65&gt;=a_churn_year,1-$B$67,1))*(MIN(a_m0+a_mstep*H65,a_mcap)-a_da)-IF(H65=a_churn_year,a_sticky*((cf_arr*(1+D$66)^H65)-((cf_arr*(1+D$66)^H65)*IF(H65&gt;=a_churn_year,1-$B$67,1)))*(1-MIN(a_m0+a_mstep*H65,a_mcap)),0)))*a_tax+((cf_arr*(1+D$66)^H65)*IF(H65&gt;=a_churn_year,1-$B$67,1))*a_da-((cf_arr*(1+D$66)^H65)*IF(H65&gt;=a_churn_year,1-$B$67,1))*a_capex-a_wc*(((cf_arr*(1+D$66)^H65)*IF(H65&gt;=a_churn_year,1-$B$67,1))-(cf_arr*(1+D$66)^G65*IF(G65&gt;=a_churn_year,1-$B$67,1)))</f>
        <v>56.851003</v>
      </c>
      <c r="I73" s="36" t="n">
        <f aca="false">(((cf_arr*(1+D$66)^I65)*IF(I65&gt;=a_churn_year,1-$B$67,1))*(MIN(a_m0+a_mstep*I65,a_mcap)-a_da)-IF(I65=a_churn_year,a_sticky*((cf_arr*(1+D$66)^I65)-((cf_arr*(1+D$66)^I65)*IF(I65&gt;=a_churn_year,1-$B$67,1)))*(1-MIN(a_m0+a_mstep*I65,a_mcap)),0))-MAX(0,(((cf_arr*(1+D$66)^I65)*IF(I65&gt;=a_churn_year,1-$B$67,1))*(MIN(a_m0+a_mstep*I65,a_mcap)-a_da)-IF(I65=a_churn_year,a_sticky*((cf_arr*(1+D$66)^I65)-((cf_arr*(1+D$66)^I65)*IF(I65&gt;=a_churn_year,1-$B$67,1)))*(1-MIN(a_m0+a_mstep*I65,a_mcap)),0)))*a_tax+((cf_arr*(1+D$66)^I65)*IF(I65&gt;=a_churn_year,1-$B$67,1))*a_da-((cf_arr*(1+D$66)^I65)*IF(I65&gt;=a_churn_year,1-$B$67,1))*a_capex-a_wc*(((cf_arr*(1+D$66)^I65)*IF(I65&gt;=a_churn_year,1-$B$67,1))-(cf_arr*(1+D$66)^H65*IF(H65&gt;=a_churn_year,1-$B$67,1)))</f>
        <v>62.5361033</v>
      </c>
      <c r="J73" s="36" t="n">
        <f aca="false">(((cf_arr*(1+D$66)^J65)*IF(J65&gt;=a_churn_year,1-$B$67,1))*(MIN(a_m0+a_mstep*J65,a_mcap)-a_da)-IF(J65=a_churn_year,a_sticky*((cf_arr*(1+D$66)^J65)-((cf_arr*(1+D$66)^J65)*IF(J65&gt;=a_churn_year,1-$B$67,1)))*(1-MIN(a_m0+a_mstep*J65,a_mcap)),0))-MAX(0,(((cf_arr*(1+D$66)^J65)*IF(J65&gt;=a_churn_year,1-$B$67,1))*(MIN(a_m0+a_mstep*J65,a_mcap)-a_da)-IF(J65=a_churn_year,a_sticky*((cf_arr*(1+D$66)^J65)-((cf_arr*(1+D$66)^J65)*IF(J65&gt;=a_churn_year,1-$B$67,1)))*(1-MIN(a_m0+a_mstep*J65,a_mcap)),0)))*a_tax+((cf_arr*(1+D$66)^J65)*IF(J65&gt;=a_churn_year,1-$B$67,1))*a_da-((cf_arr*(1+D$66)^J65)*IF(J65&gt;=a_churn_year,1-$B$67,1))*a_capex-a_wc*(((cf_arr*(1+D$66)^J65)*IF(J65&gt;=a_churn_year,1-$B$67,1))-(cf_arr*(1+D$66)^I65*IF(I65&gt;=a_churn_year,1-$B$67,1)))</f>
        <v>68.78971363</v>
      </c>
      <c r="K73" s="36" t="n">
        <f aca="false">(((cf_arr*(1+D$66)^K65)*IF(K65&gt;=a_churn_year,1-$B$67,1))*(MIN(a_m0+a_mstep*K65,a_mcap)-a_da)-IF(K65=a_churn_year,a_sticky*((cf_arr*(1+D$66)^K65)-((cf_arr*(1+D$66)^K65)*IF(K65&gt;=a_churn_year,1-$B$67,1)))*(1-MIN(a_m0+a_mstep*K65,a_mcap)),0))-MAX(0,(((cf_arr*(1+D$66)^K65)*IF(K65&gt;=a_churn_year,1-$B$67,1))*(MIN(a_m0+a_mstep*K65,a_mcap)-a_da)-IF(K65=a_churn_year,a_sticky*((cf_arr*(1+D$66)^K65)-((cf_arr*(1+D$66)^K65)*IF(K65&gt;=a_churn_year,1-$B$67,1)))*(1-MIN(a_m0+a_mstep*K65,a_mcap)),0)))*a_tax+((cf_arr*(1+D$66)^K65)*IF(K65&gt;=a_churn_year,1-$B$67,1))*a_da-((cf_arr*(1+D$66)^K65)*IF(K65&gt;=a_churn_year,1-$B$67,1))*a_capex-a_wc*(((cf_arr*(1+D$66)^K65)*IF(K65&gt;=a_churn_year,1-$B$67,1))-(cf_arr*(1+D$66)^J65*IF(J65&gt;=a_churn_year,1-$B$67,1)))</f>
        <v>75.6686849930001</v>
      </c>
      <c r="L73" s="36" t="n">
        <f aca="false">(((cf_arr*(1+D$66)^L65)*IF(L65&gt;=a_churn_year,1-$B$67,1))*(MIN(a_m0+a_mstep*L65,a_mcap)-a_da)-IF(L65=a_churn_year,a_sticky*((cf_arr*(1+D$66)^L65)-((cf_arr*(1+D$66)^L65)*IF(L65&gt;=a_churn_year,1-$B$67,1)))*(1-MIN(a_m0+a_mstep*L65,a_mcap)),0))-MAX(0,(((cf_arr*(1+D$66)^L65)*IF(L65&gt;=a_churn_year,1-$B$67,1))*(MIN(a_m0+a_mstep*L65,a_mcap)-a_da)-IF(L65=a_churn_year,a_sticky*((cf_arr*(1+D$66)^L65)-((cf_arr*(1+D$66)^L65)*IF(L65&gt;=a_churn_year,1-$B$67,1)))*(1-MIN(a_m0+a_mstep*L65,a_mcap)),0)))*a_tax+((cf_arr*(1+D$66)^L65)*IF(L65&gt;=a_churn_year,1-$B$67,1))*a_da-((cf_arr*(1+D$66)^L65)*IF(L65&gt;=a_churn_year,1-$B$67,1))*a_capex-a_wc*(((cf_arr*(1+D$66)^L65)*IF(L65&gt;=a_churn_year,1-$B$67,1))-(cf_arr*(1+D$66)^K65*IF(K65&gt;=a_churn_year,1-$B$67,1)))</f>
        <v>83.2355534923001</v>
      </c>
      <c r="M73" s="36" t="n">
        <f aca="false">(((cf_arr*(1+D$66)^M65)*IF(M65&gt;=a_churn_year,1-$B$67,1))*(MIN(a_m0+a_mstep*M65,a_mcap)-a_da)-IF(M65=a_churn_year,a_sticky*((cf_arr*(1+D$66)^M65)-((cf_arr*(1+D$66)^M65)*IF(M65&gt;=a_churn_year,1-$B$67,1)))*(1-MIN(a_m0+a_mstep*M65,a_mcap)),0))-MAX(0,(((cf_arr*(1+D$66)^M65)*IF(M65&gt;=a_churn_year,1-$B$67,1))*(MIN(a_m0+a_mstep*M65,a_mcap)-a_da)-IF(M65=a_churn_year,a_sticky*((cf_arr*(1+D$66)^M65)-((cf_arr*(1+D$66)^M65)*IF(M65&gt;=a_churn_year,1-$B$67,1)))*(1-MIN(a_m0+a_mstep*M65,a_mcap)),0)))*a_tax+((cf_arr*(1+D$66)^M65)*IF(M65&gt;=a_churn_year,1-$B$67,1))*a_da-((cf_arr*(1+D$66)^M65)*IF(M65&gt;=a_churn_year,1-$B$67,1))*a_capex-a_wc*(((cf_arr*(1+D$66)^M65)*IF(M65&gt;=a_churn_year,1-$B$67,1))-(cf_arr*(1+D$66)^L65*IF(L65&gt;=a_churn_year,1-$B$67,1)))</f>
        <v>91.5591088415301</v>
      </c>
    </row>
    <row r="74" customFormat="false" ht="15" hidden="false" customHeight="false" outlineLevel="0" collapsed="false">
      <c r="A74" s="9" t="s">
        <v>360</v>
      </c>
      <c r="C74" s="36" t="n">
        <f aca="false">0</f>
        <v>0</v>
      </c>
      <c r="D74" s="36" t="n">
        <f aca="false">(((cf_arr*(1+E$66)^D65)*IF(D65&gt;=a_churn_year,1-$B$67,1))*(MIN(a_m0+a_mstep*D65,a_mcap)-a_da)-IF(D65=a_churn_year,a_sticky*((cf_arr*(1+E$66)^D65)-((cf_arr*(1+E$66)^D65)*IF(D65&gt;=a_churn_year,1-$B$67,1)))*(1-MIN(a_m0+a_mstep*D65,a_mcap)),0))-MAX(0,(((cf_arr*(1+E$66)^D65)*IF(D65&gt;=a_churn_year,1-$B$67,1))*(MIN(a_m0+a_mstep*D65,a_mcap)-a_da)-IF(D65=a_churn_year,a_sticky*((cf_arr*(1+E$66)^D65)-((cf_arr*(1+E$66)^D65)*IF(D65&gt;=a_churn_year,1-$B$67,1)))*(1-MIN(a_m0+a_mstep*D65,a_mcap)),0)))*a_tax+((cf_arr*(1+E$66)^D65)*IF(D65&gt;=a_churn_year,1-$B$67,1))*a_da-((cf_arr*(1+E$66)^D65)*IF(D65&gt;=a_churn_year,1-$B$67,1))*a_capex-a_wc*(((cf_arr*(1+E$66)^D65)*IF(D65&gt;=a_churn_year,1-$B$67,1))-(cf_arr*(1+E$66)^C65*IF(C65&gt;=a_churn_year,1-$B$67,1)))</f>
        <v>1.76</v>
      </c>
      <c r="E74" s="36" t="n">
        <f aca="false">(((cf_arr*(1+E$66)^E65)*IF(E65&gt;=a_churn_year,1-$B$67,1))*(MIN(a_m0+a_mstep*E65,a_mcap)-a_da)-IF(E65=a_churn_year,a_sticky*((cf_arr*(1+E$66)^E65)-((cf_arr*(1+E$66)^E65)*IF(E65&gt;=a_churn_year,1-$B$67,1)))*(1-MIN(a_m0+a_mstep*E65,a_mcap)),0))-MAX(0,(((cf_arr*(1+E$66)^E65)*IF(E65&gt;=a_churn_year,1-$B$67,1))*(MIN(a_m0+a_mstep*E65,a_mcap)-a_da)-IF(E65=a_churn_year,a_sticky*((cf_arr*(1+E$66)^E65)-((cf_arr*(1+E$66)^E65)*IF(E65&gt;=a_churn_year,1-$B$67,1)))*(1-MIN(a_m0+a_mstep*E65,a_mcap)),0)))*a_tax+((cf_arr*(1+E$66)^E65)*IF(E65&gt;=a_churn_year,1-$B$67,1))*a_da-((cf_arr*(1+E$66)^E65)*IF(E65&gt;=a_churn_year,1-$B$67,1))*a_capex-a_wc*(((cf_arr*(1+E$66)^E65)*IF(E65&gt;=a_churn_year,1-$B$67,1))-(cf_arr*(1+E$66)^D65*IF(D65&gt;=a_churn_year,1-$B$67,1)))</f>
        <v>13.992</v>
      </c>
      <c r="F74" s="36" t="n">
        <f aca="false">(((cf_arr*(1+E$66)^F65)*IF(F65&gt;=a_churn_year,1-$B$67,1))*(MIN(a_m0+a_mstep*F65,a_mcap)-a_da)-IF(F65=a_churn_year,a_sticky*((cf_arr*(1+E$66)^F65)-((cf_arr*(1+E$66)^F65)*IF(F65&gt;=a_churn_year,1-$B$67,1)))*(1-MIN(a_m0+a_mstep*F65,a_mcap)),0))-MAX(0,(((cf_arr*(1+E$66)^F65)*IF(F65&gt;=a_churn_year,1-$B$67,1))*(MIN(a_m0+a_mstep*F65,a_mcap)-a_da)-IF(F65=a_churn_year,a_sticky*((cf_arr*(1+E$66)^F65)-((cf_arr*(1+E$66)^F65)*IF(F65&gt;=a_churn_year,1-$B$67,1)))*(1-MIN(a_m0+a_mstep*F65,a_mcap)),0)))*a_tax+((cf_arr*(1+E$66)^F65)*IF(F65&gt;=a_churn_year,1-$B$67,1))*a_da-((cf_arr*(1+E$66)^F65)*IF(F65&gt;=a_churn_year,1-$B$67,1))*a_capex-a_wc*(((cf_arr*(1+E$66)^F65)*IF(F65&gt;=a_churn_year,1-$B$67,1))-(cf_arr*(1+E$66)^E65*IF(E65&gt;=a_churn_year,1-$B$67,1)))</f>
        <v>31.0464</v>
      </c>
      <c r="G74" s="36" t="n">
        <f aca="false">(((cf_arr*(1+E$66)^G65)*IF(G65&gt;=a_churn_year,1-$B$67,1))*(MIN(a_m0+a_mstep*G65,a_mcap)-a_da)-IF(G65=a_churn_year,a_sticky*((cf_arr*(1+E$66)^G65)-((cf_arr*(1+E$66)^G65)*IF(G65&gt;=a_churn_year,1-$B$67,1)))*(1-MIN(a_m0+a_mstep*G65,a_mcap)),0))-MAX(0,(((cf_arr*(1+E$66)^G65)*IF(G65&gt;=a_churn_year,1-$B$67,1))*(MIN(a_m0+a_mstep*G65,a_mcap)-a_da)-IF(G65=a_churn_year,a_sticky*((cf_arr*(1+E$66)^G65)-((cf_arr*(1+E$66)^G65)*IF(G65&gt;=a_churn_year,1-$B$67,1)))*(1-MIN(a_m0+a_mstep*G65,a_mcap)),0)))*a_tax+((cf_arr*(1+E$66)^G65)*IF(G65&gt;=a_churn_year,1-$B$67,1))*a_da-((cf_arr*(1+E$66)^G65)*IF(G65&gt;=a_churn_year,1-$B$67,1))*a_capex-a_wc*(((cf_arr*(1+E$66)^G65)*IF(G65&gt;=a_churn_year,1-$B$67,1))-(cf_arr*(1+E$66)^F65*IF(F65&gt;=a_churn_year,1-$B$67,1)))</f>
        <v>54.36288</v>
      </c>
      <c r="H74" s="36" t="n">
        <f aca="false">(((cf_arr*(1+E$66)^H65)*IF(H65&gt;=a_churn_year,1-$B$67,1))*(MIN(a_m0+a_mstep*H65,a_mcap)-a_da)-IF(H65=a_churn_year,a_sticky*((cf_arr*(1+E$66)^H65)-((cf_arr*(1+E$66)^H65)*IF(H65&gt;=a_churn_year,1-$B$67,1)))*(1-MIN(a_m0+a_mstep*H65,a_mcap)),0))-MAX(0,(((cf_arr*(1+E$66)^H65)*IF(H65&gt;=a_churn_year,1-$B$67,1))*(MIN(a_m0+a_mstep*H65,a_mcap)-a_da)-IF(H65=a_churn_year,a_sticky*((cf_arr*(1+E$66)^H65)-((cf_arr*(1+E$66)^H65)*IF(H65&gt;=a_churn_year,1-$B$67,1)))*(1-MIN(a_m0+a_mstep*H65,a_mcap)),0)))*a_tax+((cf_arr*(1+E$66)^H65)*IF(H65&gt;=a_churn_year,1-$B$67,1))*a_da-((cf_arr*(1+E$66)^H65)*IF(H65&gt;=a_churn_year,1-$B$67,1))*a_capex-a_wc*(((cf_arr*(1+E$66)^H65)*IF(H65&gt;=a_churn_year,1-$B$67,1))-(cf_arr*(1+E$66)^G65*IF(G65&gt;=a_churn_year,1-$B$67,1)))</f>
        <v>85.764096</v>
      </c>
      <c r="I74" s="36" t="n">
        <f aca="false">(((cf_arr*(1+E$66)^I65)*IF(I65&gt;=a_churn_year,1-$B$67,1))*(MIN(a_m0+a_mstep*I65,a_mcap)-a_da)-IF(I65=a_churn_year,a_sticky*((cf_arr*(1+E$66)^I65)-((cf_arr*(1+E$66)^I65)*IF(I65&gt;=a_churn_year,1-$B$67,1)))*(1-MIN(a_m0+a_mstep*I65,a_mcap)),0))-MAX(0,(((cf_arr*(1+E$66)^I65)*IF(I65&gt;=a_churn_year,1-$B$67,1))*(MIN(a_m0+a_mstep*I65,a_mcap)-a_da)-IF(I65=a_churn_year,a_sticky*((cf_arr*(1+E$66)^I65)-((cf_arr*(1+E$66)^I65)*IF(I65&gt;=a_churn_year,1-$B$67,1)))*(1-MIN(a_m0+a_mstep*I65,a_mcap)),0)))*a_tax+((cf_arr*(1+E$66)^I65)*IF(I65&gt;=a_churn_year,1-$B$67,1))*a_da-((cf_arr*(1+E$66)^I65)*IF(I65&gt;=a_churn_year,1-$B$67,1))*a_capex-a_wc*(((cf_arr*(1+E$66)^I65)*IF(I65&gt;=a_churn_year,1-$B$67,1))-(cf_arr*(1+E$66)^H65*IF(H65&gt;=a_churn_year,1-$B$67,1)))</f>
        <v>102.9169152</v>
      </c>
      <c r="J74" s="36" t="n">
        <f aca="false">(((cf_arr*(1+E$66)^J65)*IF(J65&gt;=a_churn_year,1-$B$67,1))*(MIN(a_m0+a_mstep*J65,a_mcap)-a_da)-IF(J65=a_churn_year,a_sticky*((cf_arr*(1+E$66)^J65)-((cf_arr*(1+E$66)^J65)*IF(J65&gt;=a_churn_year,1-$B$67,1)))*(1-MIN(a_m0+a_mstep*J65,a_mcap)),0))-MAX(0,(((cf_arr*(1+E$66)^J65)*IF(J65&gt;=a_churn_year,1-$B$67,1))*(MIN(a_m0+a_mstep*J65,a_mcap)-a_da)-IF(J65=a_churn_year,a_sticky*((cf_arr*(1+E$66)^J65)-((cf_arr*(1+E$66)^J65)*IF(J65&gt;=a_churn_year,1-$B$67,1)))*(1-MIN(a_m0+a_mstep*J65,a_mcap)),0)))*a_tax+((cf_arr*(1+E$66)^J65)*IF(J65&gt;=a_churn_year,1-$B$67,1))*a_da-((cf_arr*(1+E$66)^J65)*IF(J65&gt;=a_churn_year,1-$B$67,1))*a_capex-a_wc*(((cf_arr*(1+E$66)^J65)*IF(J65&gt;=a_churn_year,1-$B$67,1))-(cf_arr*(1+E$66)^I65*IF(I65&gt;=a_churn_year,1-$B$67,1)))</f>
        <v>123.50029824</v>
      </c>
      <c r="K74" s="36" t="n">
        <f aca="false">(((cf_arr*(1+E$66)^K65)*IF(K65&gt;=a_churn_year,1-$B$67,1))*(MIN(a_m0+a_mstep*K65,a_mcap)-a_da)-IF(K65=a_churn_year,a_sticky*((cf_arr*(1+E$66)^K65)-((cf_arr*(1+E$66)^K65)*IF(K65&gt;=a_churn_year,1-$B$67,1)))*(1-MIN(a_m0+a_mstep*K65,a_mcap)),0))-MAX(0,(((cf_arr*(1+E$66)^K65)*IF(K65&gt;=a_churn_year,1-$B$67,1))*(MIN(a_m0+a_mstep*K65,a_mcap)-a_da)-IF(K65=a_churn_year,a_sticky*((cf_arr*(1+E$66)^K65)-((cf_arr*(1+E$66)^K65)*IF(K65&gt;=a_churn_year,1-$B$67,1)))*(1-MIN(a_m0+a_mstep*K65,a_mcap)),0)))*a_tax+((cf_arr*(1+E$66)^K65)*IF(K65&gt;=a_churn_year,1-$B$67,1))*a_da-((cf_arr*(1+E$66)^K65)*IF(K65&gt;=a_churn_year,1-$B$67,1))*a_capex-a_wc*(((cf_arr*(1+E$66)^K65)*IF(K65&gt;=a_churn_year,1-$B$67,1))-(cf_arr*(1+E$66)^J65*IF(J65&gt;=a_churn_year,1-$B$67,1)))</f>
        <v>148.200357888</v>
      </c>
      <c r="L74" s="36" t="n">
        <f aca="false">(((cf_arr*(1+E$66)^L65)*IF(L65&gt;=a_churn_year,1-$B$67,1))*(MIN(a_m0+a_mstep*L65,a_mcap)-a_da)-IF(L65=a_churn_year,a_sticky*((cf_arr*(1+E$66)^L65)-((cf_arr*(1+E$66)^L65)*IF(L65&gt;=a_churn_year,1-$B$67,1)))*(1-MIN(a_m0+a_mstep*L65,a_mcap)),0))-MAX(0,(((cf_arr*(1+E$66)^L65)*IF(L65&gt;=a_churn_year,1-$B$67,1))*(MIN(a_m0+a_mstep*L65,a_mcap)-a_da)-IF(L65=a_churn_year,a_sticky*((cf_arr*(1+E$66)^L65)-((cf_arr*(1+E$66)^L65)*IF(L65&gt;=a_churn_year,1-$B$67,1)))*(1-MIN(a_m0+a_mstep*L65,a_mcap)),0)))*a_tax+((cf_arr*(1+E$66)^L65)*IF(L65&gt;=a_churn_year,1-$B$67,1))*a_da-((cf_arr*(1+E$66)^L65)*IF(L65&gt;=a_churn_year,1-$B$67,1))*a_capex-a_wc*(((cf_arr*(1+E$66)^L65)*IF(L65&gt;=a_churn_year,1-$B$67,1))-(cf_arr*(1+E$66)^K65*IF(K65&gt;=a_churn_year,1-$B$67,1)))</f>
        <v>177.8404294656</v>
      </c>
      <c r="M74" s="36" t="n">
        <f aca="false">(((cf_arr*(1+E$66)^M65)*IF(M65&gt;=a_churn_year,1-$B$67,1))*(MIN(a_m0+a_mstep*M65,a_mcap)-a_da)-IF(M65=a_churn_year,a_sticky*((cf_arr*(1+E$66)^M65)-((cf_arr*(1+E$66)^M65)*IF(M65&gt;=a_churn_year,1-$B$67,1)))*(1-MIN(a_m0+a_mstep*M65,a_mcap)),0))-MAX(0,(((cf_arr*(1+E$66)^M65)*IF(M65&gt;=a_churn_year,1-$B$67,1))*(MIN(a_m0+a_mstep*M65,a_mcap)-a_da)-IF(M65=a_churn_year,a_sticky*((cf_arr*(1+E$66)^M65)-((cf_arr*(1+E$66)^M65)*IF(M65&gt;=a_churn_year,1-$B$67,1)))*(1-MIN(a_m0+a_mstep*M65,a_mcap)),0)))*a_tax+((cf_arr*(1+E$66)^M65)*IF(M65&gt;=a_churn_year,1-$B$67,1))*a_da-((cf_arr*(1+E$66)^M65)*IF(M65&gt;=a_churn_year,1-$B$67,1))*a_capex-a_wc*(((cf_arr*(1+E$66)^M65)*IF(M65&gt;=a_churn_year,1-$B$67,1))-(cf_arr*(1+E$66)^L65*IF(L65&gt;=a_churn_year,1-$B$67,1)))</f>
        <v>213.40851535872</v>
      </c>
    </row>
    <row r="75" customFormat="false" ht="15" hidden="false" customHeight="false" outlineLevel="0" collapsed="false">
      <c r="A75" s="9" t="s">
        <v>361</v>
      </c>
      <c r="C75" s="36" t="n">
        <f aca="false">0</f>
        <v>0</v>
      </c>
      <c r="D75" s="36" t="n">
        <f aca="false">(((cf_arr*(1+F$66)^D65)*IF(D65&gt;=a_churn_year,1-$B$67,1))*(MIN(a_m0+a_mstep*D65,a_mcap)-a_da)-IF(D65=a_churn_year,a_sticky*((cf_arr*(1+F$66)^D65)-((cf_arr*(1+F$66)^D65)*IF(D65&gt;=a_churn_year,1-$B$67,1)))*(1-MIN(a_m0+a_mstep*D65,a_mcap)),0))-MAX(0,(((cf_arr*(1+F$66)^D65)*IF(D65&gt;=a_churn_year,1-$B$67,1))*(MIN(a_m0+a_mstep*D65,a_mcap)-a_da)-IF(D65=a_churn_year,a_sticky*((cf_arr*(1+F$66)^D65)-((cf_arr*(1+F$66)^D65)*IF(D65&gt;=a_churn_year,1-$B$67,1)))*(1-MIN(a_m0+a_mstep*D65,a_mcap)),0)))*a_tax+((cf_arr*(1+F$66)^D65)*IF(D65&gt;=a_churn_year,1-$B$67,1))*a_da-((cf_arr*(1+F$66)^D65)*IF(D65&gt;=a_churn_year,1-$B$67,1))*a_capex-a_wc*(((cf_arr*(1+F$66)^D65)*IF(D65&gt;=a_churn_year,1-$B$67,1))-(cf_arr*(1+F$66)^C65*IF(C65&gt;=a_churn_year,1-$B$67,1)))</f>
        <v>0.990000000000001</v>
      </c>
      <c r="E75" s="36" t="n">
        <f aca="false">(((cf_arr*(1+F$66)^E65)*IF(E65&gt;=a_churn_year,1-$B$67,1))*(MIN(a_m0+a_mstep*E65,a_mcap)-a_da)-IF(E65=a_churn_year,a_sticky*((cf_arr*(1+F$66)^E65)-((cf_arr*(1+F$66)^E65)*IF(E65&gt;=a_churn_year,1-$B$67,1)))*(1-MIN(a_m0+a_mstep*E65,a_mcap)),0))-MAX(0,(((cf_arr*(1+F$66)^E65)*IF(E65&gt;=a_churn_year,1-$B$67,1))*(MIN(a_m0+a_mstep*E65,a_mcap)-a_da)-IF(E65=a_churn_year,a_sticky*((cf_arr*(1+F$66)^E65)-((cf_arr*(1+F$66)^E65)*IF(E65&gt;=a_churn_year,1-$B$67,1)))*(1-MIN(a_m0+a_mstep*E65,a_mcap)),0)))*a_tax+((cf_arr*(1+F$66)^E65)*IF(E65&gt;=a_churn_year,1-$B$67,1))*a_da-((cf_arr*(1+F$66)^E65)*IF(E65&gt;=a_churn_year,1-$B$67,1))*a_capex-a_wc*(((cf_arr*(1+F$66)^E65)*IF(E65&gt;=a_churn_year,1-$B$67,1))-(cf_arr*(1+F$66)^D65*IF(D65&gt;=a_churn_year,1-$B$67,1)))</f>
        <v>15.2295</v>
      </c>
      <c r="F75" s="36" t="n">
        <f aca="false">(((cf_arr*(1+F$66)^F65)*IF(F65&gt;=a_churn_year,1-$B$67,1))*(MIN(a_m0+a_mstep*F65,a_mcap)-a_da)-IF(F65=a_churn_year,a_sticky*((cf_arr*(1+F$66)^F65)-((cf_arr*(1+F$66)^F65)*IF(F65&gt;=a_churn_year,1-$B$67,1)))*(1-MIN(a_m0+a_mstep*F65,a_mcap)),0))-MAX(0,(((cf_arr*(1+F$66)^F65)*IF(F65&gt;=a_churn_year,1-$B$67,1))*(MIN(a_m0+a_mstep*F65,a_mcap)-a_da)-IF(F65=a_churn_year,a_sticky*((cf_arr*(1+F$66)^F65)-((cf_arr*(1+F$66)^F65)*IF(F65&gt;=a_churn_year,1-$B$67,1)))*(1-MIN(a_m0+a_mstep*F65,a_mcap)),0)))*a_tax+((cf_arr*(1+F$66)^F65)*IF(F65&gt;=a_churn_year,1-$B$67,1))*a_da-((cf_arr*(1+F$66)^F65)*IF(F65&gt;=a_churn_year,1-$B$67,1))*a_capex-a_wc*(((cf_arr*(1+F$66)^F65)*IF(F65&gt;=a_churn_year,1-$B$67,1))-(cf_arr*(1+F$66)^E65*IF(E65&gt;=a_churn_year,1-$B$67,1)))</f>
        <v>37.9236</v>
      </c>
      <c r="G75" s="36" t="n">
        <f aca="false">(((cf_arr*(1+F$66)^G65)*IF(G65&gt;=a_churn_year,1-$B$67,1))*(MIN(a_m0+a_mstep*G65,a_mcap)-a_da)-IF(G65=a_churn_year,a_sticky*((cf_arr*(1+F$66)^G65)-((cf_arr*(1+F$66)^G65)*IF(G65&gt;=a_churn_year,1-$B$67,1)))*(1-MIN(a_m0+a_mstep*G65,a_mcap)),0))-MAX(0,(((cf_arr*(1+F$66)^G65)*IF(G65&gt;=a_churn_year,1-$B$67,1))*(MIN(a_m0+a_mstep*G65,a_mcap)-a_da)-IF(G65=a_churn_year,a_sticky*((cf_arr*(1+F$66)^G65)-((cf_arr*(1+F$66)^G65)*IF(G65&gt;=a_churn_year,1-$B$67,1)))*(1-MIN(a_m0+a_mstep*G65,a_mcap)),0)))*a_tax+((cf_arr*(1+F$66)^G65)*IF(G65&gt;=a_churn_year,1-$B$67,1))*a_da-((cf_arr*(1+F$66)^G65)*IF(G65&gt;=a_churn_year,1-$B$67,1))*a_capex-a_wc*(((cf_arr*(1+F$66)^G65)*IF(G65&gt;=a_churn_year,1-$B$67,1))-(cf_arr*(1+F$66)^F65*IF(F65&gt;=a_churn_year,1-$B$67,1)))</f>
        <v>72.863505</v>
      </c>
      <c r="H75" s="36" t="n">
        <f aca="false">(((cf_arr*(1+F$66)^H65)*IF(H65&gt;=a_churn_year,1-$B$67,1))*(MIN(a_m0+a_mstep*H65,a_mcap)-a_da)-IF(H65=a_churn_year,a_sticky*((cf_arr*(1+F$66)^H65)-((cf_arr*(1+F$66)^H65)*IF(H65&gt;=a_churn_year,1-$B$67,1)))*(1-MIN(a_m0+a_mstep*H65,a_mcap)),0))-MAX(0,(((cf_arr*(1+F$66)^H65)*IF(H65&gt;=a_churn_year,1-$B$67,1))*(MIN(a_m0+a_mstep*H65,a_mcap)-a_da)-IF(H65=a_churn_year,a_sticky*((cf_arr*(1+F$66)^H65)-((cf_arr*(1+F$66)^H65)*IF(H65&gt;=a_churn_year,1-$B$67,1)))*(1-MIN(a_m0+a_mstep*H65,a_mcap)),0)))*a_tax+((cf_arr*(1+F$66)^H65)*IF(H65&gt;=a_churn_year,1-$B$67,1))*a_da-((cf_arr*(1+F$66)^H65)*IF(H65&gt;=a_churn_year,1-$B$67,1))*a_capex-a_wc*(((cf_arr*(1+F$66)^H65)*IF(H65&gt;=a_churn_year,1-$B$67,1))-(cf_arr*(1+F$66)^G65*IF(G65&gt;=a_churn_year,1-$B$67,1)))</f>
        <v>125.354229</v>
      </c>
      <c r="I75" s="36" t="n">
        <f aca="false">(((cf_arr*(1+F$66)^I65)*IF(I65&gt;=a_churn_year,1-$B$67,1))*(MIN(a_m0+a_mstep*I65,a_mcap)-a_da)-IF(I65=a_churn_year,a_sticky*((cf_arr*(1+F$66)^I65)-((cf_arr*(1+F$66)^I65)*IF(I65&gt;=a_churn_year,1-$B$67,1)))*(1-MIN(a_m0+a_mstep*I65,a_mcap)),0))-MAX(0,(((cf_arr*(1+F$66)^I65)*IF(I65&gt;=a_churn_year,1-$B$67,1))*(MIN(a_m0+a_mstep*I65,a_mcap)-a_da)-IF(I65=a_churn_year,a_sticky*((cf_arr*(1+F$66)^I65)-((cf_arr*(1+F$66)^I65)*IF(I65&gt;=a_churn_year,1-$B$67,1)))*(1-MIN(a_m0+a_mstep*I65,a_mcap)),0)))*a_tax+((cf_arr*(1+F$66)^I65)*IF(I65&gt;=a_churn_year,1-$B$67,1))*a_da-((cf_arr*(1+F$66)^I65)*IF(I65&gt;=a_churn_year,1-$B$67,1))*a_capex-a_wc*(((cf_arr*(1+F$66)^I65)*IF(I65&gt;=a_churn_year,1-$B$67,1))-(cf_arr*(1+F$66)^H65*IF(H65&gt;=a_churn_year,1-$B$67,1)))</f>
        <v>162.9604977</v>
      </c>
      <c r="J75" s="36" t="n">
        <f aca="false">(((cf_arr*(1+F$66)^J65)*IF(J65&gt;=a_churn_year,1-$B$67,1))*(MIN(a_m0+a_mstep*J65,a_mcap)-a_da)-IF(J65=a_churn_year,a_sticky*((cf_arr*(1+F$66)^J65)-((cf_arr*(1+F$66)^J65)*IF(J65&gt;=a_churn_year,1-$B$67,1)))*(1-MIN(a_m0+a_mstep*J65,a_mcap)),0))-MAX(0,(((cf_arr*(1+F$66)^J65)*IF(J65&gt;=a_churn_year,1-$B$67,1))*(MIN(a_m0+a_mstep*J65,a_mcap)-a_da)-IF(J65=a_churn_year,a_sticky*((cf_arr*(1+F$66)^J65)-((cf_arr*(1+F$66)^J65)*IF(J65&gt;=a_churn_year,1-$B$67,1)))*(1-MIN(a_m0+a_mstep*J65,a_mcap)),0)))*a_tax+((cf_arr*(1+F$66)^J65)*IF(J65&gt;=a_churn_year,1-$B$67,1))*a_da-((cf_arr*(1+F$66)^J65)*IF(J65&gt;=a_churn_year,1-$B$67,1))*a_capex-a_wc*(((cf_arr*(1+F$66)^J65)*IF(J65&gt;=a_churn_year,1-$B$67,1))-(cf_arr*(1+F$66)^I65*IF(I65&gt;=a_churn_year,1-$B$67,1)))</f>
        <v>211.84864701</v>
      </c>
      <c r="K75" s="36" t="n">
        <f aca="false">(((cf_arr*(1+F$66)^K65)*IF(K65&gt;=a_churn_year,1-$B$67,1))*(MIN(a_m0+a_mstep*K65,a_mcap)-a_da)-IF(K65=a_churn_year,a_sticky*((cf_arr*(1+F$66)^K65)-((cf_arr*(1+F$66)^K65)*IF(K65&gt;=a_churn_year,1-$B$67,1)))*(1-MIN(a_m0+a_mstep*K65,a_mcap)),0))-MAX(0,(((cf_arr*(1+F$66)^K65)*IF(K65&gt;=a_churn_year,1-$B$67,1))*(MIN(a_m0+a_mstep*K65,a_mcap)-a_da)-IF(K65=a_churn_year,a_sticky*((cf_arr*(1+F$66)^K65)-((cf_arr*(1+F$66)^K65)*IF(K65&gt;=a_churn_year,1-$B$67,1)))*(1-MIN(a_m0+a_mstep*K65,a_mcap)),0)))*a_tax+((cf_arr*(1+F$66)^K65)*IF(K65&gt;=a_churn_year,1-$B$67,1))*a_da-((cf_arr*(1+F$66)^K65)*IF(K65&gt;=a_churn_year,1-$B$67,1))*a_capex-a_wc*(((cf_arr*(1+F$66)^K65)*IF(K65&gt;=a_churn_year,1-$B$67,1))-(cf_arr*(1+F$66)^J65*IF(J65&gt;=a_churn_year,1-$B$67,1)))</f>
        <v>275.403241113</v>
      </c>
      <c r="L75" s="36" t="n">
        <f aca="false">(((cf_arr*(1+F$66)^L65)*IF(L65&gt;=a_churn_year,1-$B$67,1))*(MIN(a_m0+a_mstep*L65,a_mcap)-a_da)-IF(L65=a_churn_year,a_sticky*((cf_arr*(1+F$66)^L65)-((cf_arr*(1+F$66)^L65)*IF(L65&gt;=a_churn_year,1-$B$67,1)))*(1-MIN(a_m0+a_mstep*L65,a_mcap)),0))-MAX(0,(((cf_arr*(1+F$66)^L65)*IF(L65&gt;=a_churn_year,1-$B$67,1))*(MIN(a_m0+a_mstep*L65,a_mcap)-a_da)-IF(L65=a_churn_year,a_sticky*((cf_arr*(1+F$66)^L65)-((cf_arr*(1+F$66)^L65)*IF(L65&gt;=a_churn_year,1-$B$67,1)))*(1-MIN(a_m0+a_mstep*L65,a_mcap)),0)))*a_tax+((cf_arr*(1+F$66)^L65)*IF(L65&gt;=a_churn_year,1-$B$67,1))*a_da-((cf_arr*(1+F$66)^L65)*IF(L65&gt;=a_churn_year,1-$B$67,1))*a_capex-a_wc*(((cf_arr*(1+F$66)^L65)*IF(L65&gt;=a_churn_year,1-$B$67,1))-(cf_arr*(1+F$66)^K65*IF(K65&gt;=a_churn_year,1-$B$67,1)))</f>
        <v>358.0242134469</v>
      </c>
      <c r="M75" s="36" t="n">
        <f aca="false">(((cf_arr*(1+F$66)^M65)*IF(M65&gt;=a_churn_year,1-$B$67,1))*(MIN(a_m0+a_mstep*M65,a_mcap)-a_da)-IF(M65=a_churn_year,a_sticky*((cf_arr*(1+F$66)^M65)-((cf_arr*(1+F$66)^M65)*IF(M65&gt;=a_churn_year,1-$B$67,1)))*(1-MIN(a_m0+a_mstep*M65,a_mcap)),0))-MAX(0,(((cf_arr*(1+F$66)^M65)*IF(M65&gt;=a_churn_year,1-$B$67,1))*(MIN(a_m0+a_mstep*M65,a_mcap)-a_da)-IF(M65=a_churn_year,a_sticky*((cf_arr*(1+F$66)^M65)-((cf_arr*(1+F$66)^M65)*IF(M65&gt;=a_churn_year,1-$B$67,1)))*(1-MIN(a_m0+a_mstep*M65,a_mcap)),0)))*a_tax+((cf_arr*(1+F$66)^M65)*IF(M65&gt;=a_churn_year,1-$B$67,1))*a_da-((cf_arr*(1+F$66)^M65)*IF(M65&gt;=a_churn_year,1-$B$67,1))*a_capex-a_wc*(((cf_arr*(1+F$66)^M65)*IF(M65&gt;=a_churn_year,1-$B$67,1))-(cf_arr*(1+F$66)^L65*IF(L65&gt;=a_churn_year,1-$B$67,1)))</f>
        <v>465.43147748097</v>
      </c>
    </row>
    <row r="76" customFormat="false" ht="15" hidden="false" customHeight="false" outlineLevel="0" collapsed="false">
      <c r="A76" s="9" t="s">
        <v>362</v>
      </c>
      <c r="C76" s="36" t="n">
        <f aca="false">0</f>
        <v>0</v>
      </c>
      <c r="D76" s="36" t="n">
        <f aca="false">(((cf_arr*(1+G$66)^D65)*IF(D65&gt;=a_churn_year,1-$B$67,1))*(MIN(a_m0+a_mstep*D65,a_mcap)-a_da)-IF(D65=a_churn_year,a_sticky*((cf_arr*(1+G$66)^D65)-((cf_arr*(1+G$66)^D65)*IF(D65&gt;=a_churn_year,1-$B$67,1)))*(1-MIN(a_m0+a_mstep*D65,a_mcap)),0))-MAX(0,(((cf_arr*(1+G$66)^D65)*IF(D65&gt;=a_churn_year,1-$B$67,1))*(MIN(a_m0+a_mstep*D65,a_mcap)-a_da)-IF(D65=a_churn_year,a_sticky*((cf_arr*(1+G$66)^D65)-((cf_arr*(1+G$66)^D65)*IF(D65&gt;=a_churn_year,1-$B$67,1)))*(1-MIN(a_m0+a_mstep*D65,a_mcap)),0)))*a_tax+((cf_arr*(1+G$66)^D65)*IF(D65&gt;=a_churn_year,1-$B$67,1))*a_da-((cf_arr*(1+G$66)^D65)*IF(D65&gt;=a_churn_year,1-$B$67,1))*a_capex-a_wc*(((cf_arr*(1+G$66)^D65)*IF(D65&gt;=a_churn_year,1-$B$67,1))-(cf_arr*(1+G$66)^C65*IF(C65&gt;=a_churn_year,1-$B$67,1)))</f>
        <v>0.220000000000001</v>
      </c>
      <c r="E76" s="36" t="n">
        <f aca="false">(((cf_arr*(1+G$66)^E65)*IF(E65&gt;=a_churn_year,1-$B$67,1))*(MIN(a_m0+a_mstep*E65,a_mcap)-a_da)-IF(E65=a_churn_year,a_sticky*((cf_arr*(1+G$66)^E65)-((cf_arr*(1+G$66)^E65)*IF(E65&gt;=a_churn_year,1-$B$67,1)))*(1-MIN(a_m0+a_mstep*E65,a_mcap)),0))-MAX(0,(((cf_arr*(1+G$66)^E65)*IF(E65&gt;=a_churn_year,1-$B$67,1))*(MIN(a_m0+a_mstep*E65,a_mcap)-a_da)-IF(E65=a_churn_year,a_sticky*((cf_arr*(1+G$66)^E65)-((cf_arr*(1+G$66)^E65)*IF(E65&gt;=a_churn_year,1-$B$67,1)))*(1-MIN(a_m0+a_mstep*E65,a_mcap)),0)))*a_tax+((cf_arr*(1+G$66)^E65)*IF(E65&gt;=a_churn_year,1-$B$67,1))*a_da-((cf_arr*(1+G$66)^E65)*IF(E65&gt;=a_churn_year,1-$B$67,1))*a_capex-a_wc*(((cf_arr*(1+G$66)^E65)*IF(E65&gt;=a_churn_year,1-$B$67,1))-(cf_arr*(1+G$66)^D65*IF(D65&gt;=a_churn_year,1-$B$67,1)))</f>
        <v>16.478</v>
      </c>
      <c r="F76" s="36" t="n">
        <f aca="false">(((cf_arr*(1+G$66)^F65)*IF(F65&gt;=a_churn_year,1-$B$67,1))*(MIN(a_m0+a_mstep*F65,a_mcap)-a_da)-IF(F65=a_churn_year,a_sticky*((cf_arr*(1+G$66)^F65)-((cf_arr*(1+G$66)^F65)*IF(F65&gt;=a_churn_year,1-$B$67,1)))*(1-MIN(a_m0+a_mstep*F65,a_mcap)),0))-MAX(0,(((cf_arr*(1+G$66)^F65)*IF(F65&gt;=a_churn_year,1-$B$67,1))*(MIN(a_m0+a_mstep*F65,a_mcap)-a_da)-IF(F65=a_churn_year,a_sticky*((cf_arr*(1+G$66)^F65)-((cf_arr*(1+G$66)^F65)*IF(F65&gt;=a_churn_year,1-$B$67,1)))*(1-MIN(a_m0+a_mstep*F65,a_mcap)),0)))*a_tax+((cf_arr*(1+G$66)^F65)*IF(F65&gt;=a_churn_year,1-$B$67,1))*a_da-((cf_arr*(1+G$66)^F65)*IF(F65&gt;=a_churn_year,1-$B$67,1))*a_capex-a_wc*(((cf_arr*(1+G$66)^F65)*IF(F65&gt;=a_churn_year,1-$B$67,1))-(cf_arr*(1+G$66)^E65*IF(E65&gt;=a_churn_year,1-$B$67,1)))</f>
        <v>45.7072</v>
      </c>
      <c r="G76" s="36" t="n">
        <f aca="false">(((cf_arr*(1+G$66)^G65)*IF(G65&gt;=a_churn_year,1-$B$67,1))*(MIN(a_m0+a_mstep*G65,a_mcap)-a_da)-IF(G65=a_churn_year,a_sticky*((cf_arr*(1+G$66)^G65)-((cf_arr*(1+G$66)^G65)*IF(G65&gt;=a_churn_year,1-$B$67,1)))*(1-MIN(a_m0+a_mstep*G65,a_mcap)),0))-MAX(0,(((cf_arr*(1+G$66)^G65)*IF(G65&gt;=a_churn_year,1-$B$67,1))*(MIN(a_m0+a_mstep*G65,a_mcap)-a_da)-IF(G65=a_churn_year,a_sticky*((cf_arr*(1+G$66)^G65)-((cf_arr*(1+G$66)^G65)*IF(G65&gt;=a_churn_year,1-$B$67,1)))*(1-MIN(a_m0+a_mstep*G65,a_mcap)),0)))*a_tax+((cf_arr*(1+G$66)^G65)*IF(G65&gt;=a_churn_year,1-$B$67,1))*a_da-((cf_arr*(1+G$66)^G65)*IF(G65&gt;=a_churn_year,1-$B$67,1))*a_capex-a_wc*(((cf_arr*(1+G$66)^G65)*IF(G65&gt;=a_churn_year,1-$B$67,1))-(cf_arr*(1+G$66)^F65*IF(F65&gt;=a_churn_year,1-$B$67,1)))</f>
        <v>95.68328</v>
      </c>
      <c r="H76" s="36" t="n">
        <f aca="false">(((cf_arr*(1+G$66)^H65)*IF(H65&gt;=a_churn_year,1-$B$67,1))*(MIN(a_m0+a_mstep*H65,a_mcap)-a_da)-IF(H65=a_churn_year,a_sticky*((cf_arr*(1+G$66)^H65)-((cf_arr*(1+G$66)^H65)*IF(H65&gt;=a_churn_year,1-$B$67,1)))*(1-MIN(a_m0+a_mstep*H65,a_mcap)),0))-MAX(0,(((cf_arr*(1+G$66)^H65)*IF(H65&gt;=a_churn_year,1-$B$67,1))*(MIN(a_m0+a_mstep*H65,a_mcap)-a_da)-IF(H65=a_churn_year,a_sticky*((cf_arr*(1+G$66)^H65)-((cf_arr*(1+G$66)^H65)*IF(H65&gt;=a_churn_year,1-$B$67,1)))*(1-MIN(a_m0+a_mstep*H65,a_mcap)),0)))*a_tax+((cf_arr*(1+G$66)^H65)*IF(H65&gt;=a_churn_year,1-$B$67,1))*a_da-((cf_arr*(1+G$66)^H65)*IF(H65&gt;=a_churn_year,1-$B$67,1))*a_capex-a_wc*(((cf_arr*(1+G$66)^H65)*IF(H65&gt;=a_churn_year,1-$B$67,1))-(cf_arr*(1+G$66)^G65*IF(G65&gt;=a_churn_year,1-$B$67,1)))</f>
        <v>178.327072</v>
      </c>
      <c r="I76" s="36" t="n">
        <f aca="false">(((cf_arr*(1+G$66)^I65)*IF(I65&gt;=a_churn_year,1-$B$67,1))*(MIN(a_m0+a_mstep*I65,a_mcap)-a_da)-IF(I65=a_churn_year,a_sticky*((cf_arr*(1+G$66)^I65)-((cf_arr*(1+G$66)^I65)*IF(I65&gt;=a_churn_year,1-$B$67,1)))*(1-MIN(a_m0+a_mstep*I65,a_mcap)),0))-MAX(0,(((cf_arr*(1+G$66)^I65)*IF(I65&gt;=a_churn_year,1-$B$67,1))*(MIN(a_m0+a_mstep*I65,a_mcap)-a_da)-IF(I65=a_churn_year,a_sticky*((cf_arr*(1+G$66)^I65)-((cf_arr*(1+G$66)^I65)*IF(I65&gt;=a_churn_year,1-$B$67,1)))*(1-MIN(a_m0+a_mstep*I65,a_mcap)),0)))*a_tax+((cf_arr*(1+G$66)^I65)*IF(I65&gt;=a_churn_year,1-$B$67,1))*a_da-((cf_arr*(1+G$66)^I65)*IF(I65&gt;=a_churn_year,1-$B$67,1))*a_capex-a_wc*(((cf_arr*(1+G$66)^I65)*IF(I65&gt;=a_churn_year,1-$B$67,1))-(cf_arr*(1+G$66)^H65*IF(H65&gt;=a_churn_year,1-$B$67,1)))</f>
        <v>249.6579008</v>
      </c>
      <c r="J76" s="36" t="n">
        <f aca="false">(((cf_arr*(1+G$66)^J65)*IF(J65&gt;=a_churn_year,1-$B$67,1))*(MIN(a_m0+a_mstep*J65,a_mcap)-a_da)-IF(J65=a_churn_year,a_sticky*((cf_arr*(1+G$66)^J65)-((cf_arr*(1+G$66)^J65)*IF(J65&gt;=a_churn_year,1-$B$67,1)))*(1-MIN(a_m0+a_mstep*J65,a_mcap)),0))-MAX(0,(((cf_arr*(1+G$66)^J65)*IF(J65&gt;=a_churn_year,1-$B$67,1))*(MIN(a_m0+a_mstep*J65,a_mcap)-a_da)-IF(J65=a_churn_year,a_sticky*((cf_arr*(1+G$66)^J65)-((cf_arr*(1+G$66)^J65)*IF(J65&gt;=a_churn_year,1-$B$67,1)))*(1-MIN(a_m0+a_mstep*J65,a_mcap)),0)))*a_tax+((cf_arr*(1+G$66)^J65)*IF(J65&gt;=a_churn_year,1-$B$67,1))*a_da-((cf_arr*(1+G$66)^J65)*IF(J65&gt;=a_churn_year,1-$B$67,1))*a_capex-a_wc*(((cf_arr*(1+G$66)^J65)*IF(J65&gt;=a_churn_year,1-$B$67,1))-(cf_arr*(1+G$66)^I65*IF(I65&gt;=a_churn_year,1-$B$67,1)))</f>
        <v>349.52106112</v>
      </c>
      <c r="K76" s="36" t="n">
        <f aca="false">(((cf_arr*(1+G$66)^K65)*IF(K65&gt;=a_churn_year,1-$B$67,1))*(MIN(a_m0+a_mstep*K65,a_mcap)-a_da)-IF(K65=a_churn_year,a_sticky*((cf_arr*(1+G$66)^K65)-((cf_arr*(1+G$66)^K65)*IF(K65&gt;=a_churn_year,1-$B$67,1)))*(1-MIN(a_m0+a_mstep*K65,a_mcap)),0))-MAX(0,(((cf_arr*(1+G$66)^K65)*IF(K65&gt;=a_churn_year,1-$B$67,1))*(MIN(a_m0+a_mstep*K65,a_mcap)-a_da)-IF(K65=a_churn_year,a_sticky*((cf_arr*(1+G$66)^K65)-((cf_arr*(1+G$66)^K65)*IF(K65&gt;=a_churn_year,1-$B$67,1)))*(1-MIN(a_m0+a_mstep*K65,a_mcap)),0)))*a_tax+((cf_arr*(1+G$66)^K65)*IF(K65&gt;=a_churn_year,1-$B$67,1))*a_da-((cf_arr*(1+G$66)^K65)*IF(K65&gt;=a_churn_year,1-$B$67,1))*a_capex-a_wc*(((cf_arr*(1+G$66)^K65)*IF(K65&gt;=a_churn_year,1-$B$67,1))-(cf_arr*(1+G$66)^J65*IF(J65&gt;=a_churn_year,1-$B$67,1)))</f>
        <v>489.329485568</v>
      </c>
      <c r="L76" s="36" t="n">
        <f aca="false">(((cf_arr*(1+G$66)^L65)*IF(L65&gt;=a_churn_year,1-$B$67,1))*(MIN(a_m0+a_mstep*L65,a_mcap)-a_da)-IF(L65=a_churn_year,a_sticky*((cf_arr*(1+G$66)^L65)-((cf_arr*(1+G$66)^L65)*IF(L65&gt;=a_churn_year,1-$B$67,1)))*(1-MIN(a_m0+a_mstep*L65,a_mcap)),0))-MAX(0,(((cf_arr*(1+G$66)^L65)*IF(L65&gt;=a_churn_year,1-$B$67,1))*(MIN(a_m0+a_mstep*L65,a_mcap)-a_da)-IF(L65=a_churn_year,a_sticky*((cf_arr*(1+G$66)^L65)-((cf_arr*(1+G$66)^L65)*IF(L65&gt;=a_churn_year,1-$B$67,1)))*(1-MIN(a_m0+a_mstep*L65,a_mcap)),0)))*a_tax+((cf_arr*(1+G$66)^L65)*IF(L65&gt;=a_churn_year,1-$B$67,1))*a_da-((cf_arr*(1+G$66)^L65)*IF(L65&gt;=a_churn_year,1-$B$67,1))*a_capex-a_wc*(((cf_arr*(1+G$66)^L65)*IF(L65&gt;=a_churn_year,1-$B$67,1))-(cf_arr*(1+G$66)^K65*IF(K65&gt;=a_churn_year,1-$B$67,1)))</f>
        <v>685.0612797952</v>
      </c>
      <c r="M76" s="36" t="n">
        <f aca="false">(((cf_arr*(1+G$66)^M65)*IF(M65&gt;=a_churn_year,1-$B$67,1))*(MIN(a_m0+a_mstep*M65,a_mcap)-a_da)-IF(M65=a_churn_year,a_sticky*((cf_arr*(1+G$66)^M65)-((cf_arr*(1+G$66)^M65)*IF(M65&gt;=a_churn_year,1-$B$67,1)))*(1-MIN(a_m0+a_mstep*M65,a_mcap)),0))-MAX(0,(((cf_arr*(1+G$66)^M65)*IF(M65&gt;=a_churn_year,1-$B$67,1))*(MIN(a_m0+a_mstep*M65,a_mcap)-a_da)-IF(M65=a_churn_year,a_sticky*((cf_arr*(1+G$66)^M65)-((cf_arr*(1+G$66)^M65)*IF(M65&gt;=a_churn_year,1-$B$67,1)))*(1-MIN(a_m0+a_mstep*M65,a_mcap)),0)))*a_tax+((cf_arr*(1+G$66)^M65)*IF(M65&gt;=a_churn_year,1-$B$67,1))*a_da-((cf_arr*(1+G$66)^M65)*IF(M65&gt;=a_churn_year,1-$B$67,1))*a_capex-a_wc*(((cf_arr*(1+G$66)^M65)*IF(M65&gt;=a_churn_year,1-$B$67,1))-(cf_arr*(1+G$66)^L65*IF(L65&gt;=a_churn_year,1-$B$67,1)))</f>
        <v>959.08579171328</v>
      </c>
    </row>
    <row r="77" customFormat="false" ht="15" hidden="false" customHeight="false" outlineLevel="0" collapsed="false">
      <c r="A77" s="9" t="s">
        <v>363</v>
      </c>
      <c r="C77" s="36" t="n">
        <f aca="false">0</f>
        <v>0</v>
      </c>
      <c r="D77" s="36" t="n">
        <f aca="false">(((cf_arr*(1+D$66)^D65)*IF(D65&gt;=a_churn_year,1-$B$68,1))*(MIN(a_m0+a_mstep*D65,a_mcap)-a_da)-IF(D65=a_churn_year,a_sticky*((cf_arr*(1+D$66)^D65)-((cf_arr*(1+D$66)^D65)*IF(D65&gt;=a_churn_year,1-$B$68,1)))*(1-MIN(a_m0+a_mstep*D65,a_mcap)),0))-MAX(0,(((cf_arr*(1+D$66)^D65)*IF(D65&gt;=a_churn_year,1-$B$68,1))*(MIN(a_m0+a_mstep*D65,a_mcap)-a_da)-IF(D65=a_churn_year,a_sticky*((cf_arr*(1+D$66)^D65)-((cf_arr*(1+D$66)^D65)*IF(D65&gt;=a_churn_year,1-$B$68,1)))*(1-MIN(a_m0+a_mstep*D65,a_mcap)),0)))*a_tax+((cf_arr*(1+D$66)^D65)*IF(D65&gt;=a_churn_year,1-$B$68,1))*a_da-((cf_arr*(1+D$66)^D65)*IF(D65&gt;=a_churn_year,1-$B$68,1))*a_capex-a_wc*(((cf_arr*(1+D$66)^D65)*IF(D65&gt;=a_churn_year,1-$B$68,1))-(cf_arr*(1+D$66)^C65*IF(C65&gt;=a_churn_year,1-$B$68,1)))</f>
        <v>-28.567</v>
      </c>
      <c r="E77" s="36" t="n">
        <f aca="false">(((cf_arr*(1+D$66)^E65)*IF(E65&gt;=a_churn_year,1-$B$68,1))*(MIN(a_m0+a_mstep*E65,a_mcap)-a_da)-IF(E65=a_churn_year,a_sticky*((cf_arr*(1+D$66)^E65)-((cf_arr*(1+D$66)^E65)*IF(E65&gt;=a_churn_year,1-$B$68,1)))*(1-MIN(a_m0+a_mstep*E65,a_mcap)),0))-MAX(0,(((cf_arr*(1+D$66)^E65)*IF(E65&gt;=a_churn_year,1-$B$68,1))*(MIN(a_m0+a_mstep*E65,a_mcap)-a_da)-IF(E65=a_churn_year,a_sticky*((cf_arr*(1+D$66)^E65)-((cf_arr*(1+D$66)^E65)*IF(E65&gt;=a_churn_year,1-$B$68,1)))*(1-MIN(a_m0+a_mstep*E65,a_mcap)),0)))*a_tax+((cf_arr*(1+D$66)^E65)*IF(E65&gt;=a_churn_year,1-$B$68,1))*a_da-((cf_arr*(1+D$66)^E65)*IF(E65&gt;=a_churn_year,1-$B$68,1))*a_capex-a_wc*(((cf_arr*(1+D$66)^E65)*IF(E65&gt;=a_churn_year,1-$B$68,1))-(cf_arr*(1+D$66)^D65*IF(D65&gt;=a_churn_year,1-$B$68,1)))</f>
        <v>8.93585</v>
      </c>
      <c r="F77" s="36" t="n">
        <f aca="false">(((cf_arr*(1+D$66)^F65)*IF(F65&gt;=a_churn_year,1-$B$68,1))*(MIN(a_m0+a_mstep*F65,a_mcap)-a_da)-IF(F65=a_churn_year,a_sticky*((cf_arr*(1+D$66)^F65)-((cf_arr*(1+D$66)^F65)*IF(F65&gt;=a_churn_year,1-$B$68,1)))*(1-MIN(a_m0+a_mstep*F65,a_mcap)),0))-MAX(0,(((cf_arr*(1+D$66)^F65)*IF(F65&gt;=a_churn_year,1-$B$68,1))*(MIN(a_m0+a_mstep*F65,a_mcap)-a_da)-IF(F65=a_churn_year,a_sticky*((cf_arr*(1+D$66)^F65)-((cf_arr*(1+D$66)^F65)*IF(F65&gt;=a_churn_year,1-$B$68,1)))*(1-MIN(a_m0+a_mstep*F65,a_mcap)),0)))*a_tax+((cf_arr*(1+D$66)^F65)*IF(F65&gt;=a_churn_year,1-$B$68,1))*a_da-((cf_arr*(1+D$66)^F65)*IF(F65&gt;=a_churn_year,1-$B$68,1))*a_capex-a_wc*(((cf_arr*(1+D$66)^F65)*IF(F65&gt;=a_churn_year,1-$B$68,1))-(cf_arr*(1+D$66)^E65*IF(E65&gt;=a_churn_year,1-$B$68,1)))</f>
        <v>17.51596</v>
      </c>
      <c r="G77" s="36" t="n">
        <f aca="false">(((cf_arr*(1+D$66)^G65)*IF(G65&gt;=a_churn_year,1-$B$68,1))*(MIN(a_m0+a_mstep*G65,a_mcap)-a_da)-IF(G65=a_churn_year,a_sticky*((cf_arr*(1+D$66)^G65)-((cf_arr*(1+D$66)^G65)*IF(G65&gt;=a_churn_year,1-$B$68,1)))*(1-MIN(a_m0+a_mstep*G65,a_mcap)),0))-MAX(0,(((cf_arr*(1+D$66)^G65)*IF(G65&gt;=a_churn_year,1-$B$68,1))*(MIN(a_m0+a_mstep*G65,a_mcap)-a_da)-IF(G65=a_churn_year,a_sticky*((cf_arr*(1+D$66)^G65)-((cf_arr*(1+D$66)^G65)*IF(G65&gt;=a_churn_year,1-$B$68,1)))*(1-MIN(a_m0+a_mstep*G65,a_mcap)),0)))*a_tax+((cf_arr*(1+D$66)^G65)*IF(G65&gt;=a_churn_year,1-$B$68,1))*a_da-((cf_arr*(1+D$66)^G65)*IF(G65&gt;=a_churn_year,1-$B$68,1))*a_capex-a_wc*(((cf_arr*(1+D$66)^G65)*IF(G65&gt;=a_churn_year,1-$B$68,1))-(cf_arr*(1+D$66)^F65*IF(F65&gt;=a_churn_year,1-$B$68,1)))</f>
        <v>27.7227335</v>
      </c>
      <c r="H77" s="36" t="n">
        <f aca="false">(((cf_arr*(1+D$66)^H65)*IF(H65&gt;=a_churn_year,1-$B$68,1))*(MIN(a_m0+a_mstep*H65,a_mcap)-a_da)-IF(H65=a_churn_year,a_sticky*((cf_arr*(1+D$66)^H65)-((cf_arr*(1+D$66)^H65)*IF(H65&gt;=a_churn_year,1-$B$68,1)))*(1-MIN(a_m0+a_mstep*H65,a_mcap)),0))-MAX(0,(((cf_arr*(1+D$66)^H65)*IF(H65&gt;=a_churn_year,1-$B$68,1))*(MIN(a_m0+a_mstep*H65,a_mcap)-a_da)-IF(H65=a_churn_year,a_sticky*((cf_arr*(1+D$66)^H65)-((cf_arr*(1+D$66)^H65)*IF(H65&gt;=a_churn_year,1-$B$68,1)))*(1-MIN(a_m0+a_mstep*H65,a_mcap)),0)))*a_tax+((cf_arr*(1+D$66)^H65)*IF(H65&gt;=a_churn_year,1-$B$68,1))*a_da-((cf_arr*(1+D$66)^H65)*IF(H65&gt;=a_churn_year,1-$B$68,1))*a_capex-a_wc*(((cf_arr*(1+D$66)^H65)*IF(H65&gt;=a_churn_year,1-$B$68,1))-(cf_arr*(1+D$66)^G65*IF(G65&gt;=a_churn_year,1-$B$68,1)))</f>
        <v>39.7957021</v>
      </c>
      <c r="I77" s="36" t="n">
        <f aca="false">(((cf_arr*(1+D$66)^I65)*IF(I65&gt;=a_churn_year,1-$B$68,1))*(MIN(a_m0+a_mstep*I65,a_mcap)-a_da)-IF(I65=a_churn_year,a_sticky*((cf_arr*(1+D$66)^I65)-((cf_arr*(1+D$66)^I65)*IF(I65&gt;=a_churn_year,1-$B$68,1)))*(1-MIN(a_m0+a_mstep*I65,a_mcap)),0))-MAX(0,(((cf_arr*(1+D$66)^I65)*IF(I65&gt;=a_churn_year,1-$B$68,1))*(MIN(a_m0+a_mstep*I65,a_mcap)-a_da)-IF(I65=a_churn_year,a_sticky*((cf_arr*(1+D$66)^I65)-((cf_arr*(1+D$66)^I65)*IF(I65&gt;=a_churn_year,1-$B$68,1)))*(1-MIN(a_m0+a_mstep*I65,a_mcap)),0)))*a_tax+((cf_arr*(1+D$66)^I65)*IF(I65&gt;=a_churn_year,1-$B$68,1))*a_da-((cf_arr*(1+D$66)^I65)*IF(I65&gt;=a_churn_year,1-$B$68,1))*a_capex-a_wc*(((cf_arr*(1+D$66)^I65)*IF(I65&gt;=a_churn_year,1-$B$68,1))-(cf_arr*(1+D$66)^H65*IF(H65&gt;=a_churn_year,1-$B$68,1)))</f>
        <v>43.77527231</v>
      </c>
      <c r="J77" s="36" t="n">
        <f aca="false">(((cf_arr*(1+D$66)^J65)*IF(J65&gt;=a_churn_year,1-$B$68,1))*(MIN(a_m0+a_mstep*J65,a_mcap)-a_da)-IF(J65=a_churn_year,a_sticky*((cf_arr*(1+D$66)^J65)-((cf_arr*(1+D$66)^J65)*IF(J65&gt;=a_churn_year,1-$B$68,1)))*(1-MIN(a_m0+a_mstep*J65,a_mcap)),0))-MAX(0,(((cf_arr*(1+D$66)^J65)*IF(J65&gt;=a_churn_year,1-$B$68,1))*(MIN(a_m0+a_mstep*J65,a_mcap)-a_da)-IF(J65=a_churn_year,a_sticky*((cf_arr*(1+D$66)^J65)-((cf_arr*(1+D$66)^J65)*IF(J65&gt;=a_churn_year,1-$B$68,1)))*(1-MIN(a_m0+a_mstep*J65,a_mcap)),0)))*a_tax+((cf_arr*(1+D$66)^J65)*IF(J65&gt;=a_churn_year,1-$B$68,1))*a_da-((cf_arr*(1+D$66)^J65)*IF(J65&gt;=a_churn_year,1-$B$68,1))*a_capex-a_wc*(((cf_arr*(1+D$66)^J65)*IF(J65&gt;=a_churn_year,1-$B$68,1))-(cf_arr*(1+D$66)^I65*IF(I65&gt;=a_churn_year,1-$B$68,1)))</f>
        <v>48.152799541</v>
      </c>
      <c r="K77" s="36" t="n">
        <f aca="false">(((cf_arr*(1+D$66)^K65)*IF(K65&gt;=a_churn_year,1-$B$68,1))*(MIN(a_m0+a_mstep*K65,a_mcap)-a_da)-IF(K65=a_churn_year,a_sticky*((cf_arr*(1+D$66)^K65)-((cf_arr*(1+D$66)^K65)*IF(K65&gt;=a_churn_year,1-$B$68,1)))*(1-MIN(a_m0+a_mstep*K65,a_mcap)),0))-MAX(0,(((cf_arr*(1+D$66)^K65)*IF(K65&gt;=a_churn_year,1-$B$68,1))*(MIN(a_m0+a_mstep*K65,a_mcap)-a_da)-IF(K65=a_churn_year,a_sticky*((cf_arr*(1+D$66)^K65)-((cf_arr*(1+D$66)^K65)*IF(K65&gt;=a_churn_year,1-$B$68,1)))*(1-MIN(a_m0+a_mstep*K65,a_mcap)),0)))*a_tax+((cf_arr*(1+D$66)^K65)*IF(K65&gt;=a_churn_year,1-$B$68,1))*a_da-((cf_arr*(1+D$66)^K65)*IF(K65&gt;=a_churn_year,1-$B$68,1))*a_capex-a_wc*(((cf_arr*(1+D$66)^K65)*IF(K65&gt;=a_churn_year,1-$B$68,1))-(cf_arr*(1+D$66)^J65*IF(J65&gt;=a_churn_year,1-$B$68,1)))</f>
        <v>52.9680794951</v>
      </c>
      <c r="L77" s="36" t="n">
        <f aca="false">(((cf_arr*(1+D$66)^L65)*IF(L65&gt;=a_churn_year,1-$B$68,1))*(MIN(a_m0+a_mstep*L65,a_mcap)-a_da)-IF(L65=a_churn_year,a_sticky*((cf_arr*(1+D$66)^L65)-((cf_arr*(1+D$66)^L65)*IF(L65&gt;=a_churn_year,1-$B$68,1)))*(1-MIN(a_m0+a_mstep*L65,a_mcap)),0))-MAX(0,(((cf_arr*(1+D$66)^L65)*IF(L65&gt;=a_churn_year,1-$B$68,1))*(MIN(a_m0+a_mstep*L65,a_mcap)-a_da)-IF(L65=a_churn_year,a_sticky*((cf_arr*(1+D$66)^L65)-((cf_arr*(1+D$66)^L65)*IF(L65&gt;=a_churn_year,1-$B$68,1)))*(1-MIN(a_m0+a_mstep*L65,a_mcap)),0)))*a_tax+((cf_arr*(1+D$66)^L65)*IF(L65&gt;=a_churn_year,1-$B$68,1))*a_da-((cf_arr*(1+D$66)^L65)*IF(L65&gt;=a_churn_year,1-$B$68,1))*a_capex-a_wc*(((cf_arr*(1+D$66)^L65)*IF(L65&gt;=a_churn_year,1-$B$68,1))-(cf_arr*(1+D$66)^K65*IF(K65&gt;=a_churn_year,1-$B$68,1)))</f>
        <v>58.26488744461</v>
      </c>
      <c r="M77" s="36" t="n">
        <f aca="false">(((cf_arr*(1+D$66)^M65)*IF(M65&gt;=a_churn_year,1-$B$68,1))*(MIN(a_m0+a_mstep*M65,a_mcap)-a_da)-IF(M65=a_churn_year,a_sticky*((cf_arr*(1+D$66)^M65)-((cf_arr*(1+D$66)^M65)*IF(M65&gt;=a_churn_year,1-$B$68,1)))*(1-MIN(a_m0+a_mstep*M65,a_mcap)),0))-MAX(0,(((cf_arr*(1+D$66)^M65)*IF(M65&gt;=a_churn_year,1-$B$68,1))*(MIN(a_m0+a_mstep*M65,a_mcap)-a_da)-IF(M65=a_churn_year,a_sticky*((cf_arr*(1+D$66)^M65)-((cf_arr*(1+D$66)^M65)*IF(M65&gt;=a_churn_year,1-$B$68,1)))*(1-MIN(a_m0+a_mstep*M65,a_mcap)),0)))*a_tax+((cf_arr*(1+D$66)^M65)*IF(M65&gt;=a_churn_year,1-$B$68,1))*a_da-((cf_arr*(1+D$66)^M65)*IF(M65&gt;=a_churn_year,1-$B$68,1))*a_capex-a_wc*(((cf_arr*(1+D$66)^M65)*IF(M65&gt;=a_churn_year,1-$B$68,1))-(cf_arr*(1+D$66)^L65*IF(L65&gt;=a_churn_year,1-$B$68,1)))</f>
        <v>64.0913761890711</v>
      </c>
    </row>
    <row r="78" customFormat="false" ht="15" hidden="false" customHeight="false" outlineLevel="0" collapsed="false">
      <c r="A78" s="9" t="s">
        <v>364</v>
      </c>
      <c r="C78" s="36" t="n">
        <f aca="false">0</f>
        <v>0</v>
      </c>
      <c r="D78" s="36" t="n">
        <f aca="false">(((cf_arr*(1+E$66)^D65)*IF(D65&gt;=a_churn_year,1-$B$68,1))*(MIN(a_m0+a_mstep*D65,a_mcap)-a_da)-IF(D65=a_churn_year,a_sticky*((cf_arr*(1+E$66)^D65)-((cf_arr*(1+E$66)^D65)*IF(D65&gt;=a_churn_year,1-$B$68,1)))*(1-MIN(a_m0+a_mstep*D65,a_mcap)),0))-MAX(0,(((cf_arr*(1+E$66)^D65)*IF(D65&gt;=a_churn_year,1-$B$68,1))*(MIN(a_m0+a_mstep*D65,a_mcap)-a_da)-IF(D65=a_churn_year,a_sticky*((cf_arr*(1+E$66)^D65)-((cf_arr*(1+E$66)^D65)*IF(D65&gt;=a_churn_year,1-$B$68,1)))*(1-MIN(a_m0+a_mstep*D65,a_mcap)),0)))*a_tax+((cf_arr*(1+E$66)^D65)*IF(D65&gt;=a_churn_year,1-$B$68,1))*a_da-((cf_arr*(1+E$66)^D65)*IF(D65&gt;=a_churn_year,1-$B$68,1))*a_capex-a_wc*(((cf_arr*(1+E$66)^D65)*IF(D65&gt;=a_churn_year,1-$B$68,1))-(cf_arr*(1+E$66)^C65*IF(C65&gt;=a_churn_year,1-$B$68,1)))</f>
        <v>-32.164</v>
      </c>
      <c r="E78" s="36" t="n">
        <f aca="false">(((cf_arr*(1+E$66)^E65)*IF(E65&gt;=a_churn_year,1-$B$68,1))*(MIN(a_m0+a_mstep*E65,a_mcap)-a_da)-IF(E65=a_churn_year,a_sticky*((cf_arr*(1+E$66)^E65)-((cf_arr*(1+E$66)^E65)*IF(E65&gt;=a_churn_year,1-$B$68,1)))*(1-MIN(a_m0+a_mstep*E65,a_mcap)),0))-MAX(0,(((cf_arr*(1+E$66)^E65)*IF(E65&gt;=a_churn_year,1-$B$68,1))*(MIN(a_m0+a_mstep*E65,a_mcap)-a_da)-IF(E65=a_churn_year,a_sticky*((cf_arr*(1+E$66)^E65)-((cf_arr*(1+E$66)^E65)*IF(E65&gt;=a_churn_year,1-$B$68,1)))*(1-MIN(a_m0+a_mstep*E65,a_mcap)),0)))*a_tax+((cf_arr*(1+E$66)^E65)*IF(E65&gt;=a_churn_year,1-$B$68,1))*a_da-((cf_arr*(1+E$66)^E65)*IF(E65&gt;=a_churn_year,1-$B$68,1))*a_capex-a_wc*(((cf_arr*(1+E$66)^E65)*IF(E65&gt;=a_churn_year,1-$B$68,1))-(cf_arr*(1+E$66)^D65*IF(D65&gt;=a_churn_year,1-$B$68,1)))</f>
        <v>9.7944</v>
      </c>
      <c r="F78" s="36" t="n">
        <f aca="false">(((cf_arr*(1+E$66)^F65)*IF(F65&gt;=a_churn_year,1-$B$68,1))*(MIN(a_m0+a_mstep*F65,a_mcap)-a_da)-IF(F65=a_churn_year,a_sticky*((cf_arr*(1+E$66)^F65)-((cf_arr*(1+E$66)^F65)*IF(F65&gt;=a_churn_year,1-$B$68,1)))*(1-MIN(a_m0+a_mstep*F65,a_mcap)),0))-MAX(0,(((cf_arr*(1+E$66)^F65)*IF(F65&gt;=a_churn_year,1-$B$68,1))*(MIN(a_m0+a_mstep*F65,a_mcap)-a_da)-IF(F65=a_churn_year,a_sticky*((cf_arr*(1+E$66)^F65)-((cf_arr*(1+E$66)^F65)*IF(F65&gt;=a_churn_year,1-$B$68,1)))*(1-MIN(a_m0+a_mstep*F65,a_mcap)),0)))*a_tax+((cf_arr*(1+E$66)^F65)*IF(F65&gt;=a_churn_year,1-$B$68,1))*a_da-((cf_arr*(1+E$66)^F65)*IF(F65&gt;=a_churn_year,1-$B$68,1))*a_capex-a_wc*(((cf_arr*(1+E$66)^F65)*IF(F65&gt;=a_churn_year,1-$B$68,1))-(cf_arr*(1+E$66)^E65*IF(E65&gt;=a_churn_year,1-$B$68,1)))</f>
        <v>21.73248</v>
      </c>
      <c r="G78" s="36" t="n">
        <f aca="false">(((cf_arr*(1+E$66)^G65)*IF(G65&gt;=a_churn_year,1-$B$68,1))*(MIN(a_m0+a_mstep*G65,a_mcap)-a_da)-IF(G65=a_churn_year,a_sticky*((cf_arr*(1+E$66)^G65)-((cf_arr*(1+E$66)^G65)*IF(G65&gt;=a_churn_year,1-$B$68,1)))*(1-MIN(a_m0+a_mstep*G65,a_mcap)),0))-MAX(0,(((cf_arr*(1+E$66)^G65)*IF(G65&gt;=a_churn_year,1-$B$68,1))*(MIN(a_m0+a_mstep*G65,a_mcap)-a_da)-IF(G65=a_churn_year,a_sticky*((cf_arr*(1+E$66)^G65)-((cf_arr*(1+E$66)^G65)*IF(G65&gt;=a_churn_year,1-$B$68,1)))*(1-MIN(a_m0+a_mstep*G65,a_mcap)),0)))*a_tax+((cf_arr*(1+E$66)^G65)*IF(G65&gt;=a_churn_year,1-$B$68,1))*a_da-((cf_arr*(1+E$66)^G65)*IF(G65&gt;=a_churn_year,1-$B$68,1))*a_capex-a_wc*(((cf_arr*(1+E$66)^G65)*IF(G65&gt;=a_churn_year,1-$B$68,1))-(cf_arr*(1+E$66)^F65*IF(F65&gt;=a_churn_year,1-$B$68,1)))</f>
        <v>38.054016</v>
      </c>
      <c r="H78" s="36" t="n">
        <f aca="false">(((cf_arr*(1+E$66)^H65)*IF(H65&gt;=a_churn_year,1-$B$68,1))*(MIN(a_m0+a_mstep*H65,a_mcap)-a_da)-IF(H65=a_churn_year,a_sticky*((cf_arr*(1+E$66)^H65)-((cf_arr*(1+E$66)^H65)*IF(H65&gt;=a_churn_year,1-$B$68,1)))*(1-MIN(a_m0+a_mstep*H65,a_mcap)),0))-MAX(0,(((cf_arr*(1+E$66)^H65)*IF(H65&gt;=a_churn_year,1-$B$68,1))*(MIN(a_m0+a_mstep*H65,a_mcap)-a_da)-IF(H65=a_churn_year,a_sticky*((cf_arr*(1+E$66)^H65)-((cf_arr*(1+E$66)^H65)*IF(H65&gt;=a_churn_year,1-$B$68,1)))*(1-MIN(a_m0+a_mstep*H65,a_mcap)),0)))*a_tax+((cf_arr*(1+E$66)^H65)*IF(H65&gt;=a_churn_year,1-$B$68,1))*a_da-((cf_arr*(1+E$66)^H65)*IF(H65&gt;=a_churn_year,1-$B$68,1))*a_capex-a_wc*(((cf_arr*(1+E$66)^H65)*IF(H65&gt;=a_churn_year,1-$B$68,1))-(cf_arr*(1+E$66)^G65*IF(G65&gt;=a_churn_year,1-$B$68,1)))</f>
        <v>60.0348672</v>
      </c>
      <c r="I78" s="36" t="n">
        <f aca="false">(((cf_arr*(1+E$66)^I65)*IF(I65&gt;=a_churn_year,1-$B$68,1))*(MIN(a_m0+a_mstep*I65,a_mcap)-a_da)-IF(I65=a_churn_year,a_sticky*((cf_arr*(1+E$66)^I65)-((cf_arr*(1+E$66)^I65)*IF(I65&gt;=a_churn_year,1-$B$68,1)))*(1-MIN(a_m0+a_mstep*I65,a_mcap)),0))-MAX(0,(((cf_arr*(1+E$66)^I65)*IF(I65&gt;=a_churn_year,1-$B$68,1))*(MIN(a_m0+a_mstep*I65,a_mcap)-a_da)-IF(I65=a_churn_year,a_sticky*((cf_arr*(1+E$66)^I65)-((cf_arr*(1+E$66)^I65)*IF(I65&gt;=a_churn_year,1-$B$68,1)))*(1-MIN(a_m0+a_mstep*I65,a_mcap)),0)))*a_tax+((cf_arr*(1+E$66)^I65)*IF(I65&gt;=a_churn_year,1-$B$68,1))*a_da-((cf_arr*(1+E$66)^I65)*IF(I65&gt;=a_churn_year,1-$B$68,1))*a_capex-a_wc*(((cf_arr*(1+E$66)^I65)*IF(I65&gt;=a_churn_year,1-$B$68,1))-(cf_arr*(1+E$66)^H65*IF(H65&gt;=a_churn_year,1-$B$68,1)))</f>
        <v>72.04184064</v>
      </c>
      <c r="J78" s="36" t="n">
        <f aca="false">(((cf_arr*(1+E$66)^J65)*IF(J65&gt;=a_churn_year,1-$B$68,1))*(MIN(a_m0+a_mstep*J65,a_mcap)-a_da)-IF(J65=a_churn_year,a_sticky*((cf_arr*(1+E$66)^J65)-((cf_arr*(1+E$66)^J65)*IF(J65&gt;=a_churn_year,1-$B$68,1)))*(1-MIN(a_m0+a_mstep*J65,a_mcap)),0))-MAX(0,(((cf_arr*(1+E$66)^J65)*IF(J65&gt;=a_churn_year,1-$B$68,1))*(MIN(a_m0+a_mstep*J65,a_mcap)-a_da)-IF(J65=a_churn_year,a_sticky*((cf_arr*(1+E$66)^J65)-((cf_arr*(1+E$66)^J65)*IF(J65&gt;=a_churn_year,1-$B$68,1)))*(1-MIN(a_m0+a_mstep*J65,a_mcap)),0)))*a_tax+((cf_arr*(1+E$66)^J65)*IF(J65&gt;=a_churn_year,1-$B$68,1))*a_da-((cf_arr*(1+E$66)^J65)*IF(J65&gt;=a_churn_year,1-$B$68,1))*a_capex-a_wc*(((cf_arr*(1+E$66)^J65)*IF(J65&gt;=a_churn_year,1-$B$68,1))-(cf_arr*(1+E$66)^I65*IF(I65&gt;=a_churn_year,1-$B$68,1)))</f>
        <v>86.450208768</v>
      </c>
      <c r="K78" s="36" t="n">
        <f aca="false">(((cf_arr*(1+E$66)^K65)*IF(K65&gt;=a_churn_year,1-$B$68,1))*(MIN(a_m0+a_mstep*K65,a_mcap)-a_da)-IF(K65=a_churn_year,a_sticky*((cf_arr*(1+E$66)^K65)-((cf_arr*(1+E$66)^K65)*IF(K65&gt;=a_churn_year,1-$B$68,1)))*(1-MIN(a_m0+a_mstep*K65,a_mcap)),0))-MAX(0,(((cf_arr*(1+E$66)^K65)*IF(K65&gt;=a_churn_year,1-$B$68,1))*(MIN(a_m0+a_mstep*K65,a_mcap)-a_da)-IF(K65=a_churn_year,a_sticky*((cf_arr*(1+E$66)^K65)-((cf_arr*(1+E$66)^K65)*IF(K65&gt;=a_churn_year,1-$B$68,1)))*(1-MIN(a_m0+a_mstep*K65,a_mcap)),0)))*a_tax+((cf_arr*(1+E$66)^K65)*IF(K65&gt;=a_churn_year,1-$B$68,1))*a_da-((cf_arr*(1+E$66)^K65)*IF(K65&gt;=a_churn_year,1-$B$68,1))*a_capex-a_wc*(((cf_arr*(1+E$66)^K65)*IF(K65&gt;=a_churn_year,1-$B$68,1))-(cf_arr*(1+E$66)^J65*IF(J65&gt;=a_churn_year,1-$B$68,1)))</f>
        <v>103.7402505216</v>
      </c>
      <c r="L78" s="36" t="n">
        <f aca="false">(((cf_arr*(1+E$66)^L65)*IF(L65&gt;=a_churn_year,1-$B$68,1))*(MIN(a_m0+a_mstep*L65,a_mcap)-a_da)-IF(L65=a_churn_year,a_sticky*((cf_arr*(1+E$66)^L65)-((cf_arr*(1+E$66)^L65)*IF(L65&gt;=a_churn_year,1-$B$68,1)))*(1-MIN(a_m0+a_mstep*L65,a_mcap)),0))-MAX(0,(((cf_arr*(1+E$66)^L65)*IF(L65&gt;=a_churn_year,1-$B$68,1))*(MIN(a_m0+a_mstep*L65,a_mcap)-a_da)-IF(L65=a_churn_year,a_sticky*((cf_arr*(1+E$66)^L65)-((cf_arr*(1+E$66)^L65)*IF(L65&gt;=a_churn_year,1-$B$68,1)))*(1-MIN(a_m0+a_mstep*L65,a_mcap)),0)))*a_tax+((cf_arr*(1+E$66)^L65)*IF(L65&gt;=a_churn_year,1-$B$68,1))*a_da-((cf_arr*(1+E$66)^L65)*IF(L65&gt;=a_churn_year,1-$B$68,1))*a_capex-a_wc*(((cf_arr*(1+E$66)^L65)*IF(L65&gt;=a_churn_year,1-$B$68,1))-(cf_arr*(1+E$66)^K65*IF(K65&gt;=a_churn_year,1-$B$68,1)))</f>
        <v>124.48830062592</v>
      </c>
      <c r="M78" s="36" t="n">
        <f aca="false">(((cf_arr*(1+E$66)^M65)*IF(M65&gt;=a_churn_year,1-$B$68,1))*(MIN(a_m0+a_mstep*M65,a_mcap)-a_da)-IF(M65=a_churn_year,a_sticky*((cf_arr*(1+E$66)^M65)-((cf_arr*(1+E$66)^M65)*IF(M65&gt;=a_churn_year,1-$B$68,1)))*(1-MIN(a_m0+a_mstep*M65,a_mcap)),0))-MAX(0,(((cf_arr*(1+E$66)^M65)*IF(M65&gt;=a_churn_year,1-$B$68,1))*(MIN(a_m0+a_mstep*M65,a_mcap)-a_da)-IF(M65=a_churn_year,a_sticky*((cf_arr*(1+E$66)^M65)-((cf_arr*(1+E$66)^M65)*IF(M65&gt;=a_churn_year,1-$B$68,1)))*(1-MIN(a_m0+a_mstep*M65,a_mcap)),0)))*a_tax+((cf_arr*(1+E$66)^M65)*IF(M65&gt;=a_churn_year,1-$B$68,1))*a_da-((cf_arr*(1+E$66)^M65)*IF(M65&gt;=a_churn_year,1-$B$68,1))*a_capex-a_wc*(((cf_arr*(1+E$66)^M65)*IF(M65&gt;=a_churn_year,1-$B$68,1))-(cf_arr*(1+E$66)^L65*IF(L65&gt;=a_churn_year,1-$B$68,1)))</f>
        <v>149.385960751104</v>
      </c>
    </row>
    <row r="79" customFormat="false" ht="15" hidden="false" customHeight="false" outlineLevel="0" collapsed="false">
      <c r="A79" s="9" t="s">
        <v>365</v>
      </c>
      <c r="C79" s="36" t="n">
        <f aca="false">0</f>
        <v>0</v>
      </c>
      <c r="D79" s="36" t="n">
        <f aca="false">(((cf_arr*(1+F$66)^D65)*IF(D65&gt;=a_churn_year,1-$B$68,1))*(MIN(a_m0+a_mstep*D65,a_mcap)-a_da)-IF(D65=a_churn_year,a_sticky*((cf_arr*(1+F$66)^D65)-((cf_arr*(1+F$66)^D65)*IF(D65&gt;=a_churn_year,1-$B$68,1)))*(1-MIN(a_m0+a_mstep*D65,a_mcap)),0))-MAX(0,(((cf_arr*(1+F$66)^D65)*IF(D65&gt;=a_churn_year,1-$B$68,1))*(MIN(a_m0+a_mstep*D65,a_mcap)-a_da)-IF(D65=a_churn_year,a_sticky*((cf_arr*(1+F$66)^D65)-((cf_arr*(1+F$66)^D65)*IF(D65&gt;=a_churn_year,1-$B$68,1)))*(1-MIN(a_m0+a_mstep*D65,a_mcap)),0)))*a_tax+((cf_arr*(1+F$66)^D65)*IF(D65&gt;=a_churn_year,1-$B$68,1))*a_da-((cf_arr*(1+F$66)^D65)*IF(D65&gt;=a_churn_year,1-$B$68,1))*a_capex-a_wc*(((cf_arr*(1+F$66)^D65)*IF(D65&gt;=a_churn_year,1-$B$68,1))-(cf_arr*(1+F$66)^C65*IF(C65&gt;=a_churn_year,1-$B$68,1)))</f>
        <v>-35.761</v>
      </c>
      <c r="E79" s="36" t="n">
        <f aca="false">(((cf_arr*(1+F$66)^E65)*IF(E65&gt;=a_churn_year,1-$B$68,1))*(MIN(a_m0+a_mstep*E65,a_mcap)-a_da)-IF(E65=a_churn_year,a_sticky*((cf_arr*(1+F$66)^E65)-((cf_arr*(1+F$66)^E65)*IF(E65&gt;=a_churn_year,1-$B$68,1)))*(1-MIN(a_m0+a_mstep*E65,a_mcap)),0))-MAX(0,(((cf_arr*(1+F$66)^E65)*IF(E65&gt;=a_churn_year,1-$B$68,1))*(MIN(a_m0+a_mstep*E65,a_mcap)-a_da)-IF(E65=a_churn_year,a_sticky*((cf_arr*(1+F$66)^E65)-((cf_arr*(1+F$66)^E65)*IF(E65&gt;=a_churn_year,1-$B$68,1)))*(1-MIN(a_m0+a_mstep*E65,a_mcap)),0)))*a_tax+((cf_arr*(1+F$66)^E65)*IF(E65&gt;=a_churn_year,1-$B$68,1))*a_da-((cf_arr*(1+F$66)^E65)*IF(E65&gt;=a_churn_year,1-$B$68,1))*a_capex-a_wc*(((cf_arr*(1+F$66)^E65)*IF(E65&gt;=a_churn_year,1-$B$68,1))-(cf_arr*(1+F$66)^D65*IF(D65&gt;=a_churn_year,1-$B$68,1)))</f>
        <v>10.66065</v>
      </c>
      <c r="F79" s="36" t="n">
        <f aca="false">(((cf_arr*(1+F$66)^F65)*IF(F65&gt;=a_churn_year,1-$B$68,1))*(MIN(a_m0+a_mstep*F65,a_mcap)-a_da)-IF(F65=a_churn_year,a_sticky*((cf_arr*(1+F$66)^F65)-((cf_arr*(1+F$66)^F65)*IF(F65&gt;=a_churn_year,1-$B$68,1)))*(1-MIN(a_m0+a_mstep*F65,a_mcap)),0))-MAX(0,(((cf_arr*(1+F$66)^F65)*IF(F65&gt;=a_churn_year,1-$B$68,1))*(MIN(a_m0+a_mstep*F65,a_mcap)-a_da)-IF(F65=a_churn_year,a_sticky*((cf_arr*(1+F$66)^F65)-((cf_arr*(1+F$66)^F65)*IF(F65&gt;=a_churn_year,1-$B$68,1)))*(1-MIN(a_m0+a_mstep*F65,a_mcap)),0)))*a_tax+((cf_arr*(1+F$66)^F65)*IF(F65&gt;=a_churn_year,1-$B$68,1))*a_da-((cf_arr*(1+F$66)^F65)*IF(F65&gt;=a_churn_year,1-$B$68,1))*a_capex-a_wc*(((cf_arr*(1+F$66)^F65)*IF(F65&gt;=a_churn_year,1-$B$68,1))-(cf_arr*(1+F$66)^E65*IF(E65&gt;=a_churn_year,1-$B$68,1)))</f>
        <v>26.54652</v>
      </c>
      <c r="G79" s="36" t="n">
        <f aca="false">(((cf_arr*(1+F$66)^G65)*IF(G65&gt;=a_churn_year,1-$B$68,1))*(MIN(a_m0+a_mstep*G65,a_mcap)-a_da)-IF(G65=a_churn_year,a_sticky*((cf_arr*(1+F$66)^G65)-((cf_arr*(1+F$66)^G65)*IF(G65&gt;=a_churn_year,1-$B$68,1)))*(1-MIN(a_m0+a_mstep*G65,a_mcap)),0))-MAX(0,(((cf_arr*(1+F$66)^G65)*IF(G65&gt;=a_churn_year,1-$B$68,1))*(MIN(a_m0+a_mstep*G65,a_mcap)-a_da)-IF(G65=a_churn_year,a_sticky*((cf_arr*(1+F$66)^G65)-((cf_arr*(1+F$66)^G65)*IF(G65&gt;=a_churn_year,1-$B$68,1)))*(1-MIN(a_m0+a_mstep*G65,a_mcap)),0)))*a_tax+((cf_arr*(1+F$66)^G65)*IF(G65&gt;=a_churn_year,1-$B$68,1))*a_da-((cf_arr*(1+F$66)^G65)*IF(G65&gt;=a_churn_year,1-$B$68,1))*a_capex-a_wc*(((cf_arr*(1+F$66)^G65)*IF(G65&gt;=a_churn_year,1-$B$68,1))-(cf_arr*(1+F$66)^F65*IF(F65&gt;=a_churn_year,1-$B$68,1)))</f>
        <v>51.0044535</v>
      </c>
      <c r="H79" s="36" t="n">
        <f aca="false">(((cf_arr*(1+F$66)^H65)*IF(H65&gt;=a_churn_year,1-$B$68,1))*(MIN(a_m0+a_mstep*H65,a_mcap)-a_da)-IF(H65=a_churn_year,a_sticky*((cf_arr*(1+F$66)^H65)-((cf_arr*(1+F$66)^H65)*IF(H65&gt;=a_churn_year,1-$B$68,1)))*(1-MIN(a_m0+a_mstep*H65,a_mcap)),0))-MAX(0,(((cf_arr*(1+F$66)^H65)*IF(H65&gt;=a_churn_year,1-$B$68,1))*(MIN(a_m0+a_mstep*H65,a_mcap)-a_da)-IF(H65=a_churn_year,a_sticky*((cf_arr*(1+F$66)^H65)-((cf_arr*(1+F$66)^H65)*IF(H65&gt;=a_churn_year,1-$B$68,1)))*(1-MIN(a_m0+a_mstep*H65,a_mcap)),0)))*a_tax+((cf_arr*(1+F$66)^H65)*IF(H65&gt;=a_churn_year,1-$B$68,1))*a_da-((cf_arr*(1+F$66)^H65)*IF(H65&gt;=a_churn_year,1-$B$68,1))*a_capex-a_wc*(((cf_arr*(1+F$66)^H65)*IF(H65&gt;=a_churn_year,1-$B$68,1))-(cf_arr*(1+F$66)^G65*IF(G65&gt;=a_churn_year,1-$B$68,1)))</f>
        <v>87.7479603</v>
      </c>
      <c r="I79" s="36" t="n">
        <f aca="false">(((cf_arr*(1+F$66)^I65)*IF(I65&gt;=a_churn_year,1-$B$68,1))*(MIN(a_m0+a_mstep*I65,a_mcap)-a_da)-IF(I65=a_churn_year,a_sticky*((cf_arr*(1+F$66)^I65)-((cf_arr*(1+F$66)^I65)*IF(I65&gt;=a_churn_year,1-$B$68,1)))*(1-MIN(a_m0+a_mstep*I65,a_mcap)),0))-MAX(0,(((cf_arr*(1+F$66)^I65)*IF(I65&gt;=a_churn_year,1-$B$68,1))*(MIN(a_m0+a_mstep*I65,a_mcap)-a_da)-IF(I65=a_churn_year,a_sticky*((cf_arr*(1+F$66)^I65)-((cf_arr*(1+F$66)^I65)*IF(I65&gt;=a_churn_year,1-$B$68,1)))*(1-MIN(a_m0+a_mstep*I65,a_mcap)),0)))*a_tax+((cf_arr*(1+F$66)^I65)*IF(I65&gt;=a_churn_year,1-$B$68,1))*a_da-((cf_arr*(1+F$66)^I65)*IF(I65&gt;=a_churn_year,1-$B$68,1))*a_capex-a_wc*(((cf_arr*(1+F$66)^I65)*IF(I65&gt;=a_churn_year,1-$B$68,1))-(cf_arr*(1+F$66)^H65*IF(H65&gt;=a_churn_year,1-$B$68,1)))</f>
        <v>114.07234839</v>
      </c>
      <c r="J79" s="36" t="n">
        <f aca="false">(((cf_arr*(1+F$66)^J65)*IF(J65&gt;=a_churn_year,1-$B$68,1))*(MIN(a_m0+a_mstep*J65,a_mcap)-a_da)-IF(J65=a_churn_year,a_sticky*((cf_arr*(1+F$66)^J65)-((cf_arr*(1+F$66)^J65)*IF(J65&gt;=a_churn_year,1-$B$68,1)))*(1-MIN(a_m0+a_mstep*J65,a_mcap)),0))-MAX(0,(((cf_arr*(1+F$66)^J65)*IF(J65&gt;=a_churn_year,1-$B$68,1))*(MIN(a_m0+a_mstep*J65,a_mcap)-a_da)-IF(J65=a_churn_year,a_sticky*((cf_arr*(1+F$66)^J65)-((cf_arr*(1+F$66)^J65)*IF(J65&gt;=a_churn_year,1-$B$68,1)))*(1-MIN(a_m0+a_mstep*J65,a_mcap)),0)))*a_tax+((cf_arr*(1+F$66)^J65)*IF(J65&gt;=a_churn_year,1-$B$68,1))*a_da-((cf_arr*(1+F$66)^J65)*IF(J65&gt;=a_churn_year,1-$B$68,1))*a_capex-a_wc*(((cf_arr*(1+F$66)^J65)*IF(J65&gt;=a_churn_year,1-$B$68,1))-(cf_arr*(1+F$66)^I65*IF(I65&gt;=a_churn_year,1-$B$68,1)))</f>
        <v>148.294052907</v>
      </c>
      <c r="K79" s="36" t="n">
        <f aca="false">(((cf_arr*(1+F$66)^K65)*IF(K65&gt;=a_churn_year,1-$B$68,1))*(MIN(a_m0+a_mstep*K65,a_mcap)-a_da)-IF(K65=a_churn_year,a_sticky*((cf_arr*(1+F$66)^K65)-((cf_arr*(1+F$66)^K65)*IF(K65&gt;=a_churn_year,1-$B$68,1)))*(1-MIN(a_m0+a_mstep*K65,a_mcap)),0))-MAX(0,(((cf_arr*(1+F$66)^K65)*IF(K65&gt;=a_churn_year,1-$B$68,1))*(MIN(a_m0+a_mstep*K65,a_mcap)-a_da)-IF(K65=a_churn_year,a_sticky*((cf_arr*(1+F$66)^K65)-((cf_arr*(1+F$66)^K65)*IF(K65&gt;=a_churn_year,1-$B$68,1)))*(1-MIN(a_m0+a_mstep*K65,a_mcap)),0)))*a_tax+((cf_arr*(1+F$66)^K65)*IF(K65&gt;=a_churn_year,1-$B$68,1))*a_da-((cf_arr*(1+F$66)^K65)*IF(K65&gt;=a_churn_year,1-$B$68,1))*a_capex-a_wc*(((cf_arr*(1+F$66)^K65)*IF(K65&gt;=a_churn_year,1-$B$68,1))-(cf_arr*(1+F$66)^J65*IF(J65&gt;=a_churn_year,1-$B$68,1)))</f>
        <v>192.7822687791</v>
      </c>
      <c r="L79" s="36" t="n">
        <f aca="false">(((cf_arr*(1+F$66)^L65)*IF(L65&gt;=a_churn_year,1-$B$68,1))*(MIN(a_m0+a_mstep*L65,a_mcap)-a_da)-IF(L65=a_churn_year,a_sticky*((cf_arr*(1+F$66)^L65)-((cf_arr*(1+F$66)^L65)*IF(L65&gt;=a_churn_year,1-$B$68,1)))*(1-MIN(a_m0+a_mstep*L65,a_mcap)),0))-MAX(0,(((cf_arr*(1+F$66)^L65)*IF(L65&gt;=a_churn_year,1-$B$68,1))*(MIN(a_m0+a_mstep*L65,a_mcap)-a_da)-IF(L65=a_churn_year,a_sticky*((cf_arr*(1+F$66)^L65)-((cf_arr*(1+F$66)^L65)*IF(L65&gt;=a_churn_year,1-$B$68,1)))*(1-MIN(a_m0+a_mstep*L65,a_mcap)),0)))*a_tax+((cf_arr*(1+F$66)^L65)*IF(L65&gt;=a_churn_year,1-$B$68,1))*a_da-((cf_arr*(1+F$66)^L65)*IF(L65&gt;=a_churn_year,1-$B$68,1))*a_capex-a_wc*(((cf_arr*(1+F$66)^L65)*IF(L65&gt;=a_churn_year,1-$B$68,1))-(cf_arr*(1+F$66)^K65*IF(K65&gt;=a_churn_year,1-$B$68,1)))</f>
        <v>250.61694941283</v>
      </c>
      <c r="M79" s="36" t="n">
        <f aca="false">(((cf_arr*(1+F$66)^M65)*IF(M65&gt;=a_churn_year,1-$B$68,1))*(MIN(a_m0+a_mstep*M65,a_mcap)-a_da)-IF(M65=a_churn_year,a_sticky*((cf_arr*(1+F$66)^M65)-((cf_arr*(1+F$66)^M65)*IF(M65&gt;=a_churn_year,1-$B$68,1)))*(1-MIN(a_m0+a_mstep*M65,a_mcap)),0))-MAX(0,(((cf_arr*(1+F$66)^M65)*IF(M65&gt;=a_churn_year,1-$B$68,1))*(MIN(a_m0+a_mstep*M65,a_mcap)-a_da)-IF(M65=a_churn_year,a_sticky*((cf_arr*(1+F$66)^M65)-((cf_arr*(1+F$66)^M65)*IF(M65&gt;=a_churn_year,1-$B$68,1)))*(1-MIN(a_m0+a_mstep*M65,a_mcap)),0)))*a_tax+((cf_arr*(1+F$66)^M65)*IF(M65&gt;=a_churn_year,1-$B$68,1))*a_da-((cf_arr*(1+F$66)^M65)*IF(M65&gt;=a_churn_year,1-$B$68,1))*a_capex-a_wc*(((cf_arr*(1+F$66)^M65)*IF(M65&gt;=a_churn_year,1-$B$68,1))-(cf_arr*(1+F$66)^L65*IF(L65&gt;=a_churn_year,1-$B$68,1)))</f>
        <v>325.802034236679</v>
      </c>
    </row>
    <row r="80" customFormat="false" ht="15" hidden="false" customHeight="false" outlineLevel="0" collapsed="false">
      <c r="A80" s="9" t="s">
        <v>366</v>
      </c>
      <c r="C80" s="36" t="n">
        <f aca="false">0</f>
        <v>0</v>
      </c>
      <c r="D80" s="36" t="n">
        <f aca="false">(((cf_arr*(1+G$66)^D65)*IF(D65&gt;=a_churn_year,1-$B$68,1))*(MIN(a_m0+a_mstep*D65,a_mcap)-a_da)-IF(D65=a_churn_year,a_sticky*((cf_arr*(1+G$66)^D65)-((cf_arr*(1+G$66)^D65)*IF(D65&gt;=a_churn_year,1-$B$68,1)))*(1-MIN(a_m0+a_mstep*D65,a_mcap)),0))-MAX(0,(((cf_arr*(1+G$66)^D65)*IF(D65&gt;=a_churn_year,1-$B$68,1))*(MIN(a_m0+a_mstep*D65,a_mcap)-a_da)-IF(D65=a_churn_year,a_sticky*((cf_arr*(1+G$66)^D65)-((cf_arr*(1+G$66)^D65)*IF(D65&gt;=a_churn_year,1-$B$68,1)))*(1-MIN(a_m0+a_mstep*D65,a_mcap)),0)))*a_tax+((cf_arr*(1+G$66)^D65)*IF(D65&gt;=a_churn_year,1-$B$68,1))*a_da-((cf_arr*(1+G$66)^D65)*IF(D65&gt;=a_churn_year,1-$B$68,1))*a_capex-a_wc*(((cf_arr*(1+G$66)^D65)*IF(D65&gt;=a_churn_year,1-$B$68,1))-(cf_arr*(1+G$66)^C65*IF(C65&gt;=a_churn_year,1-$B$68,1)))</f>
        <v>-39.358</v>
      </c>
      <c r="E80" s="36" t="n">
        <f aca="false">(((cf_arr*(1+G$66)^E65)*IF(E65&gt;=a_churn_year,1-$B$68,1))*(MIN(a_m0+a_mstep*E65,a_mcap)-a_da)-IF(E65=a_churn_year,a_sticky*((cf_arr*(1+G$66)^E65)-((cf_arr*(1+G$66)^E65)*IF(E65&gt;=a_churn_year,1-$B$68,1)))*(1-MIN(a_m0+a_mstep*E65,a_mcap)),0))-MAX(0,(((cf_arr*(1+G$66)^E65)*IF(E65&gt;=a_churn_year,1-$B$68,1))*(MIN(a_m0+a_mstep*E65,a_mcap)-a_da)-IF(E65=a_churn_year,a_sticky*((cf_arr*(1+G$66)^E65)-((cf_arr*(1+G$66)^E65)*IF(E65&gt;=a_churn_year,1-$B$68,1)))*(1-MIN(a_m0+a_mstep*E65,a_mcap)),0)))*a_tax+((cf_arr*(1+G$66)^E65)*IF(E65&gt;=a_churn_year,1-$B$68,1))*a_da-((cf_arr*(1+G$66)^E65)*IF(E65&gt;=a_churn_year,1-$B$68,1))*a_capex-a_wc*(((cf_arr*(1+G$66)^E65)*IF(E65&gt;=a_churn_year,1-$B$68,1))-(cf_arr*(1+G$66)^D65*IF(D65&gt;=a_churn_year,1-$B$68,1)))</f>
        <v>11.5346</v>
      </c>
      <c r="F80" s="36" t="n">
        <f aca="false">(((cf_arr*(1+G$66)^F65)*IF(F65&gt;=a_churn_year,1-$B$68,1))*(MIN(a_m0+a_mstep*F65,a_mcap)-a_da)-IF(F65=a_churn_year,a_sticky*((cf_arr*(1+G$66)^F65)-((cf_arr*(1+G$66)^F65)*IF(F65&gt;=a_churn_year,1-$B$68,1)))*(1-MIN(a_m0+a_mstep*F65,a_mcap)),0))-MAX(0,(((cf_arr*(1+G$66)^F65)*IF(F65&gt;=a_churn_year,1-$B$68,1))*(MIN(a_m0+a_mstep*F65,a_mcap)-a_da)-IF(F65=a_churn_year,a_sticky*((cf_arr*(1+G$66)^F65)-((cf_arr*(1+G$66)^F65)*IF(F65&gt;=a_churn_year,1-$B$68,1)))*(1-MIN(a_m0+a_mstep*F65,a_mcap)),0)))*a_tax+((cf_arr*(1+G$66)^F65)*IF(F65&gt;=a_churn_year,1-$B$68,1))*a_da-((cf_arr*(1+G$66)^F65)*IF(F65&gt;=a_churn_year,1-$B$68,1))*a_capex-a_wc*(((cf_arr*(1+G$66)^F65)*IF(F65&gt;=a_churn_year,1-$B$68,1))-(cf_arr*(1+G$66)^E65*IF(E65&gt;=a_churn_year,1-$B$68,1)))</f>
        <v>31.99504</v>
      </c>
      <c r="G80" s="36" t="n">
        <f aca="false">(((cf_arr*(1+G$66)^G65)*IF(G65&gt;=a_churn_year,1-$B$68,1))*(MIN(a_m0+a_mstep*G65,a_mcap)-a_da)-IF(G65=a_churn_year,a_sticky*((cf_arr*(1+G$66)^G65)-((cf_arr*(1+G$66)^G65)*IF(G65&gt;=a_churn_year,1-$B$68,1)))*(1-MIN(a_m0+a_mstep*G65,a_mcap)),0))-MAX(0,(((cf_arr*(1+G$66)^G65)*IF(G65&gt;=a_churn_year,1-$B$68,1))*(MIN(a_m0+a_mstep*G65,a_mcap)-a_da)-IF(G65=a_churn_year,a_sticky*((cf_arr*(1+G$66)^G65)-((cf_arr*(1+G$66)^G65)*IF(G65&gt;=a_churn_year,1-$B$68,1)))*(1-MIN(a_m0+a_mstep*G65,a_mcap)),0)))*a_tax+((cf_arr*(1+G$66)^G65)*IF(G65&gt;=a_churn_year,1-$B$68,1))*a_da-((cf_arr*(1+G$66)^G65)*IF(G65&gt;=a_churn_year,1-$B$68,1))*a_capex-a_wc*(((cf_arr*(1+G$66)^G65)*IF(G65&gt;=a_churn_year,1-$B$68,1))-(cf_arr*(1+G$66)^F65*IF(F65&gt;=a_churn_year,1-$B$68,1)))</f>
        <v>66.978296</v>
      </c>
      <c r="H80" s="36" t="n">
        <f aca="false">(((cf_arr*(1+G$66)^H65)*IF(H65&gt;=a_churn_year,1-$B$68,1))*(MIN(a_m0+a_mstep*H65,a_mcap)-a_da)-IF(H65=a_churn_year,a_sticky*((cf_arr*(1+G$66)^H65)-((cf_arr*(1+G$66)^H65)*IF(H65&gt;=a_churn_year,1-$B$68,1)))*(1-MIN(a_m0+a_mstep*H65,a_mcap)),0))-MAX(0,(((cf_arr*(1+G$66)^H65)*IF(H65&gt;=a_churn_year,1-$B$68,1))*(MIN(a_m0+a_mstep*H65,a_mcap)-a_da)-IF(H65=a_churn_year,a_sticky*((cf_arr*(1+G$66)^H65)-((cf_arr*(1+G$66)^H65)*IF(H65&gt;=a_churn_year,1-$B$68,1)))*(1-MIN(a_m0+a_mstep*H65,a_mcap)),0)))*a_tax+((cf_arr*(1+G$66)^H65)*IF(H65&gt;=a_churn_year,1-$B$68,1))*a_da-((cf_arr*(1+G$66)^H65)*IF(H65&gt;=a_churn_year,1-$B$68,1))*a_capex-a_wc*(((cf_arr*(1+G$66)^H65)*IF(H65&gt;=a_churn_year,1-$B$68,1))-(cf_arr*(1+G$66)^G65*IF(G65&gt;=a_churn_year,1-$B$68,1)))</f>
        <v>124.8289504</v>
      </c>
      <c r="I80" s="36" t="n">
        <f aca="false">(((cf_arr*(1+G$66)^I65)*IF(I65&gt;=a_churn_year,1-$B$68,1))*(MIN(a_m0+a_mstep*I65,a_mcap)-a_da)-IF(I65=a_churn_year,a_sticky*((cf_arr*(1+G$66)^I65)-((cf_arr*(1+G$66)^I65)*IF(I65&gt;=a_churn_year,1-$B$68,1)))*(1-MIN(a_m0+a_mstep*I65,a_mcap)),0))-MAX(0,(((cf_arr*(1+G$66)^I65)*IF(I65&gt;=a_churn_year,1-$B$68,1))*(MIN(a_m0+a_mstep*I65,a_mcap)-a_da)-IF(I65=a_churn_year,a_sticky*((cf_arr*(1+G$66)^I65)-((cf_arr*(1+G$66)^I65)*IF(I65&gt;=a_churn_year,1-$B$68,1)))*(1-MIN(a_m0+a_mstep*I65,a_mcap)),0)))*a_tax+((cf_arr*(1+G$66)^I65)*IF(I65&gt;=a_churn_year,1-$B$68,1))*a_da-((cf_arr*(1+G$66)^I65)*IF(I65&gt;=a_churn_year,1-$B$68,1))*a_capex-a_wc*(((cf_arr*(1+G$66)^I65)*IF(I65&gt;=a_churn_year,1-$B$68,1))-(cf_arr*(1+G$66)^H65*IF(H65&gt;=a_churn_year,1-$B$68,1)))</f>
        <v>174.76053056</v>
      </c>
      <c r="J80" s="36" t="n">
        <f aca="false">(((cf_arr*(1+G$66)^J65)*IF(J65&gt;=a_churn_year,1-$B$68,1))*(MIN(a_m0+a_mstep*J65,a_mcap)-a_da)-IF(J65=a_churn_year,a_sticky*((cf_arr*(1+G$66)^J65)-((cf_arr*(1+G$66)^J65)*IF(J65&gt;=a_churn_year,1-$B$68,1)))*(1-MIN(a_m0+a_mstep*J65,a_mcap)),0))-MAX(0,(((cf_arr*(1+G$66)^J65)*IF(J65&gt;=a_churn_year,1-$B$68,1))*(MIN(a_m0+a_mstep*J65,a_mcap)-a_da)-IF(J65=a_churn_year,a_sticky*((cf_arr*(1+G$66)^J65)-((cf_arr*(1+G$66)^J65)*IF(J65&gt;=a_churn_year,1-$B$68,1)))*(1-MIN(a_m0+a_mstep*J65,a_mcap)),0)))*a_tax+((cf_arr*(1+G$66)^J65)*IF(J65&gt;=a_churn_year,1-$B$68,1))*a_da-((cf_arr*(1+G$66)^J65)*IF(J65&gt;=a_churn_year,1-$B$68,1))*a_capex-a_wc*(((cf_arr*(1+G$66)^J65)*IF(J65&gt;=a_churn_year,1-$B$68,1))-(cf_arr*(1+G$66)^I65*IF(I65&gt;=a_churn_year,1-$B$68,1)))</f>
        <v>244.664742784</v>
      </c>
      <c r="K80" s="36" t="n">
        <f aca="false">(((cf_arr*(1+G$66)^K65)*IF(K65&gt;=a_churn_year,1-$B$68,1))*(MIN(a_m0+a_mstep*K65,a_mcap)-a_da)-IF(K65=a_churn_year,a_sticky*((cf_arr*(1+G$66)^K65)-((cf_arr*(1+G$66)^K65)*IF(K65&gt;=a_churn_year,1-$B$68,1)))*(1-MIN(a_m0+a_mstep*K65,a_mcap)),0))-MAX(0,(((cf_arr*(1+G$66)^K65)*IF(K65&gt;=a_churn_year,1-$B$68,1))*(MIN(a_m0+a_mstep*K65,a_mcap)-a_da)-IF(K65=a_churn_year,a_sticky*((cf_arr*(1+G$66)^K65)-((cf_arr*(1+G$66)^K65)*IF(K65&gt;=a_churn_year,1-$B$68,1)))*(1-MIN(a_m0+a_mstep*K65,a_mcap)),0)))*a_tax+((cf_arr*(1+G$66)^K65)*IF(K65&gt;=a_churn_year,1-$B$68,1))*a_da-((cf_arr*(1+G$66)^K65)*IF(K65&gt;=a_churn_year,1-$B$68,1))*a_capex-a_wc*(((cf_arr*(1+G$66)^K65)*IF(K65&gt;=a_churn_year,1-$B$68,1))-(cf_arr*(1+G$66)^J65*IF(J65&gt;=a_churn_year,1-$B$68,1)))</f>
        <v>342.5306398976</v>
      </c>
      <c r="L80" s="36" t="n">
        <f aca="false">(((cf_arr*(1+G$66)^L65)*IF(L65&gt;=a_churn_year,1-$B$68,1))*(MIN(a_m0+a_mstep*L65,a_mcap)-a_da)-IF(L65=a_churn_year,a_sticky*((cf_arr*(1+G$66)^L65)-((cf_arr*(1+G$66)^L65)*IF(L65&gt;=a_churn_year,1-$B$68,1)))*(1-MIN(a_m0+a_mstep*L65,a_mcap)),0))-MAX(0,(((cf_arr*(1+G$66)^L65)*IF(L65&gt;=a_churn_year,1-$B$68,1))*(MIN(a_m0+a_mstep*L65,a_mcap)-a_da)-IF(L65=a_churn_year,a_sticky*((cf_arr*(1+G$66)^L65)-((cf_arr*(1+G$66)^L65)*IF(L65&gt;=a_churn_year,1-$B$68,1)))*(1-MIN(a_m0+a_mstep*L65,a_mcap)),0)))*a_tax+((cf_arr*(1+G$66)^L65)*IF(L65&gt;=a_churn_year,1-$B$68,1))*a_da-((cf_arr*(1+G$66)^L65)*IF(L65&gt;=a_churn_year,1-$B$68,1))*a_capex-a_wc*(((cf_arr*(1+G$66)^L65)*IF(L65&gt;=a_churn_year,1-$B$68,1))-(cf_arr*(1+G$66)^K65*IF(K65&gt;=a_churn_year,1-$B$68,1)))</f>
        <v>479.54289585664</v>
      </c>
      <c r="M80" s="36" t="n">
        <f aca="false">(((cf_arr*(1+G$66)^M65)*IF(M65&gt;=a_churn_year,1-$B$68,1))*(MIN(a_m0+a_mstep*M65,a_mcap)-a_da)-IF(M65=a_churn_year,a_sticky*((cf_arr*(1+G$66)^M65)-((cf_arr*(1+G$66)^M65)*IF(M65&gt;=a_churn_year,1-$B$68,1)))*(1-MIN(a_m0+a_mstep*M65,a_mcap)),0))-MAX(0,(((cf_arr*(1+G$66)^M65)*IF(M65&gt;=a_churn_year,1-$B$68,1))*(MIN(a_m0+a_mstep*M65,a_mcap)-a_da)-IF(M65=a_churn_year,a_sticky*((cf_arr*(1+G$66)^M65)-((cf_arr*(1+G$66)^M65)*IF(M65&gt;=a_churn_year,1-$B$68,1)))*(1-MIN(a_m0+a_mstep*M65,a_mcap)),0)))*a_tax+((cf_arr*(1+G$66)^M65)*IF(M65&gt;=a_churn_year,1-$B$68,1))*a_da-((cf_arr*(1+G$66)^M65)*IF(M65&gt;=a_churn_year,1-$B$68,1))*a_capex-a_wc*(((cf_arr*(1+G$66)^M65)*IF(M65&gt;=a_churn_year,1-$B$68,1))-(cf_arr*(1+G$66)^L65*IF(L65&gt;=a_churn_year,1-$B$68,1)))</f>
        <v>671.360054199296</v>
      </c>
    </row>
    <row r="81" customFormat="false" ht="15" hidden="false" customHeight="false" outlineLevel="0" collapsed="false">
      <c r="A81" s="9" t="s">
        <v>367</v>
      </c>
      <c r="C81" s="36" t="n">
        <f aca="false">0</f>
        <v>0</v>
      </c>
      <c r="D81" s="36" t="n">
        <f aca="false">(((cf_arr*(1+D$66)^D65)*IF(D65&gt;=a_churn_year,1-$B$69,1))*(MIN(a_m0+a_mstep*D65,a_mcap)-a_da)-IF(D65=a_churn_year,a_sticky*((cf_arr*(1+D$66)^D65)-((cf_arr*(1+D$66)^D65)*IF(D65&gt;=a_churn_year,1-$B$69,1)))*(1-MIN(a_m0+a_mstep*D65,a_mcap)),0))-MAX(0,(((cf_arr*(1+D$66)^D65)*IF(D65&gt;=a_churn_year,1-$B$69,1))*(MIN(a_m0+a_mstep*D65,a_mcap)-a_da)-IF(D65=a_churn_year,a_sticky*((cf_arr*(1+D$66)^D65)-((cf_arr*(1+D$66)^D65)*IF(D65&gt;=a_churn_year,1-$B$69,1)))*(1-MIN(a_m0+a_mstep*D65,a_mcap)),0)))*a_tax+((cf_arr*(1+D$66)^D65)*IF(D65&gt;=a_churn_year,1-$B$69,1))*a_da-((cf_arr*(1+D$66)^D65)*IF(D65&gt;=a_churn_year,1-$B$69,1))*a_capex-a_wc*(((cf_arr*(1+D$66)^D65)*IF(D65&gt;=a_churn_year,1-$B$69,1))-(cf_arr*(1+D$66)^C65*IF(C65&gt;=a_churn_year,1-$B$69,1)))</f>
        <v>-36.64375</v>
      </c>
      <c r="E81" s="36" t="n">
        <f aca="false">(((cf_arr*(1+D$66)^E65)*IF(E65&gt;=a_churn_year,1-$B$69,1))*(MIN(a_m0+a_mstep*E65,a_mcap)-a_da)-IF(E65=a_churn_year,a_sticky*((cf_arr*(1+D$66)^E65)-((cf_arr*(1+D$66)^E65)*IF(E65&gt;=a_churn_year,1-$B$69,1)))*(1-MIN(a_m0+a_mstep*E65,a_mcap)),0))-MAX(0,(((cf_arr*(1+D$66)^E65)*IF(E65&gt;=a_churn_year,1-$B$69,1))*(MIN(a_m0+a_mstep*E65,a_mcap)-a_da)-IF(E65=a_churn_year,a_sticky*((cf_arr*(1+D$66)^E65)-((cf_arr*(1+D$66)^E65)*IF(E65&gt;=a_churn_year,1-$B$69,1)))*(1-MIN(a_m0+a_mstep*E65,a_mcap)),0)))*a_tax+((cf_arr*(1+D$66)^E65)*IF(E65&gt;=a_churn_year,1-$B$69,1))*a_da-((cf_arr*(1+D$66)^E65)*IF(E65&gt;=a_churn_year,1-$B$69,1))*a_capex-a_wc*(((cf_arr*(1+D$66)^E65)*IF(E65&gt;=a_churn_year,1-$B$69,1))-(cf_arr*(1+D$66)^D65*IF(D65&gt;=a_churn_year,1-$B$69,1)))</f>
        <v>7.9784375</v>
      </c>
      <c r="F81" s="36" t="n">
        <f aca="false">(((cf_arr*(1+D$66)^F65)*IF(F65&gt;=a_churn_year,1-$B$69,1))*(MIN(a_m0+a_mstep*F65,a_mcap)-a_da)-IF(F65=a_churn_year,a_sticky*((cf_arr*(1+D$66)^F65)-((cf_arr*(1+D$66)^F65)*IF(F65&gt;=a_churn_year,1-$B$69,1)))*(1-MIN(a_m0+a_mstep*F65,a_mcap)),0))-MAX(0,(((cf_arr*(1+D$66)^F65)*IF(F65&gt;=a_churn_year,1-$B$69,1))*(MIN(a_m0+a_mstep*F65,a_mcap)-a_da)-IF(F65=a_churn_year,a_sticky*((cf_arr*(1+D$66)^F65)-((cf_arr*(1+D$66)^F65)*IF(F65&gt;=a_churn_year,1-$B$69,1)))*(1-MIN(a_m0+a_mstep*F65,a_mcap)),0)))*a_tax+((cf_arr*(1+D$66)^F65)*IF(F65&gt;=a_churn_year,1-$B$69,1))*a_da-((cf_arr*(1+D$66)^F65)*IF(F65&gt;=a_churn_year,1-$B$69,1))*a_capex-a_wc*(((cf_arr*(1+D$66)^F65)*IF(F65&gt;=a_churn_year,1-$B$69,1))-(cf_arr*(1+D$66)^E65*IF(E65&gt;=a_churn_year,1-$B$69,1)))</f>
        <v>15.63925</v>
      </c>
      <c r="G81" s="36" t="n">
        <f aca="false">(((cf_arr*(1+D$66)^G65)*IF(G65&gt;=a_churn_year,1-$B$69,1))*(MIN(a_m0+a_mstep*G65,a_mcap)-a_da)-IF(G65=a_churn_year,a_sticky*((cf_arr*(1+D$66)^G65)-((cf_arr*(1+D$66)^G65)*IF(G65&gt;=a_churn_year,1-$B$69,1)))*(1-MIN(a_m0+a_mstep*G65,a_mcap)),0))-MAX(0,(((cf_arr*(1+D$66)^G65)*IF(G65&gt;=a_churn_year,1-$B$69,1))*(MIN(a_m0+a_mstep*G65,a_mcap)-a_da)-IF(G65=a_churn_year,a_sticky*((cf_arr*(1+D$66)^G65)-((cf_arr*(1+D$66)^G65)*IF(G65&gt;=a_churn_year,1-$B$69,1)))*(1-MIN(a_m0+a_mstep*G65,a_mcap)),0)))*a_tax+((cf_arr*(1+D$66)^G65)*IF(G65&gt;=a_churn_year,1-$B$69,1))*a_da-((cf_arr*(1+D$66)^G65)*IF(G65&gt;=a_churn_year,1-$B$69,1))*a_capex-a_wc*(((cf_arr*(1+D$66)^G65)*IF(G65&gt;=a_churn_year,1-$B$69,1))-(cf_arr*(1+D$66)^F65*IF(F65&gt;=a_churn_year,1-$B$69,1)))</f>
        <v>24.752440625</v>
      </c>
      <c r="H81" s="36" t="n">
        <f aca="false">(((cf_arr*(1+D$66)^H65)*IF(H65&gt;=a_churn_year,1-$B$69,1))*(MIN(a_m0+a_mstep*H65,a_mcap)-a_da)-IF(H65=a_churn_year,a_sticky*((cf_arr*(1+D$66)^H65)-((cf_arr*(1+D$66)^H65)*IF(H65&gt;=a_churn_year,1-$B$69,1)))*(1-MIN(a_m0+a_mstep*H65,a_mcap)),0))-MAX(0,(((cf_arr*(1+D$66)^H65)*IF(H65&gt;=a_churn_year,1-$B$69,1))*(MIN(a_m0+a_mstep*H65,a_mcap)-a_da)-IF(H65=a_churn_year,a_sticky*((cf_arr*(1+D$66)^H65)-((cf_arr*(1+D$66)^H65)*IF(H65&gt;=a_churn_year,1-$B$69,1)))*(1-MIN(a_m0+a_mstep*H65,a_mcap)),0)))*a_tax+((cf_arr*(1+D$66)^H65)*IF(H65&gt;=a_churn_year,1-$B$69,1))*a_da-((cf_arr*(1+D$66)^H65)*IF(H65&gt;=a_churn_year,1-$B$69,1))*a_capex-a_wc*(((cf_arr*(1+D$66)^H65)*IF(H65&gt;=a_churn_year,1-$B$69,1))-(cf_arr*(1+D$66)^G65*IF(G65&gt;=a_churn_year,1-$B$69,1)))</f>
        <v>35.531876875</v>
      </c>
      <c r="I81" s="36" t="n">
        <f aca="false">(((cf_arr*(1+D$66)^I65)*IF(I65&gt;=a_churn_year,1-$B$69,1))*(MIN(a_m0+a_mstep*I65,a_mcap)-a_da)-IF(I65=a_churn_year,a_sticky*((cf_arr*(1+D$66)^I65)-((cf_arr*(1+D$66)^I65)*IF(I65&gt;=a_churn_year,1-$B$69,1)))*(1-MIN(a_m0+a_mstep*I65,a_mcap)),0))-MAX(0,(((cf_arr*(1+D$66)^I65)*IF(I65&gt;=a_churn_year,1-$B$69,1))*(MIN(a_m0+a_mstep*I65,a_mcap)-a_da)-IF(I65=a_churn_year,a_sticky*((cf_arr*(1+D$66)^I65)-((cf_arr*(1+D$66)^I65)*IF(I65&gt;=a_churn_year,1-$B$69,1)))*(1-MIN(a_m0+a_mstep*I65,a_mcap)),0)))*a_tax+((cf_arr*(1+D$66)^I65)*IF(I65&gt;=a_churn_year,1-$B$69,1))*a_da-((cf_arr*(1+D$66)^I65)*IF(I65&gt;=a_churn_year,1-$B$69,1))*a_capex-a_wc*(((cf_arr*(1+D$66)^I65)*IF(I65&gt;=a_churn_year,1-$B$69,1))-(cf_arr*(1+D$66)^H65*IF(H65&gt;=a_churn_year,1-$B$69,1)))</f>
        <v>39.0850645625</v>
      </c>
      <c r="J81" s="36" t="n">
        <f aca="false">(((cf_arr*(1+D$66)^J65)*IF(J65&gt;=a_churn_year,1-$B$69,1))*(MIN(a_m0+a_mstep*J65,a_mcap)-a_da)-IF(J65=a_churn_year,a_sticky*((cf_arr*(1+D$66)^J65)-((cf_arr*(1+D$66)^J65)*IF(J65&gt;=a_churn_year,1-$B$69,1)))*(1-MIN(a_m0+a_mstep*J65,a_mcap)),0))-MAX(0,(((cf_arr*(1+D$66)^J65)*IF(J65&gt;=a_churn_year,1-$B$69,1))*(MIN(a_m0+a_mstep*J65,a_mcap)-a_da)-IF(J65=a_churn_year,a_sticky*((cf_arr*(1+D$66)^J65)-((cf_arr*(1+D$66)^J65)*IF(J65&gt;=a_churn_year,1-$B$69,1)))*(1-MIN(a_m0+a_mstep*J65,a_mcap)),0)))*a_tax+((cf_arr*(1+D$66)^J65)*IF(J65&gt;=a_churn_year,1-$B$69,1))*a_da-((cf_arr*(1+D$66)^J65)*IF(J65&gt;=a_churn_year,1-$B$69,1))*a_capex-a_wc*(((cf_arr*(1+D$66)^J65)*IF(J65&gt;=a_churn_year,1-$B$69,1))-(cf_arr*(1+D$66)^I65*IF(I65&gt;=a_churn_year,1-$B$69,1)))</f>
        <v>42.99357101875</v>
      </c>
      <c r="K81" s="36" t="n">
        <f aca="false">(((cf_arr*(1+D$66)^K65)*IF(K65&gt;=a_churn_year,1-$B$69,1))*(MIN(a_m0+a_mstep*K65,a_mcap)-a_da)-IF(K65=a_churn_year,a_sticky*((cf_arr*(1+D$66)^K65)-((cf_arr*(1+D$66)^K65)*IF(K65&gt;=a_churn_year,1-$B$69,1)))*(1-MIN(a_m0+a_mstep*K65,a_mcap)),0))-MAX(0,(((cf_arr*(1+D$66)^K65)*IF(K65&gt;=a_churn_year,1-$B$69,1))*(MIN(a_m0+a_mstep*K65,a_mcap)-a_da)-IF(K65=a_churn_year,a_sticky*((cf_arr*(1+D$66)^K65)-((cf_arr*(1+D$66)^K65)*IF(K65&gt;=a_churn_year,1-$B$69,1)))*(1-MIN(a_m0+a_mstep*K65,a_mcap)),0)))*a_tax+((cf_arr*(1+D$66)^K65)*IF(K65&gt;=a_churn_year,1-$B$69,1))*a_da-((cf_arr*(1+D$66)^K65)*IF(K65&gt;=a_churn_year,1-$B$69,1))*a_capex-a_wc*(((cf_arr*(1+D$66)^K65)*IF(K65&gt;=a_churn_year,1-$B$69,1))-(cf_arr*(1+D$66)^J65*IF(J65&gt;=a_churn_year,1-$B$69,1)))</f>
        <v>47.292928120625</v>
      </c>
      <c r="L81" s="36" t="n">
        <f aca="false">(((cf_arr*(1+D$66)^L65)*IF(L65&gt;=a_churn_year,1-$B$69,1))*(MIN(a_m0+a_mstep*L65,a_mcap)-a_da)-IF(L65=a_churn_year,a_sticky*((cf_arr*(1+D$66)^L65)-((cf_arr*(1+D$66)^L65)*IF(L65&gt;=a_churn_year,1-$B$69,1)))*(1-MIN(a_m0+a_mstep*L65,a_mcap)),0))-MAX(0,(((cf_arr*(1+D$66)^L65)*IF(L65&gt;=a_churn_year,1-$B$69,1))*(MIN(a_m0+a_mstep*L65,a_mcap)-a_da)-IF(L65=a_churn_year,a_sticky*((cf_arr*(1+D$66)^L65)-((cf_arr*(1+D$66)^L65)*IF(L65&gt;=a_churn_year,1-$B$69,1)))*(1-MIN(a_m0+a_mstep*L65,a_mcap)),0)))*a_tax+((cf_arr*(1+D$66)^L65)*IF(L65&gt;=a_churn_year,1-$B$69,1))*a_da-((cf_arr*(1+D$66)^L65)*IF(L65&gt;=a_churn_year,1-$B$69,1))*a_capex-a_wc*(((cf_arr*(1+D$66)^L65)*IF(L65&gt;=a_churn_year,1-$B$69,1))-(cf_arr*(1+D$66)^K65*IF(K65&gt;=a_churn_year,1-$B$69,1)))</f>
        <v>52.0222209326875</v>
      </c>
      <c r="M81" s="36" t="n">
        <f aca="false">(((cf_arr*(1+D$66)^M65)*IF(M65&gt;=a_churn_year,1-$B$69,1))*(MIN(a_m0+a_mstep*M65,a_mcap)-a_da)-IF(M65=a_churn_year,a_sticky*((cf_arr*(1+D$66)^M65)-((cf_arr*(1+D$66)^M65)*IF(M65&gt;=a_churn_year,1-$B$69,1)))*(1-MIN(a_m0+a_mstep*M65,a_mcap)),0))-MAX(0,(((cf_arr*(1+D$66)^M65)*IF(M65&gt;=a_churn_year,1-$B$69,1))*(MIN(a_m0+a_mstep*M65,a_mcap)-a_da)-IF(M65=a_churn_year,a_sticky*((cf_arr*(1+D$66)^M65)-((cf_arr*(1+D$66)^M65)*IF(M65&gt;=a_churn_year,1-$B$69,1)))*(1-MIN(a_m0+a_mstep*M65,a_mcap)),0)))*a_tax+((cf_arr*(1+D$66)^M65)*IF(M65&gt;=a_churn_year,1-$B$69,1))*a_da-((cf_arr*(1+D$66)^M65)*IF(M65&gt;=a_churn_year,1-$B$69,1))*a_capex-a_wc*(((cf_arr*(1+D$66)^M65)*IF(M65&gt;=a_churn_year,1-$B$69,1))-(cf_arr*(1+D$66)^L65*IF(L65&gt;=a_churn_year,1-$B$69,1)))</f>
        <v>57.2244430259563</v>
      </c>
    </row>
    <row r="82" customFormat="false" ht="15" hidden="false" customHeight="false" outlineLevel="0" collapsed="false">
      <c r="A82" s="9" t="s">
        <v>368</v>
      </c>
      <c r="C82" s="36" t="n">
        <f aca="false">0</f>
        <v>0</v>
      </c>
      <c r="D82" s="36" t="n">
        <f aca="false">(((cf_arr*(1+E$66)^D65)*IF(D65&gt;=a_churn_year,1-$B$69,1))*(MIN(a_m0+a_mstep*D65,a_mcap)-a_da)-IF(D65=a_churn_year,a_sticky*((cf_arr*(1+E$66)^D65)-((cf_arr*(1+E$66)^D65)*IF(D65&gt;=a_churn_year,1-$B$69,1)))*(1-MIN(a_m0+a_mstep*D65,a_mcap)),0))-MAX(0,(((cf_arr*(1+E$66)^D65)*IF(D65&gt;=a_churn_year,1-$B$69,1))*(MIN(a_m0+a_mstep*D65,a_mcap)-a_da)-IF(D65=a_churn_year,a_sticky*((cf_arr*(1+E$66)^D65)-((cf_arr*(1+E$66)^D65)*IF(D65&gt;=a_churn_year,1-$B$69,1)))*(1-MIN(a_m0+a_mstep*D65,a_mcap)),0)))*a_tax+((cf_arr*(1+E$66)^D65)*IF(D65&gt;=a_churn_year,1-$B$69,1))*a_da-((cf_arr*(1+E$66)^D65)*IF(D65&gt;=a_churn_year,1-$B$69,1))*a_capex-a_wc*(((cf_arr*(1+E$66)^D65)*IF(D65&gt;=a_churn_year,1-$B$69,1))-(cf_arr*(1+E$66)^C65*IF(C65&gt;=a_churn_year,1-$B$69,1)))</f>
        <v>-40.975</v>
      </c>
      <c r="E82" s="36" t="n">
        <f aca="false">(((cf_arr*(1+E$66)^E65)*IF(E65&gt;=a_churn_year,1-$B$69,1))*(MIN(a_m0+a_mstep*E65,a_mcap)-a_da)-IF(E65=a_churn_year,a_sticky*((cf_arr*(1+E$66)^E65)-((cf_arr*(1+E$66)^E65)*IF(E65&gt;=a_churn_year,1-$B$69,1)))*(1-MIN(a_m0+a_mstep*E65,a_mcap)),0))-MAX(0,(((cf_arr*(1+E$66)^E65)*IF(E65&gt;=a_churn_year,1-$B$69,1))*(MIN(a_m0+a_mstep*E65,a_mcap)-a_da)-IF(E65=a_churn_year,a_sticky*((cf_arr*(1+E$66)^E65)-((cf_arr*(1+E$66)^E65)*IF(E65&gt;=a_churn_year,1-$B$69,1)))*(1-MIN(a_m0+a_mstep*E65,a_mcap)),0)))*a_tax+((cf_arr*(1+E$66)^E65)*IF(E65&gt;=a_churn_year,1-$B$69,1))*a_da-((cf_arr*(1+E$66)^E65)*IF(E65&gt;=a_churn_year,1-$B$69,1))*a_capex-a_wc*(((cf_arr*(1+E$66)^E65)*IF(E65&gt;=a_churn_year,1-$B$69,1))-(cf_arr*(1+E$66)^D65*IF(D65&gt;=a_churn_year,1-$B$69,1)))</f>
        <v>8.745</v>
      </c>
      <c r="F82" s="36" t="n">
        <f aca="false">(((cf_arr*(1+E$66)^F65)*IF(F65&gt;=a_churn_year,1-$B$69,1))*(MIN(a_m0+a_mstep*F65,a_mcap)-a_da)-IF(F65=a_churn_year,a_sticky*((cf_arr*(1+E$66)^F65)-((cf_arr*(1+E$66)^F65)*IF(F65&gt;=a_churn_year,1-$B$69,1)))*(1-MIN(a_m0+a_mstep*F65,a_mcap)),0))-MAX(0,(((cf_arr*(1+E$66)^F65)*IF(F65&gt;=a_churn_year,1-$B$69,1))*(MIN(a_m0+a_mstep*F65,a_mcap)-a_da)-IF(F65=a_churn_year,a_sticky*((cf_arr*(1+E$66)^F65)-((cf_arr*(1+E$66)^F65)*IF(F65&gt;=a_churn_year,1-$B$69,1)))*(1-MIN(a_m0+a_mstep*F65,a_mcap)),0)))*a_tax+((cf_arr*(1+E$66)^F65)*IF(F65&gt;=a_churn_year,1-$B$69,1))*a_da-((cf_arr*(1+E$66)^F65)*IF(F65&gt;=a_churn_year,1-$B$69,1))*a_capex-a_wc*(((cf_arr*(1+E$66)^F65)*IF(F65&gt;=a_churn_year,1-$B$69,1))-(cf_arr*(1+E$66)^E65*IF(E65&gt;=a_churn_year,1-$B$69,1)))</f>
        <v>19.404</v>
      </c>
      <c r="G82" s="36" t="n">
        <f aca="false">(((cf_arr*(1+E$66)^G65)*IF(G65&gt;=a_churn_year,1-$B$69,1))*(MIN(a_m0+a_mstep*G65,a_mcap)-a_da)-IF(G65=a_churn_year,a_sticky*((cf_arr*(1+E$66)^G65)-((cf_arr*(1+E$66)^G65)*IF(G65&gt;=a_churn_year,1-$B$69,1)))*(1-MIN(a_m0+a_mstep*G65,a_mcap)),0))-MAX(0,(((cf_arr*(1+E$66)^G65)*IF(G65&gt;=a_churn_year,1-$B$69,1))*(MIN(a_m0+a_mstep*G65,a_mcap)-a_da)-IF(G65=a_churn_year,a_sticky*((cf_arr*(1+E$66)^G65)-((cf_arr*(1+E$66)^G65)*IF(G65&gt;=a_churn_year,1-$B$69,1)))*(1-MIN(a_m0+a_mstep*G65,a_mcap)),0)))*a_tax+((cf_arr*(1+E$66)^G65)*IF(G65&gt;=a_churn_year,1-$B$69,1))*a_da-((cf_arr*(1+E$66)^G65)*IF(G65&gt;=a_churn_year,1-$B$69,1))*a_capex-a_wc*(((cf_arr*(1+E$66)^G65)*IF(G65&gt;=a_churn_year,1-$B$69,1))-(cf_arr*(1+E$66)^F65*IF(F65&gt;=a_churn_year,1-$B$69,1)))</f>
        <v>33.9768</v>
      </c>
      <c r="H82" s="36" t="n">
        <f aca="false">(((cf_arr*(1+E$66)^H65)*IF(H65&gt;=a_churn_year,1-$B$69,1))*(MIN(a_m0+a_mstep*H65,a_mcap)-a_da)-IF(H65=a_churn_year,a_sticky*((cf_arr*(1+E$66)^H65)-((cf_arr*(1+E$66)^H65)*IF(H65&gt;=a_churn_year,1-$B$69,1)))*(1-MIN(a_m0+a_mstep*H65,a_mcap)),0))-MAX(0,(((cf_arr*(1+E$66)^H65)*IF(H65&gt;=a_churn_year,1-$B$69,1))*(MIN(a_m0+a_mstep*H65,a_mcap)-a_da)-IF(H65=a_churn_year,a_sticky*((cf_arr*(1+E$66)^H65)-((cf_arr*(1+E$66)^H65)*IF(H65&gt;=a_churn_year,1-$B$69,1)))*(1-MIN(a_m0+a_mstep*H65,a_mcap)),0)))*a_tax+((cf_arr*(1+E$66)^H65)*IF(H65&gt;=a_churn_year,1-$B$69,1))*a_da-((cf_arr*(1+E$66)^H65)*IF(H65&gt;=a_churn_year,1-$B$69,1))*a_capex-a_wc*(((cf_arr*(1+E$66)^H65)*IF(H65&gt;=a_churn_year,1-$B$69,1))-(cf_arr*(1+E$66)^G65*IF(G65&gt;=a_churn_year,1-$B$69,1)))</f>
        <v>53.60256</v>
      </c>
      <c r="I82" s="36" t="n">
        <f aca="false">(((cf_arr*(1+E$66)^I65)*IF(I65&gt;=a_churn_year,1-$B$69,1))*(MIN(a_m0+a_mstep*I65,a_mcap)-a_da)-IF(I65=a_churn_year,a_sticky*((cf_arr*(1+E$66)^I65)-((cf_arr*(1+E$66)^I65)*IF(I65&gt;=a_churn_year,1-$B$69,1)))*(1-MIN(a_m0+a_mstep*I65,a_mcap)),0))-MAX(0,(((cf_arr*(1+E$66)^I65)*IF(I65&gt;=a_churn_year,1-$B$69,1))*(MIN(a_m0+a_mstep*I65,a_mcap)-a_da)-IF(I65=a_churn_year,a_sticky*((cf_arr*(1+E$66)^I65)-((cf_arr*(1+E$66)^I65)*IF(I65&gt;=a_churn_year,1-$B$69,1)))*(1-MIN(a_m0+a_mstep*I65,a_mcap)),0)))*a_tax+((cf_arr*(1+E$66)^I65)*IF(I65&gt;=a_churn_year,1-$B$69,1))*a_da-((cf_arr*(1+E$66)^I65)*IF(I65&gt;=a_churn_year,1-$B$69,1))*a_capex-a_wc*(((cf_arr*(1+E$66)^I65)*IF(I65&gt;=a_churn_year,1-$B$69,1))-(cf_arr*(1+E$66)^H65*IF(H65&gt;=a_churn_year,1-$B$69,1)))</f>
        <v>64.323072</v>
      </c>
      <c r="J82" s="36" t="n">
        <f aca="false">(((cf_arr*(1+E$66)^J65)*IF(J65&gt;=a_churn_year,1-$B$69,1))*(MIN(a_m0+a_mstep*J65,a_mcap)-a_da)-IF(J65=a_churn_year,a_sticky*((cf_arr*(1+E$66)^J65)-((cf_arr*(1+E$66)^J65)*IF(J65&gt;=a_churn_year,1-$B$69,1)))*(1-MIN(a_m0+a_mstep*J65,a_mcap)),0))-MAX(0,(((cf_arr*(1+E$66)^J65)*IF(J65&gt;=a_churn_year,1-$B$69,1))*(MIN(a_m0+a_mstep*J65,a_mcap)-a_da)-IF(J65=a_churn_year,a_sticky*((cf_arr*(1+E$66)^J65)-((cf_arr*(1+E$66)^J65)*IF(J65&gt;=a_churn_year,1-$B$69,1)))*(1-MIN(a_m0+a_mstep*J65,a_mcap)),0)))*a_tax+((cf_arr*(1+E$66)^J65)*IF(J65&gt;=a_churn_year,1-$B$69,1))*a_da-((cf_arr*(1+E$66)^J65)*IF(J65&gt;=a_churn_year,1-$B$69,1))*a_capex-a_wc*(((cf_arr*(1+E$66)^J65)*IF(J65&gt;=a_churn_year,1-$B$69,1))-(cf_arr*(1+E$66)^I65*IF(I65&gt;=a_churn_year,1-$B$69,1)))</f>
        <v>77.1876864</v>
      </c>
      <c r="K82" s="36" t="n">
        <f aca="false">(((cf_arr*(1+E$66)^K65)*IF(K65&gt;=a_churn_year,1-$B$69,1))*(MIN(a_m0+a_mstep*K65,a_mcap)-a_da)-IF(K65=a_churn_year,a_sticky*((cf_arr*(1+E$66)^K65)-((cf_arr*(1+E$66)^K65)*IF(K65&gt;=a_churn_year,1-$B$69,1)))*(1-MIN(a_m0+a_mstep*K65,a_mcap)),0))-MAX(0,(((cf_arr*(1+E$66)^K65)*IF(K65&gt;=a_churn_year,1-$B$69,1))*(MIN(a_m0+a_mstep*K65,a_mcap)-a_da)-IF(K65=a_churn_year,a_sticky*((cf_arr*(1+E$66)^K65)-((cf_arr*(1+E$66)^K65)*IF(K65&gt;=a_churn_year,1-$B$69,1)))*(1-MIN(a_m0+a_mstep*K65,a_mcap)),0)))*a_tax+((cf_arr*(1+E$66)^K65)*IF(K65&gt;=a_churn_year,1-$B$69,1))*a_da-((cf_arr*(1+E$66)^K65)*IF(K65&gt;=a_churn_year,1-$B$69,1))*a_capex-a_wc*(((cf_arr*(1+E$66)^K65)*IF(K65&gt;=a_churn_year,1-$B$69,1))-(cf_arr*(1+E$66)^J65*IF(J65&gt;=a_churn_year,1-$B$69,1)))</f>
        <v>92.62522368</v>
      </c>
      <c r="L82" s="36" t="n">
        <f aca="false">(((cf_arr*(1+E$66)^L65)*IF(L65&gt;=a_churn_year,1-$B$69,1))*(MIN(a_m0+a_mstep*L65,a_mcap)-a_da)-IF(L65=a_churn_year,a_sticky*((cf_arr*(1+E$66)^L65)-((cf_arr*(1+E$66)^L65)*IF(L65&gt;=a_churn_year,1-$B$69,1)))*(1-MIN(a_m0+a_mstep*L65,a_mcap)),0))-MAX(0,(((cf_arr*(1+E$66)^L65)*IF(L65&gt;=a_churn_year,1-$B$69,1))*(MIN(a_m0+a_mstep*L65,a_mcap)-a_da)-IF(L65=a_churn_year,a_sticky*((cf_arr*(1+E$66)^L65)-((cf_arr*(1+E$66)^L65)*IF(L65&gt;=a_churn_year,1-$B$69,1)))*(1-MIN(a_m0+a_mstep*L65,a_mcap)),0)))*a_tax+((cf_arr*(1+E$66)^L65)*IF(L65&gt;=a_churn_year,1-$B$69,1))*a_da-((cf_arr*(1+E$66)^L65)*IF(L65&gt;=a_churn_year,1-$B$69,1))*a_capex-a_wc*(((cf_arr*(1+E$66)^L65)*IF(L65&gt;=a_churn_year,1-$B$69,1))-(cf_arr*(1+E$66)^K65*IF(K65&gt;=a_churn_year,1-$B$69,1)))</f>
        <v>111.150268416</v>
      </c>
      <c r="M82" s="36" t="n">
        <f aca="false">(((cf_arr*(1+E$66)^M65)*IF(M65&gt;=a_churn_year,1-$B$69,1))*(MIN(a_m0+a_mstep*M65,a_mcap)-a_da)-IF(M65=a_churn_year,a_sticky*((cf_arr*(1+E$66)^M65)-((cf_arr*(1+E$66)^M65)*IF(M65&gt;=a_churn_year,1-$B$69,1)))*(1-MIN(a_m0+a_mstep*M65,a_mcap)),0))-MAX(0,(((cf_arr*(1+E$66)^M65)*IF(M65&gt;=a_churn_year,1-$B$69,1))*(MIN(a_m0+a_mstep*M65,a_mcap)-a_da)-IF(M65=a_churn_year,a_sticky*((cf_arr*(1+E$66)^M65)-((cf_arr*(1+E$66)^M65)*IF(M65&gt;=a_churn_year,1-$B$69,1)))*(1-MIN(a_m0+a_mstep*M65,a_mcap)),0)))*a_tax+((cf_arr*(1+E$66)^M65)*IF(M65&gt;=a_churn_year,1-$B$69,1))*a_da-((cf_arr*(1+E$66)^M65)*IF(M65&gt;=a_churn_year,1-$B$69,1))*a_capex-a_wc*(((cf_arr*(1+E$66)^M65)*IF(M65&gt;=a_churn_year,1-$B$69,1))-(cf_arr*(1+E$66)^L65*IF(L65&gt;=a_churn_year,1-$B$69,1)))</f>
        <v>133.3803220992</v>
      </c>
    </row>
    <row r="83" customFormat="false" ht="15" hidden="false" customHeight="false" outlineLevel="0" collapsed="false">
      <c r="A83" s="9" t="s">
        <v>369</v>
      </c>
      <c r="C83" s="36" t="n">
        <f aca="false">0</f>
        <v>0</v>
      </c>
      <c r="D83" s="36" t="n">
        <f aca="false">(((cf_arr*(1+F$66)^D65)*IF(D65&gt;=a_churn_year,1-$B$69,1))*(MIN(a_m0+a_mstep*D65,a_mcap)-a_da)-IF(D65=a_churn_year,a_sticky*((cf_arr*(1+F$66)^D65)-((cf_arr*(1+F$66)^D65)*IF(D65&gt;=a_churn_year,1-$B$69,1)))*(1-MIN(a_m0+a_mstep*D65,a_mcap)),0))-MAX(0,(((cf_arr*(1+F$66)^D65)*IF(D65&gt;=a_churn_year,1-$B$69,1))*(MIN(a_m0+a_mstep*D65,a_mcap)-a_da)-IF(D65=a_churn_year,a_sticky*((cf_arr*(1+F$66)^D65)-((cf_arr*(1+F$66)^D65)*IF(D65&gt;=a_churn_year,1-$B$69,1)))*(1-MIN(a_m0+a_mstep*D65,a_mcap)),0)))*a_tax+((cf_arr*(1+F$66)^D65)*IF(D65&gt;=a_churn_year,1-$B$69,1))*a_da-((cf_arr*(1+F$66)^D65)*IF(D65&gt;=a_churn_year,1-$B$69,1))*a_capex-a_wc*(((cf_arr*(1+F$66)^D65)*IF(D65&gt;=a_churn_year,1-$B$69,1))-(cf_arr*(1+F$66)^C65*IF(C65&gt;=a_churn_year,1-$B$69,1)))</f>
        <v>-45.30625</v>
      </c>
      <c r="E83" s="36" t="n">
        <f aca="false">(((cf_arr*(1+F$66)^E65)*IF(E65&gt;=a_churn_year,1-$B$69,1))*(MIN(a_m0+a_mstep*E65,a_mcap)-a_da)-IF(E65=a_churn_year,a_sticky*((cf_arr*(1+F$66)^E65)-((cf_arr*(1+F$66)^E65)*IF(E65&gt;=a_churn_year,1-$B$69,1)))*(1-MIN(a_m0+a_mstep*E65,a_mcap)),0))-MAX(0,(((cf_arr*(1+F$66)^E65)*IF(E65&gt;=a_churn_year,1-$B$69,1))*(MIN(a_m0+a_mstep*E65,a_mcap)-a_da)-IF(E65=a_churn_year,a_sticky*((cf_arr*(1+F$66)^E65)-((cf_arr*(1+F$66)^E65)*IF(E65&gt;=a_churn_year,1-$B$69,1)))*(1-MIN(a_m0+a_mstep*E65,a_mcap)),0)))*a_tax+((cf_arr*(1+F$66)^E65)*IF(E65&gt;=a_churn_year,1-$B$69,1))*a_da-((cf_arr*(1+F$66)^E65)*IF(E65&gt;=a_churn_year,1-$B$69,1))*a_capex-a_wc*(((cf_arr*(1+F$66)^E65)*IF(E65&gt;=a_churn_year,1-$B$69,1))-(cf_arr*(1+F$66)^D65*IF(D65&gt;=a_churn_year,1-$B$69,1)))</f>
        <v>9.5184375</v>
      </c>
      <c r="F83" s="36" t="n">
        <f aca="false">(((cf_arr*(1+F$66)^F65)*IF(F65&gt;=a_churn_year,1-$B$69,1))*(MIN(a_m0+a_mstep*F65,a_mcap)-a_da)-IF(F65=a_churn_year,a_sticky*((cf_arr*(1+F$66)^F65)-((cf_arr*(1+F$66)^F65)*IF(F65&gt;=a_churn_year,1-$B$69,1)))*(1-MIN(a_m0+a_mstep*F65,a_mcap)),0))-MAX(0,(((cf_arr*(1+F$66)^F65)*IF(F65&gt;=a_churn_year,1-$B$69,1))*(MIN(a_m0+a_mstep*F65,a_mcap)-a_da)-IF(F65=a_churn_year,a_sticky*((cf_arr*(1+F$66)^F65)-((cf_arr*(1+F$66)^F65)*IF(F65&gt;=a_churn_year,1-$B$69,1)))*(1-MIN(a_m0+a_mstep*F65,a_mcap)),0)))*a_tax+((cf_arr*(1+F$66)^F65)*IF(F65&gt;=a_churn_year,1-$B$69,1))*a_da-((cf_arr*(1+F$66)^F65)*IF(F65&gt;=a_churn_year,1-$B$69,1))*a_capex-a_wc*(((cf_arr*(1+F$66)^F65)*IF(F65&gt;=a_churn_year,1-$B$69,1))-(cf_arr*(1+F$66)^E65*IF(E65&gt;=a_churn_year,1-$B$69,1)))</f>
        <v>23.70225</v>
      </c>
      <c r="G83" s="36" t="n">
        <f aca="false">(((cf_arr*(1+F$66)^G65)*IF(G65&gt;=a_churn_year,1-$B$69,1))*(MIN(a_m0+a_mstep*G65,a_mcap)-a_da)-IF(G65=a_churn_year,a_sticky*((cf_arr*(1+F$66)^G65)-((cf_arr*(1+F$66)^G65)*IF(G65&gt;=a_churn_year,1-$B$69,1)))*(1-MIN(a_m0+a_mstep*G65,a_mcap)),0))-MAX(0,(((cf_arr*(1+F$66)^G65)*IF(G65&gt;=a_churn_year,1-$B$69,1))*(MIN(a_m0+a_mstep*G65,a_mcap)-a_da)-IF(G65=a_churn_year,a_sticky*((cf_arr*(1+F$66)^G65)-((cf_arr*(1+F$66)^G65)*IF(G65&gt;=a_churn_year,1-$B$69,1)))*(1-MIN(a_m0+a_mstep*G65,a_mcap)),0)))*a_tax+((cf_arr*(1+F$66)^G65)*IF(G65&gt;=a_churn_year,1-$B$69,1))*a_da-((cf_arr*(1+F$66)^G65)*IF(G65&gt;=a_churn_year,1-$B$69,1))*a_capex-a_wc*(((cf_arr*(1+F$66)^G65)*IF(G65&gt;=a_churn_year,1-$B$69,1))-(cf_arr*(1+F$66)^F65*IF(F65&gt;=a_churn_year,1-$B$69,1)))</f>
        <v>45.539690625</v>
      </c>
      <c r="H83" s="36" t="n">
        <f aca="false">(((cf_arr*(1+F$66)^H65)*IF(H65&gt;=a_churn_year,1-$B$69,1))*(MIN(a_m0+a_mstep*H65,a_mcap)-a_da)-IF(H65=a_churn_year,a_sticky*((cf_arr*(1+F$66)^H65)-((cf_arr*(1+F$66)^H65)*IF(H65&gt;=a_churn_year,1-$B$69,1)))*(1-MIN(a_m0+a_mstep*H65,a_mcap)),0))-MAX(0,(((cf_arr*(1+F$66)^H65)*IF(H65&gt;=a_churn_year,1-$B$69,1))*(MIN(a_m0+a_mstep*H65,a_mcap)-a_da)-IF(H65=a_churn_year,a_sticky*((cf_arr*(1+F$66)^H65)-((cf_arr*(1+F$66)^H65)*IF(H65&gt;=a_churn_year,1-$B$69,1)))*(1-MIN(a_m0+a_mstep*H65,a_mcap)),0)))*a_tax+((cf_arr*(1+F$66)^H65)*IF(H65&gt;=a_churn_year,1-$B$69,1))*a_da-((cf_arr*(1+F$66)^H65)*IF(H65&gt;=a_churn_year,1-$B$69,1))*a_capex-a_wc*(((cf_arr*(1+F$66)^H65)*IF(H65&gt;=a_churn_year,1-$B$69,1))-(cf_arr*(1+F$66)^G65*IF(G65&gt;=a_churn_year,1-$B$69,1)))</f>
        <v>78.346393125</v>
      </c>
      <c r="I83" s="36" t="n">
        <f aca="false">(((cf_arr*(1+F$66)^I65)*IF(I65&gt;=a_churn_year,1-$B$69,1))*(MIN(a_m0+a_mstep*I65,a_mcap)-a_da)-IF(I65=a_churn_year,a_sticky*((cf_arr*(1+F$66)^I65)-((cf_arr*(1+F$66)^I65)*IF(I65&gt;=a_churn_year,1-$B$69,1)))*(1-MIN(a_m0+a_mstep*I65,a_mcap)),0))-MAX(0,(((cf_arr*(1+F$66)^I65)*IF(I65&gt;=a_churn_year,1-$B$69,1))*(MIN(a_m0+a_mstep*I65,a_mcap)-a_da)-IF(I65=a_churn_year,a_sticky*((cf_arr*(1+F$66)^I65)-((cf_arr*(1+F$66)^I65)*IF(I65&gt;=a_churn_year,1-$B$69,1)))*(1-MIN(a_m0+a_mstep*I65,a_mcap)),0)))*a_tax+((cf_arr*(1+F$66)^I65)*IF(I65&gt;=a_churn_year,1-$B$69,1))*a_da-((cf_arr*(1+F$66)^I65)*IF(I65&gt;=a_churn_year,1-$B$69,1))*a_capex-a_wc*(((cf_arr*(1+F$66)^I65)*IF(I65&gt;=a_churn_year,1-$B$69,1))-(cf_arr*(1+F$66)^H65*IF(H65&gt;=a_churn_year,1-$B$69,1)))</f>
        <v>101.8503110625</v>
      </c>
      <c r="J83" s="36" t="n">
        <f aca="false">(((cf_arr*(1+F$66)^J65)*IF(J65&gt;=a_churn_year,1-$B$69,1))*(MIN(a_m0+a_mstep*J65,a_mcap)-a_da)-IF(J65=a_churn_year,a_sticky*((cf_arr*(1+F$66)^J65)-((cf_arr*(1+F$66)^J65)*IF(J65&gt;=a_churn_year,1-$B$69,1)))*(1-MIN(a_m0+a_mstep*J65,a_mcap)),0))-MAX(0,(((cf_arr*(1+F$66)^J65)*IF(J65&gt;=a_churn_year,1-$B$69,1))*(MIN(a_m0+a_mstep*J65,a_mcap)-a_da)-IF(J65=a_churn_year,a_sticky*((cf_arr*(1+F$66)^J65)-((cf_arr*(1+F$66)^J65)*IF(J65&gt;=a_churn_year,1-$B$69,1)))*(1-MIN(a_m0+a_mstep*J65,a_mcap)),0)))*a_tax+((cf_arr*(1+F$66)^J65)*IF(J65&gt;=a_churn_year,1-$B$69,1))*a_da-((cf_arr*(1+F$66)^J65)*IF(J65&gt;=a_churn_year,1-$B$69,1))*a_capex-a_wc*(((cf_arr*(1+F$66)^J65)*IF(J65&gt;=a_churn_year,1-$B$69,1))-(cf_arr*(1+F$66)^I65*IF(I65&gt;=a_churn_year,1-$B$69,1)))</f>
        <v>132.40540438125</v>
      </c>
      <c r="K83" s="36" t="n">
        <f aca="false">(((cf_arr*(1+F$66)^K65)*IF(K65&gt;=a_churn_year,1-$B$69,1))*(MIN(a_m0+a_mstep*K65,a_mcap)-a_da)-IF(K65=a_churn_year,a_sticky*((cf_arr*(1+F$66)^K65)-((cf_arr*(1+F$66)^K65)*IF(K65&gt;=a_churn_year,1-$B$69,1)))*(1-MIN(a_m0+a_mstep*K65,a_mcap)),0))-MAX(0,(((cf_arr*(1+F$66)^K65)*IF(K65&gt;=a_churn_year,1-$B$69,1))*(MIN(a_m0+a_mstep*K65,a_mcap)-a_da)-IF(K65=a_churn_year,a_sticky*((cf_arr*(1+F$66)^K65)-((cf_arr*(1+F$66)^K65)*IF(K65&gt;=a_churn_year,1-$B$69,1)))*(1-MIN(a_m0+a_mstep*K65,a_mcap)),0)))*a_tax+((cf_arr*(1+F$66)^K65)*IF(K65&gt;=a_churn_year,1-$B$69,1))*a_da-((cf_arr*(1+F$66)^K65)*IF(K65&gt;=a_churn_year,1-$B$69,1))*a_capex-a_wc*(((cf_arr*(1+F$66)^K65)*IF(K65&gt;=a_churn_year,1-$B$69,1))-(cf_arr*(1+F$66)^J65*IF(J65&gt;=a_churn_year,1-$B$69,1)))</f>
        <v>172.127025695625</v>
      </c>
      <c r="L83" s="36" t="n">
        <f aca="false">(((cf_arr*(1+F$66)^L65)*IF(L65&gt;=a_churn_year,1-$B$69,1))*(MIN(a_m0+a_mstep*L65,a_mcap)-a_da)-IF(L65=a_churn_year,a_sticky*((cf_arr*(1+F$66)^L65)-((cf_arr*(1+F$66)^L65)*IF(L65&gt;=a_churn_year,1-$B$69,1)))*(1-MIN(a_m0+a_mstep*L65,a_mcap)),0))-MAX(0,(((cf_arr*(1+F$66)^L65)*IF(L65&gt;=a_churn_year,1-$B$69,1))*(MIN(a_m0+a_mstep*L65,a_mcap)-a_da)-IF(L65=a_churn_year,a_sticky*((cf_arr*(1+F$66)^L65)-((cf_arr*(1+F$66)^L65)*IF(L65&gt;=a_churn_year,1-$B$69,1)))*(1-MIN(a_m0+a_mstep*L65,a_mcap)),0)))*a_tax+((cf_arr*(1+F$66)^L65)*IF(L65&gt;=a_churn_year,1-$B$69,1))*a_da-((cf_arr*(1+F$66)^L65)*IF(L65&gt;=a_churn_year,1-$B$69,1))*a_capex-a_wc*(((cf_arr*(1+F$66)^L65)*IF(L65&gt;=a_churn_year,1-$B$69,1))-(cf_arr*(1+F$66)^K65*IF(K65&gt;=a_churn_year,1-$B$69,1)))</f>
        <v>223.765133404313</v>
      </c>
      <c r="M83" s="36" t="n">
        <f aca="false">(((cf_arr*(1+F$66)^M65)*IF(M65&gt;=a_churn_year,1-$B$69,1))*(MIN(a_m0+a_mstep*M65,a_mcap)-a_da)-IF(M65=a_churn_year,a_sticky*((cf_arr*(1+F$66)^M65)-((cf_arr*(1+F$66)^M65)*IF(M65&gt;=a_churn_year,1-$B$69,1)))*(1-MIN(a_m0+a_mstep*M65,a_mcap)),0))-MAX(0,(((cf_arr*(1+F$66)^M65)*IF(M65&gt;=a_churn_year,1-$B$69,1))*(MIN(a_m0+a_mstep*M65,a_mcap)-a_da)-IF(M65=a_churn_year,a_sticky*((cf_arr*(1+F$66)^M65)-((cf_arr*(1+F$66)^M65)*IF(M65&gt;=a_churn_year,1-$B$69,1)))*(1-MIN(a_m0+a_mstep*M65,a_mcap)),0)))*a_tax+((cf_arr*(1+F$66)^M65)*IF(M65&gt;=a_churn_year,1-$B$69,1))*a_da-((cf_arr*(1+F$66)^M65)*IF(M65&gt;=a_churn_year,1-$B$69,1))*a_capex-a_wc*(((cf_arr*(1+F$66)^M65)*IF(M65&gt;=a_churn_year,1-$B$69,1))-(cf_arr*(1+F$66)^L65*IF(L65&gt;=a_churn_year,1-$B$69,1)))</f>
        <v>290.894673425606</v>
      </c>
    </row>
    <row r="84" customFormat="false" ht="15" hidden="false" customHeight="false" outlineLevel="0" collapsed="false">
      <c r="A84" s="9" t="s">
        <v>370</v>
      </c>
      <c r="C84" s="36" t="n">
        <f aca="false">0</f>
        <v>0</v>
      </c>
      <c r="D84" s="36" t="n">
        <f aca="false">(((cf_arr*(1+G$66)^D65)*IF(D65&gt;=a_churn_year,1-$B$69,1))*(MIN(a_m0+a_mstep*D65,a_mcap)-a_da)-IF(D65=a_churn_year,a_sticky*((cf_arr*(1+G$66)^D65)-((cf_arr*(1+G$66)^D65)*IF(D65&gt;=a_churn_year,1-$B$69,1)))*(1-MIN(a_m0+a_mstep*D65,a_mcap)),0))-MAX(0,(((cf_arr*(1+G$66)^D65)*IF(D65&gt;=a_churn_year,1-$B$69,1))*(MIN(a_m0+a_mstep*D65,a_mcap)-a_da)-IF(D65=a_churn_year,a_sticky*((cf_arr*(1+G$66)^D65)-((cf_arr*(1+G$66)^D65)*IF(D65&gt;=a_churn_year,1-$B$69,1)))*(1-MIN(a_m0+a_mstep*D65,a_mcap)),0)))*a_tax+((cf_arr*(1+G$66)^D65)*IF(D65&gt;=a_churn_year,1-$B$69,1))*a_da-((cf_arr*(1+G$66)^D65)*IF(D65&gt;=a_churn_year,1-$B$69,1))*a_capex-a_wc*(((cf_arr*(1+G$66)^D65)*IF(D65&gt;=a_churn_year,1-$B$69,1))-(cf_arr*(1+G$66)^C65*IF(C65&gt;=a_churn_year,1-$B$69,1)))</f>
        <v>-49.6375</v>
      </c>
      <c r="E84" s="36" t="n">
        <f aca="false">(((cf_arr*(1+G$66)^E65)*IF(E65&gt;=a_churn_year,1-$B$69,1))*(MIN(a_m0+a_mstep*E65,a_mcap)-a_da)-IF(E65=a_churn_year,a_sticky*((cf_arr*(1+G$66)^E65)-((cf_arr*(1+G$66)^E65)*IF(E65&gt;=a_churn_year,1-$B$69,1)))*(1-MIN(a_m0+a_mstep*E65,a_mcap)),0))-MAX(0,(((cf_arr*(1+G$66)^E65)*IF(E65&gt;=a_churn_year,1-$B$69,1))*(MIN(a_m0+a_mstep*E65,a_mcap)-a_da)-IF(E65=a_churn_year,a_sticky*((cf_arr*(1+G$66)^E65)-((cf_arr*(1+G$66)^E65)*IF(E65&gt;=a_churn_year,1-$B$69,1)))*(1-MIN(a_m0+a_mstep*E65,a_mcap)),0)))*a_tax+((cf_arr*(1+G$66)^E65)*IF(E65&gt;=a_churn_year,1-$B$69,1))*a_da-((cf_arr*(1+G$66)^E65)*IF(E65&gt;=a_churn_year,1-$B$69,1))*a_capex-a_wc*(((cf_arr*(1+G$66)^E65)*IF(E65&gt;=a_churn_year,1-$B$69,1))-(cf_arr*(1+G$66)^D65*IF(D65&gt;=a_churn_year,1-$B$69,1)))</f>
        <v>10.29875</v>
      </c>
      <c r="F84" s="36" t="n">
        <f aca="false">(((cf_arr*(1+G$66)^F65)*IF(F65&gt;=a_churn_year,1-$B$69,1))*(MIN(a_m0+a_mstep*F65,a_mcap)-a_da)-IF(F65=a_churn_year,a_sticky*((cf_arr*(1+G$66)^F65)-((cf_arr*(1+G$66)^F65)*IF(F65&gt;=a_churn_year,1-$B$69,1)))*(1-MIN(a_m0+a_mstep*F65,a_mcap)),0))-MAX(0,(((cf_arr*(1+G$66)^F65)*IF(F65&gt;=a_churn_year,1-$B$69,1))*(MIN(a_m0+a_mstep*F65,a_mcap)-a_da)-IF(F65=a_churn_year,a_sticky*((cf_arr*(1+G$66)^F65)-((cf_arr*(1+G$66)^F65)*IF(F65&gt;=a_churn_year,1-$B$69,1)))*(1-MIN(a_m0+a_mstep*F65,a_mcap)),0)))*a_tax+((cf_arr*(1+G$66)^F65)*IF(F65&gt;=a_churn_year,1-$B$69,1))*a_da-((cf_arr*(1+G$66)^F65)*IF(F65&gt;=a_churn_year,1-$B$69,1))*a_capex-a_wc*(((cf_arr*(1+G$66)^F65)*IF(F65&gt;=a_churn_year,1-$B$69,1))-(cf_arr*(1+G$66)^E65*IF(E65&gt;=a_churn_year,1-$B$69,1)))</f>
        <v>28.567</v>
      </c>
      <c r="G84" s="36" t="n">
        <f aca="false">(((cf_arr*(1+G$66)^G65)*IF(G65&gt;=a_churn_year,1-$B$69,1))*(MIN(a_m0+a_mstep*G65,a_mcap)-a_da)-IF(G65=a_churn_year,a_sticky*((cf_arr*(1+G$66)^G65)-((cf_arr*(1+G$66)^G65)*IF(G65&gt;=a_churn_year,1-$B$69,1)))*(1-MIN(a_m0+a_mstep*G65,a_mcap)),0))-MAX(0,(((cf_arr*(1+G$66)^G65)*IF(G65&gt;=a_churn_year,1-$B$69,1))*(MIN(a_m0+a_mstep*G65,a_mcap)-a_da)-IF(G65=a_churn_year,a_sticky*((cf_arr*(1+G$66)^G65)-((cf_arr*(1+G$66)^G65)*IF(G65&gt;=a_churn_year,1-$B$69,1)))*(1-MIN(a_m0+a_mstep*G65,a_mcap)),0)))*a_tax+((cf_arr*(1+G$66)^G65)*IF(G65&gt;=a_churn_year,1-$B$69,1))*a_da-((cf_arr*(1+G$66)^G65)*IF(G65&gt;=a_churn_year,1-$B$69,1))*a_capex-a_wc*(((cf_arr*(1+G$66)^G65)*IF(G65&gt;=a_churn_year,1-$B$69,1))-(cf_arr*(1+G$66)^F65*IF(F65&gt;=a_churn_year,1-$B$69,1)))</f>
        <v>59.80205</v>
      </c>
      <c r="H84" s="36" t="n">
        <f aca="false">(((cf_arr*(1+G$66)^H65)*IF(H65&gt;=a_churn_year,1-$B$69,1))*(MIN(a_m0+a_mstep*H65,a_mcap)-a_da)-IF(H65=a_churn_year,a_sticky*((cf_arr*(1+G$66)^H65)-((cf_arr*(1+G$66)^H65)*IF(H65&gt;=a_churn_year,1-$B$69,1)))*(1-MIN(a_m0+a_mstep*H65,a_mcap)),0))-MAX(0,(((cf_arr*(1+G$66)^H65)*IF(H65&gt;=a_churn_year,1-$B$69,1))*(MIN(a_m0+a_mstep*H65,a_mcap)-a_da)-IF(H65=a_churn_year,a_sticky*((cf_arr*(1+G$66)^H65)-((cf_arr*(1+G$66)^H65)*IF(H65&gt;=a_churn_year,1-$B$69,1)))*(1-MIN(a_m0+a_mstep*H65,a_mcap)),0)))*a_tax+((cf_arr*(1+G$66)^H65)*IF(H65&gt;=a_churn_year,1-$B$69,1))*a_da-((cf_arr*(1+G$66)^H65)*IF(H65&gt;=a_churn_year,1-$B$69,1))*a_capex-a_wc*(((cf_arr*(1+G$66)^H65)*IF(H65&gt;=a_churn_year,1-$B$69,1))-(cf_arr*(1+G$66)^G65*IF(G65&gt;=a_churn_year,1-$B$69,1)))</f>
        <v>111.45442</v>
      </c>
      <c r="I84" s="36" t="n">
        <f aca="false">(((cf_arr*(1+G$66)^I65)*IF(I65&gt;=a_churn_year,1-$B$69,1))*(MIN(a_m0+a_mstep*I65,a_mcap)-a_da)-IF(I65=a_churn_year,a_sticky*((cf_arr*(1+G$66)^I65)-((cf_arr*(1+G$66)^I65)*IF(I65&gt;=a_churn_year,1-$B$69,1)))*(1-MIN(a_m0+a_mstep*I65,a_mcap)),0))-MAX(0,(((cf_arr*(1+G$66)^I65)*IF(I65&gt;=a_churn_year,1-$B$69,1))*(MIN(a_m0+a_mstep*I65,a_mcap)-a_da)-IF(I65=a_churn_year,a_sticky*((cf_arr*(1+G$66)^I65)-((cf_arr*(1+G$66)^I65)*IF(I65&gt;=a_churn_year,1-$B$69,1)))*(1-MIN(a_m0+a_mstep*I65,a_mcap)),0)))*a_tax+((cf_arr*(1+G$66)^I65)*IF(I65&gt;=a_churn_year,1-$B$69,1))*a_da-((cf_arr*(1+G$66)^I65)*IF(I65&gt;=a_churn_year,1-$B$69,1))*a_capex-a_wc*(((cf_arr*(1+G$66)^I65)*IF(I65&gt;=a_churn_year,1-$B$69,1))-(cf_arr*(1+G$66)^H65*IF(H65&gt;=a_churn_year,1-$B$69,1)))</f>
        <v>156.036188</v>
      </c>
      <c r="J84" s="36" t="n">
        <f aca="false">(((cf_arr*(1+G$66)^J65)*IF(J65&gt;=a_churn_year,1-$B$69,1))*(MIN(a_m0+a_mstep*J65,a_mcap)-a_da)-IF(J65=a_churn_year,a_sticky*((cf_arr*(1+G$66)^J65)-((cf_arr*(1+G$66)^J65)*IF(J65&gt;=a_churn_year,1-$B$69,1)))*(1-MIN(a_m0+a_mstep*J65,a_mcap)),0))-MAX(0,(((cf_arr*(1+G$66)^J65)*IF(J65&gt;=a_churn_year,1-$B$69,1))*(MIN(a_m0+a_mstep*J65,a_mcap)-a_da)-IF(J65=a_churn_year,a_sticky*((cf_arr*(1+G$66)^J65)-((cf_arr*(1+G$66)^J65)*IF(J65&gt;=a_churn_year,1-$B$69,1)))*(1-MIN(a_m0+a_mstep*J65,a_mcap)),0)))*a_tax+((cf_arr*(1+G$66)^J65)*IF(J65&gt;=a_churn_year,1-$B$69,1))*a_da-((cf_arr*(1+G$66)^J65)*IF(J65&gt;=a_churn_year,1-$B$69,1))*a_capex-a_wc*(((cf_arr*(1+G$66)^J65)*IF(J65&gt;=a_churn_year,1-$B$69,1))-(cf_arr*(1+G$66)^I65*IF(I65&gt;=a_churn_year,1-$B$69,1)))</f>
        <v>218.4506632</v>
      </c>
      <c r="K84" s="36" t="n">
        <f aca="false">(((cf_arr*(1+G$66)^K65)*IF(K65&gt;=a_churn_year,1-$B$69,1))*(MIN(a_m0+a_mstep*K65,a_mcap)-a_da)-IF(K65=a_churn_year,a_sticky*((cf_arr*(1+G$66)^K65)-((cf_arr*(1+G$66)^K65)*IF(K65&gt;=a_churn_year,1-$B$69,1)))*(1-MIN(a_m0+a_mstep*K65,a_mcap)),0))-MAX(0,(((cf_arr*(1+G$66)^K65)*IF(K65&gt;=a_churn_year,1-$B$69,1))*(MIN(a_m0+a_mstep*K65,a_mcap)-a_da)-IF(K65=a_churn_year,a_sticky*((cf_arr*(1+G$66)^K65)-((cf_arr*(1+G$66)^K65)*IF(K65&gt;=a_churn_year,1-$B$69,1)))*(1-MIN(a_m0+a_mstep*K65,a_mcap)),0)))*a_tax+((cf_arr*(1+G$66)^K65)*IF(K65&gt;=a_churn_year,1-$B$69,1))*a_da-((cf_arr*(1+G$66)^K65)*IF(K65&gt;=a_churn_year,1-$B$69,1))*a_capex-a_wc*(((cf_arr*(1+G$66)^K65)*IF(K65&gt;=a_churn_year,1-$B$69,1))-(cf_arr*(1+G$66)^J65*IF(J65&gt;=a_churn_year,1-$B$69,1)))</f>
        <v>305.83092848</v>
      </c>
      <c r="L84" s="36" t="n">
        <f aca="false">(((cf_arr*(1+G$66)^L65)*IF(L65&gt;=a_churn_year,1-$B$69,1))*(MIN(a_m0+a_mstep*L65,a_mcap)-a_da)-IF(L65=a_churn_year,a_sticky*((cf_arr*(1+G$66)^L65)-((cf_arr*(1+G$66)^L65)*IF(L65&gt;=a_churn_year,1-$B$69,1)))*(1-MIN(a_m0+a_mstep*L65,a_mcap)),0))-MAX(0,(((cf_arr*(1+G$66)^L65)*IF(L65&gt;=a_churn_year,1-$B$69,1))*(MIN(a_m0+a_mstep*L65,a_mcap)-a_da)-IF(L65=a_churn_year,a_sticky*((cf_arr*(1+G$66)^L65)-((cf_arr*(1+G$66)^L65)*IF(L65&gt;=a_churn_year,1-$B$69,1)))*(1-MIN(a_m0+a_mstep*L65,a_mcap)),0)))*a_tax+((cf_arr*(1+G$66)^L65)*IF(L65&gt;=a_churn_year,1-$B$69,1))*a_da-((cf_arr*(1+G$66)^L65)*IF(L65&gt;=a_churn_year,1-$B$69,1))*a_capex-a_wc*(((cf_arr*(1+G$66)^L65)*IF(L65&gt;=a_churn_year,1-$B$69,1))-(cf_arr*(1+G$66)^K65*IF(K65&gt;=a_churn_year,1-$B$69,1)))</f>
        <v>428.163299872</v>
      </c>
      <c r="M84" s="36" t="n">
        <f aca="false">(((cf_arr*(1+G$66)^M65)*IF(M65&gt;=a_churn_year,1-$B$69,1))*(MIN(a_m0+a_mstep*M65,a_mcap)-a_da)-IF(M65=a_churn_year,a_sticky*((cf_arr*(1+G$66)^M65)-((cf_arr*(1+G$66)^M65)*IF(M65&gt;=a_churn_year,1-$B$69,1)))*(1-MIN(a_m0+a_mstep*M65,a_mcap)),0))-MAX(0,(((cf_arr*(1+G$66)^M65)*IF(M65&gt;=a_churn_year,1-$B$69,1))*(MIN(a_m0+a_mstep*M65,a_mcap)-a_da)-IF(M65=a_churn_year,a_sticky*((cf_arr*(1+G$66)^M65)-((cf_arr*(1+G$66)^M65)*IF(M65&gt;=a_churn_year,1-$B$69,1)))*(1-MIN(a_m0+a_mstep*M65,a_mcap)),0)))*a_tax+((cf_arr*(1+G$66)^M65)*IF(M65&gt;=a_churn_year,1-$B$69,1))*a_da-((cf_arr*(1+G$66)^M65)*IF(M65&gt;=a_churn_year,1-$B$69,1))*a_capex-a_wc*(((cf_arr*(1+G$66)^M65)*IF(M65&gt;=a_churn_year,1-$B$69,1))-(cf_arr*(1+G$66)^L65*IF(L65&gt;=a_churn_year,1-$B$69,1)))</f>
        <v>599.4286198208</v>
      </c>
    </row>
    <row r="85" customFormat="false" ht="15" hidden="false" customHeight="false" outlineLevel="0" collapsed="false">
      <c r="A85" s="9" t="s">
        <v>371</v>
      </c>
      <c r="C85" s="36" t="n">
        <f aca="false">0</f>
        <v>0</v>
      </c>
      <c r="D85" s="36" t="n">
        <f aca="false">(((cf_arr*(1+D$66)^D65)*IF(D65&gt;=a_churn_year,1-$B$70,1))*(MIN(a_m0+a_mstep*D65,a_mcap)-a_da)-IF(D65=a_churn_year,a_sticky*((cf_arr*(1+D$66)^D65)-((cf_arr*(1+D$66)^D65)*IF(D65&gt;=a_churn_year,1-$B$70,1)))*(1-MIN(a_m0+a_mstep*D65,a_mcap)),0))-MAX(0,(((cf_arr*(1+D$66)^D65)*IF(D65&gt;=a_churn_year,1-$B$70,1))*(MIN(a_m0+a_mstep*D65,a_mcap)-a_da)-IF(D65=a_churn_year,a_sticky*((cf_arr*(1+D$66)^D65)-((cf_arr*(1+D$66)^D65)*IF(D65&gt;=a_churn_year,1-$B$70,1)))*(1-MIN(a_m0+a_mstep*D65,a_mcap)),0)))*a_tax+((cf_arr*(1+D$66)^D65)*IF(D65&gt;=a_churn_year,1-$B$70,1))*a_da-((cf_arr*(1+D$66)^D65)*IF(D65&gt;=a_churn_year,1-$B$70,1))*a_capex-a_wc*(((cf_arr*(1+D$66)^D65)*IF(D65&gt;=a_churn_year,1-$B$70,1))-(cf_arr*(1+D$66)^C65*IF(C65&gt;=a_churn_year,1-$B$70,1)))</f>
        <v>-44.7205</v>
      </c>
      <c r="E85" s="36" t="n">
        <f aca="false">(((cf_arr*(1+D$66)^E65)*IF(E65&gt;=a_churn_year,1-$B$70,1))*(MIN(a_m0+a_mstep*E65,a_mcap)-a_da)-IF(E65=a_churn_year,a_sticky*((cf_arr*(1+D$66)^E65)-((cf_arr*(1+D$66)^E65)*IF(E65&gt;=a_churn_year,1-$B$70,1)))*(1-MIN(a_m0+a_mstep*E65,a_mcap)),0))-MAX(0,(((cf_arr*(1+D$66)^E65)*IF(E65&gt;=a_churn_year,1-$B$70,1))*(MIN(a_m0+a_mstep*E65,a_mcap)-a_da)-IF(E65=a_churn_year,a_sticky*((cf_arr*(1+D$66)^E65)-((cf_arr*(1+D$66)^E65)*IF(E65&gt;=a_churn_year,1-$B$70,1)))*(1-MIN(a_m0+a_mstep*E65,a_mcap)),0)))*a_tax+((cf_arr*(1+D$66)^E65)*IF(E65&gt;=a_churn_year,1-$B$70,1))*a_da-((cf_arr*(1+D$66)^E65)*IF(E65&gt;=a_churn_year,1-$B$70,1))*a_capex-a_wc*(((cf_arr*(1+D$66)^E65)*IF(E65&gt;=a_churn_year,1-$B$70,1))-(cf_arr*(1+D$66)^D65*IF(D65&gt;=a_churn_year,1-$B$70,1)))</f>
        <v>7.021025</v>
      </c>
      <c r="F85" s="36" t="n">
        <f aca="false">(((cf_arr*(1+D$66)^F65)*IF(F65&gt;=a_churn_year,1-$B$70,1))*(MIN(a_m0+a_mstep*F65,a_mcap)-a_da)-IF(F65=a_churn_year,a_sticky*((cf_arr*(1+D$66)^F65)-((cf_arr*(1+D$66)^F65)*IF(F65&gt;=a_churn_year,1-$B$70,1)))*(1-MIN(a_m0+a_mstep*F65,a_mcap)),0))-MAX(0,(((cf_arr*(1+D$66)^F65)*IF(F65&gt;=a_churn_year,1-$B$70,1))*(MIN(a_m0+a_mstep*F65,a_mcap)-a_da)-IF(F65=a_churn_year,a_sticky*((cf_arr*(1+D$66)^F65)-((cf_arr*(1+D$66)^F65)*IF(F65&gt;=a_churn_year,1-$B$70,1)))*(1-MIN(a_m0+a_mstep*F65,a_mcap)),0)))*a_tax+((cf_arr*(1+D$66)^F65)*IF(F65&gt;=a_churn_year,1-$B$70,1))*a_da-((cf_arr*(1+D$66)^F65)*IF(F65&gt;=a_churn_year,1-$B$70,1))*a_capex-a_wc*(((cf_arr*(1+D$66)^F65)*IF(F65&gt;=a_churn_year,1-$B$70,1))-(cf_arr*(1+D$66)^E65*IF(E65&gt;=a_churn_year,1-$B$70,1)))</f>
        <v>13.76254</v>
      </c>
      <c r="G85" s="36" t="n">
        <f aca="false">(((cf_arr*(1+D$66)^G65)*IF(G65&gt;=a_churn_year,1-$B$70,1))*(MIN(a_m0+a_mstep*G65,a_mcap)-a_da)-IF(G65=a_churn_year,a_sticky*((cf_arr*(1+D$66)^G65)-((cf_arr*(1+D$66)^G65)*IF(G65&gt;=a_churn_year,1-$B$70,1)))*(1-MIN(a_m0+a_mstep*G65,a_mcap)),0))-MAX(0,(((cf_arr*(1+D$66)^G65)*IF(G65&gt;=a_churn_year,1-$B$70,1))*(MIN(a_m0+a_mstep*G65,a_mcap)-a_da)-IF(G65=a_churn_year,a_sticky*((cf_arr*(1+D$66)^G65)-((cf_arr*(1+D$66)^G65)*IF(G65&gt;=a_churn_year,1-$B$70,1)))*(1-MIN(a_m0+a_mstep*G65,a_mcap)),0)))*a_tax+((cf_arr*(1+D$66)^G65)*IF(G65&gt;=a_churn_year,1-$B$70,1))*a_da-((cf_arr*(1+D$66)^G65)*IF(G65&gt;=a_churn_year,1-$B$70,1))*a_capex-a_wc*(((cf_arr*(1+D$66)^G65)*IF(G65&gt;=a_churn_year,1-$B$70,1))-(cf_arr*(1+D$66)^F65*IF(F65&gt;=a_churn_year,1-$B$70,1)))</f>
        <v>21.78214775</v>
      </c>
      <c r="H85" s="36" t="n">
        <f aca="false">(((cf_arr*(1+D$66)^H65)*IF(H65&gt;=a_churn_year,1-$B$70,1))*(MIN(a_m0+a_mstep*H65,a_mcap)-a_da)-IF(H65=a_churn_year,a_sticky*((cf_arr*(1+D$66)^H65)-((cf_arr*(1+D$66)^H65)*IF(H65&gt;=a_churn_year,1-$B$70,1)))*(1-MIN(a_m0+a_mstep*H65,a_mcap)),0))-MAX(0,(((cf_arr*(1+D$66)^H65)*IF(H65&gt;=a_churn_year,1-$B$70,1))*(MIN(a_m0+a_mstep*H65,a_mcap)-a_da)-IF(H65=a_churn_year,a_sticky*((cf_arr*(1+D$66)^H65)-((cf_arr*(1+D$66)^H65)*IF(H65&gt;=a_churn_year,1-$B$70,1)))*(1-MIN(a_m0+a_mstep*H65,a_mcap)),0)))*a_tax+((cf_arr*(1+D$66)^H65)*IF(H65&gt;=a_churn_year,1-$B$70,1))*a_da-((cf_arr*(1+D$66)^H65)*IF(H65&gt;=a_churn_year,1-$B$70,1))*a_capex-a_wc*(((cf_arr*(1+D$66)^H65)*IF(H65&gt;=a_churn_year,1-$B$70,1))-(cf_arr*(1+D$66)^G65*IF(G65&gt;=a_churn_year,1-$B$70,1)))</f>
        <v>31.26805165</v>
      </c>
      <c r="I85" s="36" t="n">
        <f aca="false">(((cf_arr*(1+D$66)^I65)*IF(I65&gt;=a_churn_year,1-$B$70,1))*(MIN(a_m0+a_mstep*I65,a_mcap)-a_da)-IF(I65=a_churn_year,a_sticky*((cf_arr*(1+D$66)^I65)-((cf_arr*(1+D$66)^I65)*IF(I65&gt;=a_churn_year,1-$B$70,1)))*(1-MIN(a_m0+a_mstep*I65,a_mcap)),0))-MAX(0,(((cf_arr*(1+D$66)^I65)*IF(I65&gt;=a_churn_year,1-$B$70,1))*(MIN(a_m0+a_mstep*I65,a_mcap)-a_da)-IF(I65=a_churn_year,a_sticky*((cf_arr*(1+D$66)^I65)-((cf_arr*(1+D$66)^I65)*IF(I65&gt;=a_churn_year,1-$B$70,1)))*(1-MIN(a_m0+a_mstep*I65,a_mcap)),0)))*a_tax+((cf_arr*(1+D$66)^I65)*IF(I65&gt;=a_churn_year,1-$B$70,1))*a_da-((cf_arr*(1+D$66)^I65)*IF(I65&gt;=a_churn_year,1-$B$70,1))*a_capex-a_wc*(((cf_arr*(1+D$66)^I65)*IF(I65&gt;=a_churn_year,1-$B$70,1))-(cf_arr*(1+D$66)^H65*IF(H65&gt;=a_churn_year,1-$B$70,1)))</f>
        <v>34.394856815</v>
      </c>
      <c r="J85" s="36" t="n">
        <f aca="false">(((cf_arr*(1+D$66)^J65)*IF(J65&gt;=a_churn_year,1-$B$70,1))*(MIN(a_m0+a_mstep*J65,a_mcap)-a_da)-IF(J65=a_churn_year,a_sticky*((cf_arr*(1+D$66)^J65)-((cf_arr*(1+D$66)^J65)*IF(J65&gt;=a_churn_year,1-$B$70,1)))*(1-MIN(a_m0+a_mstep*J65,a_mcap)),0))-MAX(0,(((cf_arr*(1+D$66)^J65)*IF(J65&gt;=a_churn_year,1-$B$70,1))*(MIN(a_m0+a_mstep*J65,a_mcap)-a_da)-IF(J65=a_churn_year,a_sticky*((cf_arr*(1+D$66)^J65)-((cf_arr*(1+D$66)^J65)*IF(J65&gt;=a_churn_year,1-$B$70,1)))*(1-MIN(a_m0+a_mstep*J65,a_mcap)),0)))*a_tax+((cf_arr*(1+D$66)^J65)*IF(J65&gt;=a_churn_year,1-$B$70,1))*a_da-((cf_arr*(1+D$66)^J65)*IF(J65&gt;=a_churn_year,1-$B$70,1))*a_capex-a_wc*(((cf_arr*(1+D$66)^J65)*IF(J65&gt;=a_churn_year,1-$B$70,1))-(cf_arr*(1+D$66)^I65*IF(I65&gt;=a_churn_year,1-$B$70,1)))</f>
        <v>37.8343424965</v>
      </c>
      <c r="K85" s="36" t="n">
        <f aca="false">(((cf_arr*(1+D$66)^K65)*IF(K65&gt;=a_churn_year,1-$B$70,1))*(MIN(a_m0+a_mstep*K65,a_mcap)-a_da)-IF(K65=a_churn_year,a_sticky*((cf_arr*(1+D$66)^K65)-((cf_arr*(1+D$66)^K65)*IF(K65&gt;=a_churn_year,1-$B$70,1)))*(1-MIN(a_m0+a_mstep*K65,a_mcap)),0))-MAX(0,(((cf_arr*(1+D$66)^K65)*IF(K65&gt;=a_churn_year,1-$B$70,1))*(MIN(a_m0+a_mstep*K65,a_mcap)-a_da)-IF(K65=a_churn_year,a_sticky*((cf_arr*(1+D$66)^K65)-((cf_arr*(1+D$66)^K65)*IF(K65&gt;=a_churn_year,1-$B$70,1)))*(1-MIN(a_m0+a_mstep*K65,a_mcap)),0)))*a_tax+((cf_arr*(1+D$66)^K65)*IF(K65&gt;=a_churn_year,1-$B$70,1))*a_da-((cf_arr*(1+D$66)^K65)*IF(K65&gt;=a_churn_year,1-$B$70,1))*a_capex-a_wc*(((cf_arr*(1+D$66)^K65)*IF(K65&gt;=a_churn_year,1-$B$70,1))-(cf_arr*(1+D$66)^J65*IF(J65&gt;=a_churn_year,1-$B$70,1)))</f>
        <v>41.61777674615</v>
      </c>
      <c r="L85" s="36" t="n">
        <f aca="false">(((cf_arr*(1+D$66)^L65)*IF(L65&gt;=a_churn_year,1-$B$70,1))*(MIN(a_m0+a_mstep*L65,a_mcap)-a_da)-IF(L65=a_churn_year,a_sticky*((cf_arr*(1+D$66)^L65)-((cf_arr*(1+D$66)^L65)*IF(L65&gt;=a_churn_year,1-$B$70,1)))*(1-MIN(a_m0+a_mstep*L65,a_mcap)),0))-MAX(0,(((cf_arr*(1+D$66)^L65)*IF(L65&gt;=a_churn_year,1-$B$70,1))*(MIN(a_m0+a_mstep*L65,a_mcap)-a_da)-IF(L65=a_churn_year,a_sticky*((cf_arr*(1+D$66)^L65)-((cf_arr*(1+D$66)^L65)*IF(L65&gt;=a_churn_year,1-$B$70,1)))*(1-MIN(a_m0+a_mstep*L65,a_mcap)),0)))*a_tax+((cf_arr*(1+D$66)^L65)*IF(L65&gt;=a_churn_year,1-$B$70,1))*a_da-((cf_arr*(1+D$66)^L65)*IF(L65&gt;=a_churn_year,1-$B$70,1))*a_capex-a_wc*(((cf_arr*(1+D$66)^L65)*IF(L65&gt;=a_churn_year,1-$B$70,1))-(cf_arr*(1+D$66)^K65*IF(K65&gt;=a_churn_year,1-$B$70,1)))</f>
        <v>45.779554420765</v>
      </c>
      <c r="M85" s="36" t="n">
        <f aca="false">(((cf_arr*(1+D$66)^M65)*IF(M65&gt;=a_churn_year,1-$B$70,1))*(MIN(a_m0+a_mstep*M65,a_mcap)-a_da)-IF(M65=a_churn_year,a_sticky*((cf_arr*(1+D$66)^M65)-((cf_arr*(1+D$66)^M65)*IF(M65&gt;=a_churn_year,1-$B$70,1)))*(1-MIN(a_m0+a_mstep*M65,a_mcap)),0))-MAX(0,(((cf_arr*(1+D$66)^M65)*IF(M65&gt;=a_churn_year,1-$B$70,1))*(MIN(a_m0+a_mstep*M65,a_mcap)-a_da)-IF(M65=a_churn_year,a_sticky*((cf_arr*(1+D$66)^M65)-((cf_arr*(1+D$66)^M65)*IF(M65&gt;=a_churn_year,1-$B$70,1)))*(1-MIN(a_m0+a_mstep*M65,a_mcap)),0)))*a_tax+((cf_arr*(1+D$66)^M65)*IF(M65&gt;=a_churn_year,1-$B$70,1))*a_da-((cf_arr*(1+D$66)^M65)*IF(M65&gt;=a_churn_year,1-$B$70,1))*a_capex-a_wc*(((cf_arr*(1+D$66)^M65)*IF(M65&gt;=a_churn_year,1-$B$70,1))-(cf_arr*(1+D$66)^L65*IF(L65&gt;=a_churn_year,1-$B$70,1)))</f>
        <v>50.3575098628415</v>
      </c>
    </row>
    <row r="86" customFormat="false" ht="15" hidden="false" customHeight="false" outlineLevel="0" collapsed="false">
      <c r="A86" s="9" t="s">
        <v>372</v>
      </c>
      <c r="C86" s="36" t="n">
        <f aca="false">0</f>
        <v>0</v>
      </c>
      <c r="D86" s="36" t="n">
        <f aca="false">(((cf_arr*(1+E$66)^D65)*IF(D65&gt;=a_churn_year,1-$B$70,1))*(MIN(a_m0+a_mstep*D65,a_mcap)-a_da)-IF(D65=a_churn_year,a_sticky*((cf_arr*(1+E$66)^D65)-((cf_arr*(1+E$66)^D65)*IF(D65&gt;=a_churn_year,1-$B$70,1)))*(1-MIN(a_m0+a_mstep*D65,a_mcap)),0))-MAX(0,(((cf_arr*(1+E$66)^D65)*IF(D65&gt;=a_churn_year,1-$B$70,1))*(MIN(a_m0+a_mstep*D65,a_mcap)-a_da)-IF(D65=a_churn_year,a_sticky*((cf_arr*(1+E$66)^D65)-((cf_arr*(1+E$66)^D65)*IF(D65&gt;=a_churn_year,1-$B$70,1)))*(1-MIN(a_m0+a_mstep*D65,a_mcap)),0)))*a_tax+((cf_arr*(1+E$66)^D65)*IF(D65&gt;=a_churn_year,1-$B$70,1))*a_da-((cf_arr*(1+E$66)^D65)*IF(D65&gt;=a_churn_year,1-$B$70,1))*a_capex-a_wc*(((cf_arr*(1+E$66)^D65)*IF(D65&gt;=a_churn_year,1-$B$70,1))-(cf_arr*(1+E$66)^C65*IF(C65&gt;=a_churn_year,1-$B$70,1)))</f>
        <v>-49.786</v>
      </c>
      <c r="E86" s="36" t="n">
        <f aca="false">(((cf_arr*(1+E$66)^E65)*IF(E65&gt;=a_churn_year,1-$B$70,1))*(MIN(a_m0+a_mstep*E65,a_mcap)-a_da)-IF(E65=a_churn_year,a_sticky*((cf_arr*(1+E$66)^E65)-((cf_arr*(1+E$66)^E65)*IF(E65&gt;=a_churn_year,1-$B$70,1)))*(1-MIN(a_m0+a_mstep*E65,a_mcap)),0))-MAX(0,(((cf_arr*(1+E$66)^E65)*IF(E65&gt;=a_churn_year,1-$B$70,1))*(MIN(a_m0+a_mstep*E65,a_mcap)-a_da)-IF(E65=a_churn_year,a_sticky*((cf_arr*(1+E$66)^E65)-((cf_arr*(1+E$66)^E65)*IF(E65&gt;=a_churn_year,1-$B$70,1)))*(1-MIN(a_m0+a_mstep*E65,a_mcap)),0)))*a_tax+((cf_arr*(1+E$66)^E65)*IF(E65&gt;=a_churn_year,1-$B$70,1))*a_da-((cf_arr*(1+E$66)^E65)*IF(E65&gt;=a_churn_year,1-$B$70,1))*a_capex-a_wc*(((cf_arr*(1+E$66)^E65)*IF(E65&gt;=a_churn_year,1-$B$70,1))-(cf_arr*(1+E$66)^D65*IF(D65&gt;=a_churn_year,1-$B$70,1)))</f>
        <v>7.6956</v>
      </c>
      <c r="F86" s="36" t="n">
        <f aca="false">(((cf_arr*(1+E$66)^F65)*IF(F65&gt;=a_churn_year,1-$B$70,1))*(MIN(a_m0+a_mstep*F65,a_mcap)-a_da)-IF(F65=a_churn_year,a_sticky*((cf_arr*(1+E$66)^F65)-((cf_arr*(1+E$66)^F65)*IF(F65&gt;=a_churn_year,1-$B$70,1)))*(1-MIN(a_m0+a_mstep*F65,a_mcap)),0))-MAX(0,(((cf_arr*(1+E$66)^F65)*IF(F65&gt;=a_churn_year,1-$B$70,1))*(MIN(a_m0+a_mstep*F65,a_mcap)-a_da)-IF(F65=a_churn_year,a_sticky*((cf_arr*(1+E$66)^F65)-((cf_arr*(1+E$66)^F65)*IF(F65&gt;=a_churn_year,1-$B$70,1)))*(1-MIN(a_m0+a_mstep*F65,a_mcap)),0)))*a_tax+((cf_arr*(1+E$66)^F65)*IF(F65&gt;=a_churn_year,1-$B$70,1))*a_da-((cf_arr*(1+E$66)^F65)*IF(F65&gt;=a_churn_year,1-$B$70,1))*a_capex-a_wc*(((cf_arr*(1+E$66)^F65)*IF(F65&gt;=a_churn_year,1-$B$70,1))-(cf_arr*(1+E$66)^E65*IF(E65&gt;=a_churn_year,1-$B$70,1)))</f>
        <v>17.07552</v>
      </c>
      <c r="G86" s="36" t="n">
        <f aca="false">(((cf_arr*(1+E$66)^G65)*IF(G65&gt;=a_churn_year,1-$B$70,1))*(MIN(a_m0+a_mstep*G65,a_mcap)-a_da)-IF(G65=a_churn_year,a_sticky*((cf_arr*(1+E$66)^G65)-((cf_arr*(1+E$66)^G65)*IF(G65&gt;=a_churn_year,1-$B$70,1)))*(1-MIN(a_m0+a_mstep*G65,a_mcap)),0))-MAX(0,(((cf_arr*(1+E$66)^G65)*IF(G65&gt;=a_churn_year,1-$B$70,1))*(MIN(a_m0+a_mstep*G65,a_mcap)-a_da)-IF(G65=a_churn_year,a_sticky*((cf_arr*(1+E$66)^G65)-((cf_arr*(1+E$66)^G65)*IF(G65&gt;=a_churn_year,1-$B$70,1)))*(1-MIN(a_m0+a_mstep*G65,a_mcap)),0)))*a_tax+((cf_arr*(1+E$66)^G65)*IF(G65&gt;=a_churn_year,1-$B$70,1))*a_da-((cf_arr*(1+E$66)^G65)*IF(G65&gt;=a_churn_year,1-$B$70,1))*a_capex-a_wc*(((cf_arr*(1+E$66)^G65)*IF(G65&gt;=a_churn_year,1-$B$70,1))-(cf_arr*(1+E$66)^F65*IF(F65&gt;=a_churn_year,1-$B$70,1)))</f>
        <v>29.899584</v>
      </c>
      <c r="H86" s="36" t="n">
        <f aca="false">(((cf_arr*(1+E$66)^H65)*IF(H65&gt;=a_churn_year,1-$B$70,1))*(MIN(a_m0+a_mstep*H65,a_mcap)-a_da)-IF(H65=a_churn_year,a_sticky*((cf_arr*(1+E$66)^H65)-((cf_arr*(1+E$66)^H65)*IF(H65&gt;=a_churn_year,1-$B$70,1)))*(1-MIN(a_m0+a_mstep*H65,a_mcap)),0))-MAX(0,(((cf_arr*(1+E$66)^H65)*IF(H65&gt;=a_churn_year,1-$B$70,1))*(MIN(a_m0+a_mstep*H65,a_mcap)-a_da)-IF(H65=a_churn_year,a_sticky*((cf_arr*(1+E$66)^H65)-((cf_arr*(1+E$66)^H65)*IF(H65&gt;=a_churn_year,1-$B$70,1)))*(1-MIN(a_m0+a_mstep*H65,a_mcap)),0)))*a_tax+((cf_arr*(1+E$66)^H65)*IF(H65&gt;=a_churn_year,1-$B$70,1))*a_da-((cf_arr*(1+E$66)^H65)*IF(H65&gt;=a_churn_year,1-$B$70,1))*a_capex-a_wc*(((cf_arr*(1+E$66)^H65)*IF(H65&gt;=a_churn_year,1-$B$70,1))-(cf_arr*(1+E$66)^G65*IF(G65&gt;=a_churn_year,1-$B$70,1)))</f>
        <v>47.1702528</v>
      </c>
      <c r="I86" s="36" t="n">
        <f aca="false">(((cf_arr*(1+E$66)^I65)*IF(I65&gt;=a_churn_year,1-$B$70,1))*(MIN(a_m0+a_mstep*I65,a_mcap)-a_da)-IF(I65=a_churn_year,a_sticky*((cf_arr*(1+E$66)^I65)-((cf_arr*(1+E$66)^I65)*IF(I65&gt;=a_churn_year,1-$B$70,1)))*(1-MIN(a_m0+a_mstep*I65,a_mcap)),0))-MAX(0,(((cf_arr*(1+E$66)^I65)*IF(I65&gt;=a_churn_year,1-$B$70,1))*(MIN(a_m0+a_mstep*I65,a_mcap)-a_da)-IF(I65=a_churn_year,a_sticky*((cf_arr*(1+E$66)^I65)-((cf_arr*(1+E$66)^I65)*IF(I65&gt;=a_churn_year,1-$B$70,1)))*(1-MIN(a_m0+a_mstep*I65,a_mcap)),0)))*a_tax+((cf_arr*(1+E$66)^I65)*IF(I65&gt;=a_churn_year,1-$B$70,1))*a_da-((cf_arr*(1+E$66)^I65)*IF(I65&gt;=a_churn_year,1-$B$70,1))*a_capex-a_wc*(((cf_arr*(1+E$66)^I65)*IF(I65&gt;=a_churn_year,1-$B$70,1))-(cf_arr*(1+E$66)^H65*IF(H65&gt;=a_churn_year,1-$B$70,1)))</f>
        <v>56.60430336</v>
      </c>
      <c r="J86" s="36" t="n">
        <f aca="false">(((cf_arr*(1+E$66)^J65)*IF(J65&gt;=a_churn_year,1-$B$70,1))*(MIN(a_m0+a_mstep*J65,a_mcap)-a_da)-IF(J65=a_churn_year,a_sticky*((cf_arr*(1+E$66)^J65)-((cf_arr*(1+E$66)^J65)*IF(J65&gt;=a_churn_year,1-$B$70,1)))*(1-MIN(a_m0+a_mstep*J65,a_mcap)),0))-MAX(0,(((cf_arr*(1+E$66)^J65)*IF(J65&gt;=a_churn_year,1-$B$70,1))*(MIN(a_m0+a_mstep*J65,a_mcap)-a_da)-IF(J65=a_churn_year,a_sticky*((cf_arr*(1+E$66)^J65)-((cf_arr*(1+E$66)^J65)*IF(J65&gt;=a_churn_year,1-$B$70,1)))*(1-MIN(a_m0+a_mstep*J65,a_mcap)),0)))*a_tax+((cf_arr*(1+E$66)^J65)*IF(J65&gt;=a_churn_year,1-$B$70,1))*a_da-((cf_arr*(1+E$66)^J65)*IF(J65&gt;=a_churn_year,1-$B$70,1))*a_capex-a_wc*(((cf_arr*(1+E$66)^J65)*IF(J65&gt;=a_churn_year,1-$B$70,1))-(cf_arr*(1+E$66)^I65*IF(I65&gt;=a_churn_year,1-$B$70,1)))</f>
        <v>67.925164032</v>
      </c>
      <c r="K86" s="36" t="n">
        <f aca="false">(((cf_arr*(1+E$66)^K65)*IF(K65&gt;=a_churn_year,1-$B$70,1))*(MIN(a_m0+a_mstep*K65,a_mcap)-a_da)-IF(K65=a_churn_year,a_sticky*((cf_arr*(1+E$66)^K65)-((cf_arr*(1+E$66)^K65)*IF(K65&gt;=a_churn_year,1-$B$70,1)))*(1-MIN(a_m0+a_mstep*K65,a_mcap)),0))-MAX(0,(((cf_arr*(1+E$66)^K65)*IF(K65&gt;=a_churn_year,1-$B$70,1))*(MIN(a_m0+a_mstep*K65,a_mcap)-a_da)-IF(K65=a_churn_year,a_sticky*((cf_arr*(1+E$66)^K65)-((cf_arr*(1+E$66)^K65)*IF(K65&gt;=a_churn_year,1-$B$70,1)))*(1-MIN(a_m0+a_mstep*K65,a_mcap)),0)))*a_tax+((cf_arr*(1+E$66)^K65)*IF(K65&gt;=a_churn_year,1-$B$70,1))*a_da-((cf_arr*(1+E$66)^K65)*IF(K65&gt;=a_churn_year,1-$B$70,1))*a_capex-a_wc*(((cf_arr*(1+E$66)^K65)*IF(K65&gt;=a_churn_year,1-$B$70,1))-(cf_arr*(1+E$66)^J65*IF(J65&gt;=a_churn_year,1-$B$70,1)))</f>
        <v>81.5101968384</v>
      </c>
      <c r="L86" s="36" t="n">
        <f aca="false">(((cf_arr*(1+E$66)^L65)*IF(L65&gt;=a_churn_year,1-$B$70,1))*(MIN(a_m0+a_mstep*L65,a_mcap)-a_da)-IF(L65=a_churn_year,a_sticky*((cf_arr*(1+E$66)^L65)-((cf_arr*(1+E$66)^L65)*IF(L65&gt;=a_churn_year,1-$B$70,1)))*(1-MIN(a_m0+a_mstep*L65,a_mcap)),0))-MAX(0,(((cf_arr*(1+E$66)^L65)*IF(L65&gt;=a_churn_year,1-$B$70,1))*(MIN(a_m0+a_mstep*L65,a_mcap)-a_da)-IF(L65=a_churn_year,a_sticky*((cf_arr*(1+E$66)^L65)-((cf_arr*(1+E$66)^L65)*IF(L65&gt;=a_churn_year,1-$B$70,1)))*(1-MIN(a_m0+a_mstep*L65,a_mcap)),0)))*a_tax+((cf_arr*(1+E$66)^L65)*IF(L65&gt;=a_churn_year,1-$B$70,1))*a_da-((cf_arr*(1+E$66)^L65)*IF(L65&gt;=a_churn_year,1-$B$70,1))*a_capex-a_wc*(((cf_arr*(1+E$66)^L65)*IF(L65&gt;=a_churn_year,1-$B$70,1))-(cf_arr*(1+E$66)^K65*IF(K65&gt;=a_churn_year,1-$B$70,1)))</f>
        <v>97.81223620608</v>
      </c>
      <c r="M86" s="36" t="n">
        <f aca="false">(((cf_arr*(1+E$66)^M65)*IF(M65&gt;=a_churn_year,1-$B$70,1))*(MIN(a_m0+a_mstep*M65,a_mcap)-a_da)-IF(M65=a_churn_year,a_sticky*((cf_arr*(1+E$66)^M65)-((cf_arr*(1+E$66)^M65)*IF(M65&gt;=a_churn_year,1-$B$70,1)))*(1-MIN(a_m0+a_mstep*M65,a_mcap)),0))-MAX(0,(((cf_arr*(1+E$66)^M65)*IF(M65&gt;=a_churn_year,1-$B$70,1))*(MIN(a_m0+a_mstep*M65,a_mcap)-a_da)-IF(M65=a_churn_year,a_sticky*((cf_arr*(1+E$66)^M65)-((cf_arr*(1+E$66)^M65)*IF(M65&gt;=a_churn_year,1-$B$70,1)))*(1-MIN(a_m0+a_mstep*M65,a_mcap)),0)))*a_tax+((cf_arr*(1+E$66)^M65)*IF(M65&gt;=a_churn_year,1-$B$70,1))*a_da-((cf_arr*(1+E$66)^M65)*IF(M65&gt;=a_churn_year,1-$B$70,1))*a_capex-a_wc*(((cf_arr*(1+E$66)^M65)*IF(M65&gt;=a_churn_year,1-$B$70,1))-(cf_arr*(1+E$66)^L65*IF(L65&gt;=a_churn_year,1-$B$70,1)))</f>
        <v>117.374683447296</v>
      </c>
    </row>
    <row r="87" customFormat="false" ht="15" hidden="false" customHeight="false" outlineLevel="0" collapsed="false">
      <c r="A87" s="9" t="s">
        <v>373</v>
      </c>
      <c r="C87" s="36" t="n">
        <f aca="false">0</f>
        <v>0</v>
      </c>
      <c r="D87" s="36" t="n">
        <f aca="false">(((cf_arr*(1+F$66)^D65)*IF(D65&gt;=a_churn_year,1-$B$70,1))*(MIN(a_m0+a_mstep*D65,a_mcap)-a_da)-IF(D65=a_churn_year,a_sticky*((cf_arr*(1+F$66)^D65)-((cf_arr*(1+F$66)^D65)*IF(D65&gt;=a_churn_year,1-$B$70,1)))*(1-MIN(a_m0+a_mstep*D65,a_mcap)),0))-MAX(0,(((cf_arr*(1+F$66)^D65)*IF(D65&gt;=a_churn_year,1-$B$70,1))*(MIN(a_m0+a_mstep*D65,a_mcap)-a_da)-IF(D65=a_churn_year,a_sticky*((cf_arr*(1+F$66)^D65)-((cf_arr*(1+F$66)^D65)*IF(D65&gt;=a_churn_year,1-$B$70,1)))*(1-MIN(a_m0+a_mstep*D65,a_mcap)),0)))*a_tax+((cf_arr*(1+F$66)^D65)*IF(D65&gt;=a_churn_year,1-$B$70,1))*a_da-((cf_arr*(1+F$66)^D65)*IF(D65&gt;=a_churn_year,1-$B$70,1))*a_capex-a_wc*(((cf_arr*(1+F$66)^D65)*IF(D65&gt;=a_churn_year,1-$B$70,1))-(cf_arr*(1+F$66)^C65*IF(C65&gt;=a_churn_year,1-$B$70,1)))</f>
        <v>-54.8515</v>
      </c>
      <c r="E87" s="36" t="n">
        <f aca="false">(((cf_arr*(1+F$66)^E65)*IF(E65&gt;=a_churn_year,1-$B$70,1))*(MIN(a_m0+a_mstep*E65,a_mcap)-a_da)-IF(E65=a_churn_year,a_sticky*((cf_arr*(1+F$66)^E65)-((cf_arr*(1+F$66)^E65)*IF(E65&gt;=a_churn_year,1-$B$70,1)))*(1-MIN(a_m0+a_mstep*E65,a_mcap)),0))-MAX(0,(((cf_arr*(1+F$66)^E65)*IF(E65&gt;=a_churn_year,1-$B$70,1))*(MIN(a_m0+a_mstep*E65,a_mcap)-a_da)-IF(E65=a_churn_year,a_sticky*((cf_arr*(1+F$66)^E65)-((cf_arr*(1+F$66)^E65)*IF(E65&gt;=a_churn_year,1-$B$70,1)))*(1-MIN(a_m0+a_mstep*E65,a_mcap)),0)))*a_tax+((cf_arr*(1+F$66)^E65)*IF(E65&gt;=a_churn_year,1-$B$70,1))*a_da-((cf_arr*(1+F$66)^E65)*IF(E65&gt;=a_churn_year,1-$B$70,1))*a_capex-a_wc*(((cf_arr*(1+F$66)^E65)*IF(E65&gt;=a_churn_year,1-$B$70,1))-(cf_arr*(1+F$66)^D65*IF(D65&gt;=a_churn_year,1-$B$70,1)))</f>
        <v>8.376225</v>
      </c>
      <c r="F87" s="36" t="n">
        <f aca="false">(((cf_arr*(1+F$66)^F65)*IF(F65&gt;=a_churn_year,1-$B$70,1))*(MIN(a_m0+a_mstep*F65,a_mcap)-a_da)-IF(F65=a_churn_year,a_sticky*((cf_arr*(1+F$66)^F65)-((cf_arr*(1+F$66)^F65)*IF(F65&gt;=a_churn_year,1-$B$70,1)))*(1-MIN(a_m0+a_mstep*F65,a_mcap)),0))-MAX(0,(((cf_arr*(1+F$66)^F65)*IF(F65&gt;=a_churn_year,1-$B$70,1))*(MIN(a_m0+a_mstep*F65,a_mcap)-a_da)-IF(F65=a_churn_year,a_sticky*((cf_arr*(1+F$66)^F65)-((cf_arr*(1+F$66)^F65)*IF(F65&gt;=a_churn_year,1-$B$70,1)))*(1-MIN(a_m0+a_mstep*F65,a_mcap)),0)))*a_tax+((cf_arr*(1+F$66)^F65)*IF(F65&gt;=a_churn_year,1-$B$70,1))*a_da-((cf_arr*(1+F$66)^F65)*IF(F65&gt;=a_churn_year,1-$B$70,1))*a_capex-a_wc*(((cf_arr*(1+F$66)^F65)*IF(F65&gt;=a_churn_year,1-$B$70,1))-(cf_arr*(1+F$66)^E65*IF(E65&gt;=a_churn_year,1-$B$70,1)))</f>
        <v>20.85798</v>
      </c>
      <c r="G87" s="36" t="n">
        <f aca="false">(((cf_arr*(1+F$66)^G65)*IF(G65&gt;=a_churn_year,1-$B$70,1))*(MIN(a_m0+a_mstep*G65,a_mcap)-a_da)-IF(G65=a_churn_year,a_sticky*((cf_arr*(1+F$66)^G65)-((cf_arr*(1+F$66)^G65)*IF(G65&gt;=a_churn_year,1-$B$70,1)))*(1-MIN(a_m0+a_mstep*G65,a_mcap)),0))-MAX(0,(((cf_arr*(1+F$66)^G65)*IF(G65&gt;=a_churn_year,1-$B$70,1))*(MIN(a_m0+a_mstep*G65,a_mcap)-a_da)-IF(G65=a_churn_year,a_sticky*((cf_arr*(1+F$66)^G65)-((cf_arr*(1+F$66)^G65)*IF(G65&gt;=a_churn_year,1-$B$70,1)))*(1-MIN(a_m0+a_mstep*G65,a_mcap)),0)))*a_tax+((cf_arr*(1+F$66)^G65)*IF(G65&gt;=a_churn_year,1-$B$70,1))*a_da-((cf_arr*(1+F$66)^G65)*IF(G65&gt;=a_churn_year,1-$B$70,1))*a_capex-a_wc*(((cf_arr*(1+F$66)^G65)*IF(G65&gt;=a_churn_year,1-$B$70,1))-(cf_arr*(1+F$66)^F65*IF(F65&gt;=a_churn_year,1-$B$70,1)))</f>
        <v>40.07492775</v>
      </c>
      <c r="H87" s="36" t="n">
        <f aca="false">(((cf_arr*(1+F$66)^H65)*IF(H65&gt;=a_churn_year,1-$B$70,1))*(MIN(a_m0+a_mstep*H65,a_mcap)-a_da)-IF(H65=a_churn_year,a_sticky*((cf_arr*(1+F$66)^H65)-((cf_arr*(1+F$66)^H65)*IF(H65&gt;=a_churn_year,1-$B$70,1)))*(1-MIN(a_m0+a_mstep*H65,a_mcap)),0))-MAX(0,(((cf_arr*(1+F$66)^H65)*IF(H65&gt;=a_churn_year,1-$B$70,1))*(MIN(a_m0+a_mstep*H65,a_mcap)-a_da)-IF(H65=a_churn_year,a_sticky*((cf_arr*(1+F$66)^H65)-((cf_arr*(1+F$66)^H65)*IF(H65&gt;=a_churn_year,1-$B$70,1)))*(1-MIN(a_m0+a_mstep*H65,a_mcap)),0)))*a_tax+((cf_arr*(1+F$66)^H65)*IF(H65&gt;=a_churn_year,1-$B$70,1))*a_da-((cf_arr*(1+F$66)^H65)*IF(H65&gt;=a_churn_year,1-$B$70,1))*a_capex-a_wc*(((cf_arr*(1+F$66)^H65)*IF(H65&gt;=a_churn_year,1-$B$70,1))-(cf_arr*(1+F$66)^G65*IF(G65&gt;=a_churn_year,1-$B$70,1)))</f>
        <v>68.94482595</v>
      </c>
      <c r="I87" s="36" t="n">
        <f aca="false">(((cf_arr*(1+F$66)^I65)*IF(I65&gt;=a_churn_year,1-$B$70,1))*(MIN(a_m0+a_mstep*I65,a_mcap)-a_da)-IF(I65=a_churn_year,a_sticky*((cf_arr*(1+F$66)^I65)-((cf_arr*(1+F$66)^I65)*IF(I65&gt;=a_churn_year,1-$B$70,1)))*(1-MIN(a_m0+a_mstep*I65,a_mcap)),0))-MAX(0,(((cf_arr*(1+F$66)^I65)*IF(I65&gt;=a_churn_year,1-$B$70,1))*(MIN(a_m0+a_mstep*I65,a_mcap)-a_da)-IF(I65=a_churn_year,a_sticky*((cf_arr*(1+F$66)^I65)-((cf_arr*(1+F$66)^I65)*IF(I65&gt;=a_churn_year,1-$B$70,1)))*(1-MIN(a_m0+a_mstep*I65,a_mcap)),0)))*a_tax+((cf_arr*(1+F$66)^I65)*IF(I65&gt;=a_churn_year,1-$B$70,1))*a_da-((cf_arr*(1+F$66)^I65)*IF(I65&gt;=a_churn_year,1-$B$70,1))*a_capex-a_wc*(((cf_arr*(1+F$66)^I65)*IF(I65&gt;=a_churn_year,1-$B$70,1))-(cf_arr*(1+F$66)^H65*IF(H65&gt;=a_churn_year,1-$B$70,1)))</f>
        <v>89.628273735</v>
      </c>
      <c r="J87" s="36" t="n">
        <f aca="false">(((cf_arr*(1+F$66)^J65)*IF(J65&gt;=a_churn_year,1-$B$70,1))*(MIN(a_m0+a_mstep*J65,a_mcap)-a_da)-IF(J65=a_churn_year,a_sticky*((cf_arr*(1+F$66)^J65)-((cf_arr*(1+F$66)^J65)*IF(J65&gt;=a_churn_year,1-$B$70,1)))*(1-MIN(a_m0+a_mstep*J65,a_mcap)),0))-MAX(0,(((cf_arr*(1+F$66)^J65)*IF(J65&gt;=a_churn_year,1-$B$70,1))*(MIN(a_m0+a_mstep*J65,a_mcap)-a_da)-IF(J65=a_churn_year,a_sticky*((cf_arr*(1+F$66)^J65)-((cf_arr*(1+F$66)^J65)*IF(J65&gt;=a_churn_year,1-$B$70,1)))*(1-MIN(a_m0+a_mstep*J65,a_mcap)),0)))*a_tax+((cf_arr*(1+F$66)^J65)*IF(J65&gt;=a_churn_year,1-$B$70,1))*a_da-((cf_arr*(1+F$66)^J65)*IF(J65&gt;=a_churn_year,1-$B$70,1))*a_capex-a_wc*(((cf_arr*(1+F$66)^J65)*IF(J65&gt;=a_churn_year,1-$B$70,1))-(cf_arr*(1+F$66)^I65*IF(I65&gt;=a_churn_year,1-$B$70,1)))</f>
        <v>116.5167558555</v>
      </c>
      <c r="K87" s="36" t="n">
        <f aca="false">(((cf_arr*(1+F$66)^K65)*IF(K65&gt;=a_churn_year,1-$B$70,1))*(MIN(a_m0+a_mstep*K65,a_mcap)-a_da)-IF(K65=a_churn_year,a_sticky*((cf_arr*(1+F$66)^K65)-((cf_arr*(1+F$66)^K65)*IF(K65&gt;=a_churn_year,1-$B$70,1)))*(1-MIN(a_m0+a_mstep*K65,a_mcap)),0))-MAX(0,(((cf_arr*(1+F$66)^K65)*IF(K65&gt;=a_churn_year,1-$B$70,1))*(MIN(a_m0+a_mstep*K65,a_mcap)-a_da)-IF(K65=a_churn_year,a_sticky*((cf_arr*(1+F$66)^K65)-((cf_arr*(1+F$66)^K65)*IF(K65&gt;=a_churn_year,1-$B$70,1)))*(1-MIN(a_m0+a_mstep*K65,a_mcap)),0)))*a_tax+((cf_arr*(1+F$66)^K65)*IF(K65&gt;=a_churn_year,1-$B$70,1))*a_da-((cf_arr*(1+F$66)^K65)*IF(K65&gt;=a_churn_year,1-$B$70,1))*a_capex-a_wc*(((cf_arr*(1+F$66)^K65)*IF(K65&gt;=a_churn_year,1-$B$70,1))-(cf_arr*(1+F$66)^J65*IF(J65&gt;=a_churn_year,1-$B$70,1)))</f>
        <v>151.47178261215</v>
      </c>
      <c r="L87" s="36" t="n">
        <f aca="false">(((cf_arr*(1+F$66)^L65)*IF(L65&gt;=a_churn_year,1-$B$70,1))*(MIN(a_m0+a_mstep*L65,a_mcap)-a_da)-IF(L65=a_churn_year,a_sticky*((cf_arr*(1+F$66)^L65)-((cf_arr*(1+F$66)^L65)*IF(L65&gt;=a_churn_year,1-$B$70,1)))*(1-MIN(a_m0+a_mstep*L65,a_mcap)),0))-MAX(0,(((cf_arr*(1+F$66)^L65)*IF(L65&gt;=a_churn_year,1-$B$70,1))*(MIN(a_m0+a_mstep*L65,a_mcap)-a_da)-IF(L65=a_churn_year,a_sticky*((cf_arr*(1+F$66)^L65)-((cf_arr*(1+F$66)^L65)*IF(L65&gt;=a_churn_year,1-$B$70,1)))*(1-MIN(a_m0+a_mstep*L65,a_mcap)),0)))*a_tax+((cf_arr*(1+F$66)^L65)*IF(L65&gt;=a_churn_year,1-$B$70,1))*a_da-((cf_arr*(1+F$66)^L65)*IF(L65&gt;=a_churn_year,1-$B$70,1))*a_capex-a_wc*(((cf_arr*(1+F$66)^L65)*IF(L65&gt;=a_churn_year,1-$B$70,1))-(cf_arr*(1+F$66)^K65*IF(K65&gt;=a_churn_year,1-$B$70,1)))</f>
        <v>196.913317395795</v>
      </c>
      <c r="M87" s="36" t="n">
        <f aca="false">(((cf_arr*(1+F$66)^M65)*IF(M65&gt;=a_churn_year,1-$B$70,1))*(MIN(a_m0+a_mstep*M65,a_mcap)-a_da)-IF(M65=a_churn_year,a_sticky*((cf_arr*(1+F$66)^M65)-((cf_arr*(1+F$66)^M65)*IF(M65&gt;=a_churn_year,1-$B$70,1)))*(1-MIN(a_m0+a_mstep*M65,a_mcap)),0))-MAX(0,(((cf_arr*(1+F$66)^M65)*IF(M65&gt;=a_churn_year,1-$B$70,1))*(MIN(a_m0+a_mstep*M65,a_mcap)-a_da)-IF(M65=a_churn_year,a_sticky*((cf_arr*(1+F$66)^M65)-((cf_arr*(1+F$66)^M65)*IF(M65&gt;=a_churn_year,1-$B$70,1)))*(1-MIN(a_m0+a_mstep*M65,a_mcap)),0)))*a_tax+((cf_arr*(1+F$66)^M65)*IF(M65&gt;=a_churn_year,1-$B$70,1))*a_da-((cf_arr*(1+F$66)^M65)*IF(M65&gt;=a_churn_year,1-$B$70,1))*a_capex-a_wc*(((cf_arr*(1+F$66)^M65)*IF(M65&gt;=a_churn_year,1-$B$70,1))-(cf_arr*(1+F$66)^L65*IF(L65&gt;=a_churn_year,1-$B$70,1)))</f>
        <v>255.987312614534</v>
      </c>
    </row>
    <row r="88" customFormat="false" ht="15" hidden="false" customHeight="false" outlineLevel="0" collapsed="false">
      <c r="A88" s="9" t="s">
        <v>374</v>
      </c>
      <c r="C88" s="36" t="n">
        <f aca="false">0</f>
        <v>0</v>
      </c>
      <c r="D88" s="36" t="n">
        <f aca="false">(((cf_arr*(1+G$66)^D65)*IF(D65&gt;=a_churn_year,1-$B$70,1))*(MIN(a_m0+a_mstep*D65,a_mcap)-a_da)-IF(D65=a_churn_year,a_sticky*((cf_arr*(1+G$66)^D65)-((cf_arr*(1+G$66)^D65)*IF(D65&gt;=a_churn_year,1-$B$70,1)))*(1-MIN(a_m0+a_mstep*D65,a_mcap)),0))-MAX(0,(((cf_arr*(1+G$66)^D65)*IF(D65&gt;=a_churn_year,1-$B$70,1))*(MIN(a_m0+a_mstep*D65,a_mcap)-a_da)-IF(D65=a_churn_year,a_sticky*((cf_arr*(1+G$66)^D65)-((cf_arr*(1+G$66)^D65)*IF(D65&gt;=a_churn_year,1-$B$70,1)))*(1-MIN(a_m0+a_mstep*D65,a_mcap)),0)))*a_tax+((cf_arr*(1+G$66)^D65)*IF(D65&gt;=a_churn_year,1-$B$70,1))*a_da-((cf_arr*(1+G$66)^D65)*IF(D65&gt;=a_churn_year,1-$B$70,1))*a_capex-a_wc*(((cf_arr*(1+G$66)^D65)*IF(D65&gt;=a_churn_year,1-$B$70,1))-(cf_arr*(1+G$66)^C65*IF(C65&gt;=a_churn_year,1-$B$70,1)))</f>
        <v>-59.917</v>
      </c>
      <c r="E88" s="36" t="n">
        <f aca="false">(((cf_arr*(1+G$66)^E65)*IF(E65&gt;=a_churn_year,1-$B$70,1))*(MIN(a_m0+a_mstep*E65,a_mcap)-a_da)-IF(E65=a_churn_year,a_sticky*((cf_arr*(1+G$66)^E65)-((cf_arr*(1+G$66)^E65)*IF(E65&gt;=a_churn_year,1-$B$70,1)))*(1-MIN(a_m0+a_mstep*E65,a_mcap)),0))-MAX(0,(((cf_arr*(1+G$66)^E65)*IF(E65&gt;=a_churn_year,1-$B$70,1))*(MIN(a_m0+a_mstep*E65,a_mcap)-a_da)-IF(E65=a_churn_year,a_sticky*((cf_arr*(1+G$66)^E65)-((cf_arr*(1+G$66)^E65)*IF(E65&gt;=a_churn_year,1-$B$70,1)))*(1-MIN(a_m0+a_mstep*E65,a_mcap)),0)))*a_tax+((cf_arr*(1+G$66)^E65)*IF(E65&gt;=a_churn_year,1-$B$70,1))*a_da-((cf_arr*(1+G$66)^E65)*IF(E65&gt;=a_churn_year,1-$B$70,1))*a_capex-a_wc*(((cf_arr*(1+G$66)^E65)*IF(E65&gt;=a_churn_year,1-$B$70,1))-(cf_arr*(1+G$66)^D65*IF(D65&gt;=a_churn_year,1-$B$70,1)))</f>
        <v>9.0629</v>
      </c>
      <c r="F88" s="36" t="n">
        <f aca="false">(((cf_arr*(1+G$66)^F65)*IF(F65&gt;=a_churn_year,1-$B$70,1))*(MIN(a_m0+a_mstep*F65,a_mcap)-a_da)-IF(F65=a_churn_year,a_sticky*((cf_arr*(1+G$66)^F65)-((cf_arr*(1+G$66)^F65)*IF(F65&gt;=a_churn_year,1-$B$70,1)))*(1-MIN(a_m0+a_mstep*F65,a_mcap)),0))-MAX(0,(((cf_arr*(1+G$66)^F65)*IF(F65&gt;=a_churn_year,1-$B$70,1))*(MIN(a_m0+a_mstep*F65,a_mcap)-a_da)-IF(F65=a_churn_year,a_sticky*((cf_arr*(1+G$66)^F65)-((cf_arr*(1+G$66)^F65)*IF(F65&gt;=a_churn_year,1-$B$70,1)))*(1-MIN(a_m0+a_mstep*F65,a_mcap)),0)))*a_tax+((cf_arr*(1+G$66)^F65)*IF(F65&gt;=a_churn_year,1-$B$70,1))*a_da-((cf_arr*(1+G$66)^F65)*IF(F65&gt;=a_churn_year,1-$B$70,1))*a_capex-a_wc*(((cf_arr*(1+G$66)^F65)*IF(F65&gt;=a_churn_year,1-$B$70,1))-(cf_arr*(1+G$66)^E65*IF(E65&gt;=a_churn_year,1-$B$70,1)))</f>
        <v>25.13896</v>
      </c>
      <c r="G88" s="36" t="n">
        <f aca="false">(((cf_arr*(1+G$66)^G65)*IF(G65&gt;=a_churn_year,1-$B$70,1))*(MIN(a_m0+a_mstep*G65,a_mcap)-a_da)-IF(G65=a_churn_year,a_sticky*((cf_arr*(1+G$66)^G65)-((cf_arr*(1+G$66)^G65)*IF(G65&gt;=a_churn_year,1-$B$70,1)))*(1-MIN(a_m0+a_mstep*G65,a_mcap)),0))-MAX(0,(((cf_arr*(1+G$66)^G65)*IF(G65&gt;=a_churn_year,1-$B$70,1))*(MIN(a_m0+a_mstep*G65,a_mcap)-a_da)-IF(G65=a_churn_year,a_sticky*((cf_arr*(1+G$66)^G65)-((cf_arr*(1+G$66)^G65)*IF(G65&gt;=a_churn_year,1-$B$70,1)))*(1-MIN(a_m0+a_mstep*G65,a_mcap)),0)))*a_tax+((cf_arr*(1+G$66)^G65)*IF(G65&gt;=a_churn_year,1-$B$70,1))*a_da-((cf_arr*(1+G$66)^G65)*IF(G65&gt;=a_churn_year,1-$B$70,1))*a_capex-a_wc*(((cf_arr*(1+G$66)^G65)*IF(G65&gt;=a_churn_year,1-$B$70,1))-(cf_arr*(1+G$66)^F65*IF(F65&gt;=a_churn_year,1-$B$70,1)))</f>
        <v>52.625804</v>
      </c>
      <c r="H88" s="36" t="n">
        <f aca="false">(((cf_arr*(1+G$66)^H65)*IF(H65&gt;=a_churn_year,1-$B$70,1))*(MIN(a_m0+a_mstep*H65,a_mcap)-a_da)-IF(H65=a_churn_year,a_sticky*((cf_arr*(1+G$66)^H65)-((cf_arr*(1+G$66)^H65)*IF(H65&gt;=a_churn_year,1-$B$70,1)))*(1-MIN(a_m0+a_mstep*H65,a_mcap)),0))-MAX(0,(((cf_arr*(1+G$66)^H65)*IF(H65&gt;=a_churn_year,1-$B$70,1))*(MIN(a_m0+a_mstep*H65,a_mcap)-a_da)-IF(H65=a_churn_year,a_sticky*((cf_arr*(1+G$66)^H65)-((cf_arr*(1+G$66)^H65)*IF(H65&gt;=a_churn_year,1-$B$70,1)))*(1-MIN(a_m0+a_mstep*H65,a_mcap)),0)))*a_tax+((cf_arr*(1+G$66)^H65)*IF(H65&gt;=a_churn_year,1-$B$70,1))*a_da-((cf_arr*(1+G$66)^H65)*IF(H65&gt;=a_churn_year,1-$B$70,1))*a_capex-a_wc*(((cf_arr*(1+G$66)^H65)*IF(H65&gt;=a_churn_year,1-$B$70,1))-(cf_arr*(1+G$66)^G65*IF(G65&gt;=a_churn_year,1-$B$70,1)))</f>
        <v>98.0798896</v>
      </c>
      <c r="I88" s="36" t="n">
        <f aca="false">(((cf_arr*(1+G$66)^I65)*IF(I65&gt;=a_churn_year,1-$B$70,1))*(MIN(a_m0+a_mstep*I65,a_mcap)-a_da)-IF(I65=a_churn_year,a_sticky*((cf_arr*(1+G$66)^I65)-((cf_arr*(1+G$66)^I65)*IF(I65&gt;=a_churn_year,1-$B$70,1)))*(1-MIN(a_m0+a_mstep*I65,a_mcap)),0))-MAX(0,(((cf_arr*(1+G$66)^I65)*IF(I65&gt;=a_churn_year,1-$B$70,1))*(MIN(a_m0+a_mstep*I65,a_mcap)-a_da)-IF(I65=a_churn_year,a_sticky*((cf_arr*(1+G$66)^I65)-((cf_arr*(1+G$66)^I65)*IF(I65&gt;=a_churn_year,1-$B$70,1)))*(1-MIN(a_m0+a_mstep*I65,a_mcap)),0)))*a_tax+((cf_arr*(1+G$66)^I65)*IF(I65&gt;=a_churn_year,1-$B$70,1))*a_da-((cf_arr*(1+G$66)^I65)*IF(I65&gt;=a_churn_year,1-$B$70,1))*a_capex-a_wc*(((cf_arr*(1+G$66)^I65)*IF(I65&gt;=a_churn_year,1-$B$70,1))-(cf_arr*(1+G$66)^H65*IF(H65&gt;=a_churn_year,1-$B$70,1)))</f>
        <v>137.31184544</v>
      </c>
      <c r="J88" s="36" t="n">
        <f aca="false">(((cf_arr*(1+G$66)^J65)*IF(J65&gt;=a_churn_year,1-$B$70,1))*(MIN(a_m0+a_mstep*J65,a_mcap)-a_da)-IF(J65=a_churn_year,a_sticky*((cf_arr*(1+G$66)^J65)-((cf_arr*(1+G$66)^J65)*IF(J65&gt;=a_churn_year,1-$B$70,1)))*(1-MIN(a_m0+a_mstep*J65,a_mcap)),0))-MAX(0,(((cf_arr*(1+G$66)^J65)*IF(J65&gt;=a_churn_year,1-$B$70,1))*(MIN(a_m0+a_mstep*J65,a_mcap)-a_da)-IF(J65=a_churn_year,a_sticky*((cf_arr*(1+G$66)^J65)-((cf_arr*(1+G$66)^J65)*IF(J65&gt;=a_churn_year,1-$B$70,1)))*(1-MIN(a_m0+a_mstep*J65,a_mcap)),0)))*a_tax+((cf_arr*(1+G$66)^J65)*IF(J65&gt;=a_churn_year,1-$B$70,1))*a_da-((cf_arr*(1+G$66)^J65)*IF(J65&gt;=a_churn_year,1-$B$70,1))*a_capex-a_wc*(((cf_arr*(1+G$66)^J65)*IF(J65&gt;=a_churn_year,1-$B$70,1))-(cf_arr*(1+G$66)^I65*IF(I65&gt;=a_churn_year,1-$B$70,1)))</f>
        <v>192.236583616</v>
      </c>
      <c r="K88" s="36" t="n">
        <f aca="false">(((cf_arr*(1+G$66)^K65)*IF(K65&gt;=a_churn_year,1-$B$70,1))*(MIN(a_m0+a_mstep*K65,a_mcap)-a_da)-IF(K65=a_churn_year,a_sticky*((cf_arr*(1+G$66)^K65)-((cf_arr*(1+G$66)^K65)*IF(K65&gt;=a_churn_year,1-$B$70,1)))*(1-MIN(a_m0+a_mstep*K65,a_mcap)),0))-MAX(0,(((cf_arr*(1+G$66)^K65)*IF(K65&gt;=a_churn_year,1-$B$70,1))*(MIN(a_m0+a_mstep*K65,a_mcap)-a_da)-IF(K65=a_churn_year,a_sticky*((cf_arr*(1+G$66)^K65)-((cf_arr*(1+G$66)^K65)*IF(K65&gt;=a_churn_year,1-$B$70,1)))*(1-MIN(a_m0+a_mstep*K65,a_mcap)),0)))*a_tax+((cf_arr*(1+G$66)^K65)*IF(K65&gt;=a_churn_year,1-$B$70,1))*a_da-((cf_arr*(1+G$66)^K65)*IF(K65&gt;=a_churn_year,1-$B$70,1))*a_capex-a_wc*(((cf_arr*(1+G$66)^K65)*IF(K65&gt;=a_churn_year,1-$B$70,1))-(cf_arr*(1+G$66)^J65*IF(J65&gt;=a_churn_year,1-$B$70,1)))</f>
        <v>269.1312170624</v>
      </c>
      <c r="L88" s="36" t="n">
        <f aca="false">(((cf_arr*(1+G$66)^L65)*IF(L65&gt;=a_churn_year,1-$B$70,1))*(MIN(a_m0+a_mstep*L65,a_mcap)-a_da)-IF(L65=a_churn_year,a_sticky*((cf_arr*(1+G$66)^L65)-((cf_arr*(1+G$66)^L65)*IF(L65&gt;=a_churn_year,1-$B$70,1)))*(1-MIN(a_m0+a_mstep*L65,a_mcap)),0))-MAX(0,(((cf_arr*(1+G$66)^L65)*IF(L65&gt;=a_churn_year,1-$B$70,1))*(MIN(a_m0+a_mstep*L65,a_mcap)-a_da)-IF(L65=a_churn_year,a_sticky*((cf_arr*(1+G$66)^L65)-((cf_arr*(1+G$66)^L65)*IF(L65&gt;=a_churn_year,1-$B$70,1)))*(1-MIN(a_m0+a_mstep*L65,a_mcap)),0)))*a_tax+((cf_arr*(1+G$66)^L65)*IF(L65&gt;=a_churn_year,1-$B$70,1))*a_da-((cf_arr*(1+G$66)^L65)*IF(L65&gt;=a_churn_year,1-$B$70,1))*a_capex-a_wc*(((cf_arr*(1+G$66)^L65)*IF(L65&gt;=a_churn_year,1-$B$70,1))-(cf_arr*(1+G$66)^K65*IF(K65&gt;=a_churn_year,1-$B$70,1)))</f>
        <v>376.78370388736</v>
      </c>
      <c r="M88" s="36" t="n">
        <f aca="false">(((cf_arr*(1+G$66)^M65)*IF(M65&gt;=a_churn_year,1-$B$70,1))*(MIN(a_m0+a_mstep*M65,a_mcap)-a_da)-IF(M65=a_churn_year,a_sticky*((cf_arr*(1+G$66)^M65)-((cf_arr*(1+G$66)^M65)*IF(M65&gt;=a_churn_year,1-$B$70,1)))*(1-MIN(a_m0+a_mstep*M65,a_mcap)),0))-MAX(0,(((cf_arr*(1+G$66)^M65)*IF(M65&gt;=a_churn_year,1-$B$70,1))*(MIN(a_m0+a_mstep*M65,a_mcap)-a_da)-IF(M65=a_churn_year,a_sticky*((cf_arr*(1+G$66)^M65)-((cf_arr*(1+G$66)^M65)*IF(M65&gt;=a_churn_year,1-$B$70,1)))*(1-MIN(a_m0+a_mstep*M65,a_mcap)),0)))*a_tax+((cf_arr*(1+G$66)^M65)*IF(M65&gt;=a_churn_year,1-$B$70,1))*a_da-((cf_arr*(1+G$66)^M65)*IF(M65&gt;=a_churn_year,1-$B$70,1))*a_capex-a_wc*(((cf_arr*(1+G$66)^M65)*IF(M65&gt;=a_churn_year,1-$B$70,1))-(cf_arr*(1+G$66)^L65*IF(L65&gt;=a_churn_year,1-$B$70,1)))</f>
        <v>527.497185442304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55A11"/>
    <pageSetUpPr fitToPage="false"/>
  </sheetPr>
  <dimension ref="A1:P2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52"/>
    <col collapsed="false" customWidth="true" hidden="false" outlineLevel="0" max="16" min="2" style="0" width="13"/>
  </cols>
  <sheetData>
    <row r="1" customFormat="false" ht="18" hidden="false" customHeight="true" outlineLevel="0" collapsed="false">
      <c r="A1" s="6" t="s">
        <v>375</v>
      </c>
      <c r="B1" s="2"/>
      <c r="C1" s="2"/>
      <c r="D1" s="2"/>
      <c r="E1" s="2"/>
      <c r="F1" s="2"/>
      <c r="G1" s="2"/>
      <c r="H1" s="2"/>
      <c r="I1" s="2"/>
      <c r="J1" s="2"/>
      <c r="K1" s="2"/>
      <c r="L1" s="2"/>
      <c r="M1" s="2"/>
      <c r="N1" s="2"/>
      <c r="O1" s="2"/>
      <c r="P1" s="2"/>
    </row>
    <row r="2" customFormat="false" ht="15" hidden="false" customHeight="false" outlineLevel="0" collapsed="false">
      <c r="A2" s="3" t="s">
        <v>376</v>
      </c>
    </row>
    <row r="4" customFormat="false" ht="42" hidden="false" customHeight="true" outlineLevel="0" collapsed="false">
      <c r="A4" s="19" t="s">
        <v>377</v>
      </c>
      <c r="B4" s="19" t="s">
        <v>378</v>
      </c>
      <c r="C4" s="19" t="s">
        <v>379</v>
      </c>
      <c r="D4" s="19" t="s">
        <v>380</v>
      </c>
      <c r="E4" s="19" t="s">
        <v>381</v>
      </c>
      <c r="F4" s="19" t="s">
        <v>382</v>
      </c>
      <c r="G4" s="19" t="s">
        <v>383</v>
      </c>
      <c r="H4" s="19" t="s">
        <v>384</v>
      </c>
      <c r="I4" s="19" t="s">
        <v>385</v>
      </c>
      <c r="J4" s="19" t="s">
        <v>77</v>
      </c>
      <c r="K4" s="19" t="s">
        <v>386</v>
      </c>
      <c r="L4" s="19" t="s">
        <v>387</v>
      </c>
      <c r="M4" s="19" t="s">
        <v>388</v>
      </c>
      <c r="N4" s="19" t="s">
        <v>389</v>
      </c>
      <c r="O4" s="19" t="s">
        <v>390</v>
      </c>
      <c r="P4" s="19" t="s">
        <v>391</v>
      </c>
    </row>
    <row r="5" customFormat="false" ht="15" hidden="false" customHeight="false" outlineLevel="0" collapsed="false">
      <c r="A5" s="4" t="s">
        <v>392</v>
      </c>
      <c r="B5" s="47" t="n">
        <f aca="false">lv_mix_cash</f>
        <v>2100</v>
      </c>
      <c r="C5" s="47" t="n">
        <f aca="false">lv_mix_debt</f>
        <v>0</v>
      </c>
      <c r="D5" s="47" t="n">
        <f aca="false">lv_mix_eq</f>
        <v>1900</v>
      </c>
      <c r="E5" s="32" t="n">
        <f aca="false">B5+C5+D5</f>
        <v>4000</v>
      </c>
      <c r="F5" s="32" t="n">
        <f aca="false">E5-lv_price</f>
        <v>0</v>
      </c>
      <c r="G5" s="35" t="n">
        <f aca="false">D5/(c_price*(1-a_issue_disc))</f>
        <v>1.024</v>
      </c>
      <c r="H5" s="35" t="n">
        <f aca="false">cf_shares+G5</f>
        <v>65.024</v>
      </c>
      <c r="I5" s="18" t="n">
        <f aca="false">G5/cf_shares</f>
        <v>0.016</v>
      </c>
      <c r="J5" s="32" t="n">
        <f aca="false">cf_cash-B5-lv_price*a_fees_pct-a_integ_full</f>
        <v>6640</v>
      </c>
      <c r="K5" s="32" t="n">
        <f aca="false">cf_debt+C5</f>
        <v>350</v>
      </c>
      <c r="L5" s="34" t="n">
        <f aca="false">K5/cf_ebitda</f>
        <v>0.546875</v>
      </c>
      <c r="M5" s="32" t="n">
        <f aca="false">J5-K5</f>
        <v>6290</v>
      </c>
      <c r="N5" s="36" t="n">
        <f aca="false">B5*a_yield*(1-a_tax)+C5*a_kd*(1-a_tax)</f>
        <v>94.5</v>
      </c>
      <c r="O5" s="48" t="n">
        <f aca="false">(cf_pat+Liminal_Ops!D31-N5-a_ppa_on*lv_price*a_ppa_share/a_ppa_life*(1-a_tax))/H5</f>
        <v>5.25613619586614</v>
      </c>
      <c r="P5" s="9" t="str">
        <f aca="false">IF(AND(J5&gt;=a_min_cash,L5&lt;=a_max_lev),"OK","BREACH: "&amp;IF(J5&lt;a_min_cash,"cash floor ","")&amp;IF(L5&gt;a_max_lev,"leverage cap",""))</f>
        <v>OK</v>
      </c>
    </row>
    <row r="6" customFormat="false" ht="15" hidden="false" customHeight="false" outlineLevel="0" collapsed="false">
      <c r="A6" s="9" t="s">
        <v>393</v>
      </c>
      <c r="B6" s="13" t="n">
        <v>2100</v>
      </c>
      <c r="C6" s="13" t="n">
        <v>0</v>
      </c>
      <c r="D6" s="13" t="n">
        <v>1900</v>
      </c>
      <c r="E6" s="32" t="n">
        <f aca="false">B6+C6+D6</f>
        <v>4000</v>
      </c>
      <c r="F6" s="32" t="n">
        <f aca="false">E6-lv_price</f>
        <v>0</v>
      </c>
      <c r="G6" s="35" t="n">
        <f aca="false">D6/(c_price*(1-a_issue_disc))</f>
        <v>1.024</v>
      </c>
      <c r="H6" s="35" t="n">
        <f aca="false">cf_shares+G6</f>
        <v>65.024</v>
      </c>
      <c r="I6" s="18" t="n">
        <f aca="false">G6/cf_shares</f>
        <v>0.016</v>
      </c>
      <c r="J6" s="32" t="n">
        <f aca="false">cf_cash-B6-lv_price*a_fees_pct-a_integ_full</f>
        <v>6640</v>
      </c>
      <c r="K6" s="32" t="n">
        <f aca="false">cf_debt+C6</f>
        <v>350</v>
      </c>
      <c r="L6" s="34" t="n">
        <f aca="false">K6/cf_ebitda</f>
        <v>0.546875</v>
      </c>
      <c r="M6" s="32" t="n">
        <f aca="false">J6-K6</f>
        <v>6290</v>
      </c>
      <c r="N6" s="36" t="n">
        <f aca="false">B6*a_yield*(1-a_tax)+C6*a_kd*(1-a_tax)</f>
        <v>94.5</v>
      </c>
      <c r="O6" s="48" t="n">
        <f aca="false">(cf_pat+Liminal_Ops!D31-N6-a_ppa_on*lv_price*a_ppa_share/a_ppa_life*(1-a_tax))/H6</f>
        <v>5.25613619586614</v>
      </c>
      <c r="P6" s="9" t="str">
        <f aca="false">IF(AND(J6&gt;=a_min_cash,L6&lt;=a_max_lev),"OK","BREACH: "&amp;IF(J6&lt;a_min_cash,"cash floor ","")&amp;IF(L6&gt;a_max_lev,"leverage cap",""))</f>
        <v>OK</v>
      </c>
    </row>
    <row r="7" customFormat="false" ht="15" hidden="false" customHeight="false" outlineLevel="0" collapsed="false">
      <c r="A7" s="9" t="s">
        <v>394</v>
      </c>
      <c r="B7" s="13" t="n">
        <v>0</v>
      </c>
      <c r="C7" s="13" t="n">
        <v>2100</v>
      </c>
      <c r="D7" s="13" t="n">
        <v>1900</v>
      </c>
      <c r="E7" s="32" t="n">
        <f aca="false">B7+C7+D7</f>
        <v>4000</v>
      </c>
      <c r="F7" s="32" t="n">
        <f aca="false">E7-lv_price</f>
        <v>0</v>
      </c>
      <c r="G7" s="35" t="n">
        <f aca="false">D7/(c_price*(1-a_issue_disc))</f>
        <v>1.024</v>
      </c>
      <c r="H7" s="35" t="n">
        <f aca="false">cf_shares+G7</f>
        <v>65.024</v>
      </c>
      <c r="I7" s="18" t="n">
        <f aca="false">G7/cf_shares</f>
        <v>0.016</v>
      </c>
      <c r="J7" s="32" t="n">
        <f aca="false">cf_cash-B7-lv_price*a_fees_pct-a_integ_full</f>
        <v>8740</v>
      </c>
      <c r="K7" s="32" t="n">
        <f aca="false">cf_debt+C7</f>
        <v>2450</v>
      </c>
      <c r="L7" s="34" t="n">
        <f aca="false">K7/cf_ebitda</f>
        <v>3.828125</v>
      </c>
      <c r="M7" s="32" t="n">
        <f aca="false">J7-K7</f>
        <v>6290</v>
      </c>
      <c r="N7" s="36" t="n">
        <f aca="false">B7*a_yield*(1-a_tax)+C7*a_kd*(1-a_tax)</f>
        <v>133.875</v>
      </c>
      <c r="O7" s="48" t="n">
        <f aca="false">(cf_pat+Liminal_Ops!D31-N7-a_ppa_on*lv_price*a_ppa_share/a_ppa_life*(1-a_tax))/H7</f>
        <v>4.6505905511811</v>
      </c>
      <c r="P7" s="9" t="str">
        <f aca="false">IF(AND(J7&gt;=a_min_cash,L7&lt;=a_max_lev),"OK","BREACH: "&amp;IF(J7&lt;a_min_cash,"cash floor ","")&amp;IF(L7&gt;a_max_lev,"leverage cap",""))</f>
        <v>BREACH: leverage cap</v>
      </c>
    </row>
    <row r="8" customFormat="false" ht="15" hidden="false" customHeight="false" outlineLevel="0" collapsed="false">
      <c r="A8" s="9" t="s">
        <v>395</v>
      </c>
      <c r="B8" s="13" t="n">
        <v>1400</v>
      </c>
      <c r="C8" s="13" t="n">
        <v>700</v>
      </c>
      <c r="D8" s="13" t="n">
        <v>1900</v>
      </c>
      <c r="E8" s="32" t="n">
        <f aca="false">B8+C8+D8</f>
        <v>4000</v>
      </c>
      <c r="F8" s="32" t="n">
        <f aca="false">E8-lv_price</f>
        <v>0</v>
      </c>
      <c r="G8" s="35" t="n">
        <f aca="false">D8/(c_price*(1-a_issue_disc))</f>
        <v>1.024</v>
      </c>
      <c r="H8" s="35" t="n">
        <f aca="false">cf_shares+G8</f>
        <v>65.024</v>
      </c>
      <c r="I8" s="18" t="n">
        <f aca="false">G8/cf_shares</f>
        <v>0.016</v>
      </c>
      <c r="J8" s="32" t="n">
        <f aca="false">cf_cash-B8-lv_price*a_fees_pct-a_integ_full</f>
        <v>7340</v>
      </c>
      <c r="K8" s="32" t="n">
        <f aca="false">cf_debt+C8</f>
        <v>1050</v>
      </c>
      <c r="L8" s="34" t="n">
        <f aca="false">K8/cf_ebitda</f>
        <v>1.640625</v>
      </c>
      <c r="M8" s="32" t="n">
        <f aca="false">J8-K8</f>
        <v>6290</v>
      </c>
      <c r="N8" s="36" t="n">
        <f aca="false">B8*a_yield*(1-a_tax)+C8*a_kd*(1-a_tax)</f>
        <v>107.625</v>
      </c>
      <c r="O8" s="48" t="n">
        <f aca="false">(cf_pat+Liminal_Ops!D31-N8-a_ppa_on*lv_price*a_ppa_share/a_ppa_life*(1-a_tax))/H8</f>
        <v>5.05428764763779</v>
      </c>
      <c r="P8" s="9" t="str">
        <f aca="false">IF(AND(J8&gt;=a_min_cash,L8&lt;=a_max_lev),"OK","BREACH: "&amp;IF(J8&lt;a_min_cash,"cash floor ","")&amp;IF(L8&gt;a_max_lev,"leverage cap",""))</f>
        <v>BREACH: leverage cap</v>
      </c>
    </row>
    <row r="9" customFormat="false" ht="15" hidden="false" customHeight="false" outlineLevel="0" collapsed="false">
      <c r="A9" s="9" t="s">
        <v>396</v>
      </c>
      <c r="B9" s="13" t="n">
        <v>4000</v>
      </c>
      <c r="C9" s="13" t="n">
        <v>0</v>
      </c>
      <c r="D9" s="13" t="n">
        <v>0</v>
      </c>
      <c r="E9" s="32" t="n">
        <f aca="false">B9+C9+D9</f>
        <v>4000</v>
      </c>
      <c r="F9" s="32" t="n">
        <f aca="false">E9-lv_price</f>
        <v>0</v>
      </c>
      <c r="G9" s="35" t="n">
        <f aca="false">D9/(c_price*(1-a_issue_disc))</f>
        <v>0</v>
      </c>
      <c r="H9" s="35" t="n">
        <f aca="false">cf_shares+G9</f>
        <v>64</v>
      </c>
      <c r="I9" s="18" t="n">
        <f aca="false">G9/cf_shares</f>
        <v>0</v>
      </c>
      <c r="J9" s="32" t="n">
        <f aca="false">cf_cash-B9-lv_price*a_fees_pct-a_integ_full</f>
        <v>4740</v>
      </c>
      <c r="K9" s="32" t="n">
        <f aca="false">cf_debt+C9</f>
        <v>350</v>
      </c>
      <c r="L9" s="34" t="n">
        <f aca="false">K9/cf_ebitda</f>
        <v>0.546875</v>
      </c>
      <c r="M9" s="32" t="n">
        <f aca="false">J9-K9</f>
        <v>4390</v>
      </c>
      <c r="N9" s="36" t="n">
        <f aca="false">B9*a_yield*(1-a_tax)+C9*a_kd*(1-a_tax)</f>
        <v>180</v>
      </c>
      <c r="O9" s="48" t="n">
        <f aca="false">(cf_pat+Liminal_Ops!D31-N9-a_ppa_on*lv_price*a_ppa_share/a_ppa_life*(1-a_tax))/H9</f>
        <v>4.004296875</v>
      </c>
      <c r="P9" s="9" t="str">
        <f aca="false">IF(AND(J9&gt;=a_min_cash,L9&lt;=a_max_lev),"OK","BREACH: "&amp;IF(J9&lt;a_min_cash,"cash floor ","")&amp;IF(L9&gt;a_max_lev,"leverage cap",""))</f>
        <v>BREACH: cash floor </v>
      </c>
    </row>
    <row r="10" customFormat="false" ht="15" hidden="false" customHeight="false" outlineLevel="0" collapsed="false">
      <c r="A10" s="9" t="s">
        <v>397</v>
      </c>
      <c r="B10" s="13" t="n">
        <v>0</v>
      </c>
      <c r="C10" s="13" t="n">
        <v>0</v>
      </c>
      <c r="D10" s="13" t="n">
        <v>4000</v>
      </c>
      <c r="E10" s="32" t="n">
        <f aca="false">B10+C10+D10</f>
        <v>4000</v>
      </c>
      <c r="F10" s="32" t="n">
        <f aca="false">E10-lv_price</f>
        <v>0</v>
      </c>
      <c r="G10" s="35" t="n">
        <f aca="false">D10/(c_price*(1-a_issue_disc))</f>
        <v>2.15578947368421</v>
      </c>
      <c r="H10" s="35" t="n">
        <f aca="false">cf_shares+G10</f>
        <v>66.1557894736842</v>
      </c>
      <c r="I10" s="18" t="n">
        <f aca="false">G10/cf_shares</f>
        <v>0.0336842105263158</v>
      </c>
      <c r="J10" s="32" t="n">
        <f aca="false">cf_cash-B10-lv_price*a_fees_pct-a_integ_full</f>
        <v>8740</v>
      </c>
      <c r="K10" s="32" t="n">
        <f aca="false">cf_debt+C10</f>
        <v>350</v>
      </c>
      <c r="L10" s="34" t="n">
        <f aca="false">K10/cf_ebitda</f>
        <v>0.546875</v>
      </c>
      <c r="M10" s="32" t="n">
        <f aca="false">J10-K10</f>
        <v>8390</v>
      </c>
      <c r="N10" s="36" t="n">
        <f aca="false">B10*a_yield*(1-a_tax)+C10*a_kd*(1-a_tax)</f>
        <v>0</v>
      </c>
      <c r="O10" s="48" t="n">
        <f aca="false">(cf_pat+Liminal_Ops!D31-N10-a_ppa_on*lv_price*a_ppa_share/a_ppa_life*(1-a_tax))/H10</f>
        <v>6.59466092795316</v>
      </c>
      <c r="P10" s="9" t="str">
        <f aca="false">IF(AND(J10&gt;=a_min_cash,L10&lt;=a_max_lev),"OK","BREACH: "&amp;IF(J10&lt;a_min_cash,"cash floor ","")&amp;IF(L10&gt;a_max_lev,"leverage cap",""))</f>
        <v>OK</v>
      </c>
    </row>
    <row r="11" customFormat="false" ht="15" hidden="false" customHeight="false" outlineLevel="0" collapsed="false">
      <c r="A11" s="9" t="s">
        <v>398</v>
      </c>
      <c r="B11" s="13" t="n">
        <v>2100</v>
      </c>
      <c r="C11" s="13" t="n">
        <v>1900</v>
      </c>
      <c r="D11" s="13" t="n">
        <v>0</v>
      </c>
      <c r="E11" s="32" t="n">
        <f aca="false">B11+C11+D11</f>
        <v>4000</v>
      </c>
      <c r="F11" s="32" t="n">
        <f aca="false">E11-lv_price</f>
        <v>0</v>
      </c>
      <c r="G11" s="35" t="n">
        <f aca="false">D11/(c_price*(1-a_issue_disc))</f>
        <v>0</v>
      </c>
      <c r="H11" s="35" t="n">
        <f aca="false">cf_shares+G11</f>
        <v>64</v>
      </c>
      <c r="I11" s="18" t="n">
        <f aca="false">G11/cf_shares</f>
        <v>0</v>
      </c>
      <c r="J11" s="32" t="n">
        <f aca="false">cf_cash-B11-lv_price*a_fees_pct-a_integ_full</f>
        <v>6640</v>
      </c>
      <c r="K11" s="32" t="n">
        <f aca="false">cf_debt+C11</f>
        <v>2250</v>
      </c>
      <c r="L11" s="34" t="n">
        <f aca="false">K11/cf_ebitda</f>
        <v>3.515625</v>
      </c>
      <c r="M11" s="32" t="n">
        <f aca="false">J11-K11</f>
        <v>4390</v>
      </c>
      <c r="N11" s="36" t="n">
        <f aca="false">B11*a_yield*(1-a_tax)+C11*a_kd*(1-a_tax)</f>
        <v>215.625</v>
      </c>
      <c r="O11" s="48" t="n">
        <f aca="false">(cf_pat+Liminal_Ops!D31-N11-a_ppa_on*lv_price*a_ppa_share/a_ppa_life*(1-a_tax))/H11</f>
        <v>3.44765625</v>
      </c>
      <c r="P11" s="9" t="str">
        <f aca="false">IF(AND(J11&gt;=a_min_cash,L11&lt;=a_max_lev),"OK","BREACH: "&amp;IF(J11&lt;a_min_cash,"cash floor ","")&amp;IF(L11&gt;a_max_lev,"leverage cap",""))</f>
        <v>BREACH: leverage cap</v>
      </c>
    </row>
    <row r="13" customFormat="false" ht="15" hidden="false" customHeight="false" outlineLevel="0" collapsed="false">
      <c r="A13" s="7" t="s">
        <v>399</v>
      </c>
      <c r="B13" s="8"/>
      <c r="C13" s="8"/>
      <c r="D13" s="8"/>
      <c r="E13" s="8"/>
      <c r="F13" s="8"/>
      <c r="G13" s="8"/>
      <c r="H13" s="8"/>
      <c r="I13" s="8"/>
      <c r="J13" s="8"/>
      <c r="K13" s="8"/>
      <c r="L13" s="8"/>
      <c r="M13" s="8"/>
      <c r="N13" s="8"/>
      <c r="O13" s="8"/>
      <c r="P13" s="8"/>
    </row>
    <row r="14" customFormat="false" ht="15" hidden="false" customHeight="false" outlineLevel="0" collapsed="false">
      <c r="A14" s="49" t="s">
        <v>400</v>
      </c>
    </row>
    <row r="15" customFormat="false" ht="15" hidden="false" customHeight="false" outlineLevel="0" collapsed="false">
      <c r="A15" s="49" t="s">
        <v>401</v>
      </c>
    </row>
    <row r="16" customFormat="false" ht="15" hidden="false" customHeight="false" outlineLevel="0" collapsed="false">
      <c r="A16" s="49" t="s">
        <v>402</v>
      </c>
    </row>
    <row r="17" customFormat="false" ht="15" hidden="false" customHeight="false" outlineLevel="0" collapsed="false">
      <c r="A17" s="49" t="s">
        <v>403</v>
      </c>
    </row>
    <row r="19" customFormat="false" ht="15" hidden="false" customHeight="false" outlineLevel="0" collapsed="false">
      <c r="A19" s="7" t="s">
        <v>404</v>
      </c>
      <c r="B19" s="8"/>
      <c r="C19" s="8"/>
      <c r="D19" s="8"/>
      <c r="E19" s="8"/>
      <c r="F19" s="8"/>
      <c r="G19" s="8"/>
      <c r="H19" s="8"/>
      <c r="I19" s="8"/>
      <c r="J19" s="8"/>
      <c r="K19" s="8"/>
      <c r="L19" s="8"/>
      <c r="M19" s="8"/>
      <c r="N19" s="8"/>
      <c r="O19" s="8"/>
      <c r="P19" s="8"/>
    </row>
    <row r="20" customFormat="false" ht="15" hidden="false" customHeight="false" outlineLevel="0" collapsed="false">
      <c r="A20" s="4" t="s">
        <v>405</v>
      </c>
      <c r="B20" s="12" t="n">
        <v>0.075</v>
      </c>
      <c r="C20" s="12" t="n">
        <v>0.085</v>
      </c>
      <c r="D20" s="12" t="n">
        <v>0.095</v>
      </c>
      <c r="E20" s="12" t="n">
        <v>0.1</v>
      </c>
    </row>
    <row r="21" customFormat="false" ht="15" hidden="false" customHeight="false" outlineLevel="0" collapsed="false">
      <c r="A21" s="12" t="n">
        <v>0.05</v>
      </c>
      <c r="B21" s="50" t="n">
        <f aca="false">(cf_pat+Liminal_Ops!D31-lv_mix_cash*$A21*(1-a_tax)-lv_mix_debt*B$20*(1-a_tax)-a_ppa_on*lv_price*a_ppa_share/a_ppa_life*(1-a_tax))/(cf_shares+lv_mix_eq/(c_price*(1-a_issue_disc)))</f>
        <v>5.49835445374016</v>
      </c>
      <c r="C21" s="50" t="n">
        <f aca="false">(cf_pat+Liminal_Ops!D31-lv_mix_cash*$A21*(1-a_tax)-lv_mix_debt*C$20*(1-a_tax)-a_ppa_on*lv_price*a_ppa_share/a_ppa_life*(1-a_tax))/(cf_shares+lv_mix_eq/(c_price*(1-a_issue_disc)))</f>
        <v>5.49835445374016</v>
      </c>
      <c r="D21" s="50" t="n">
        <f aca="false">(cf_pat+Liminal_Ops!D31-lv_mix_cash*$A21*(1-a_tax)-lv_mix_debt*D$20*(1-a_tax)-a_ppa_on*lv_price*a_ppa_share/a_ppa_life*(1-a_tax))/(cf_shares+lv_mix_eq/(c_price*(1-a_issue_disc)))</f>
        <v>5.49835445374016</v>
      </c>
      <c r="E21" s="50" t="n">
        <f aca="false">(cf_pat+Liminal_Ops!D31-lv_mix_cash*$A21*(1-a_tax)-lv_mix_debt*E$20*(1-a_tax)-a_ppa_on*lv_price*a_ppa_share/a_ppa_life*(1-a_tax))/(cf_shares+lv_mix_eq/(c_price*(1-a_issue_disc)))</f>
        <v>5.49835445374016</v>
      </c>
    </row>
    <row r="22" customFormat="false" ht="15" hidden="false" customHeight="false" outlineLevel="0" collapsed="false">
      <c r="A22" s="12" t="n">
        <v>0.06</v>
      </c>
      <c r="B22" s="50" t="n">
        <f aca="false">(cf_pat+Liminal_Ops!D31-lv_mix_cash*$A22*(1-a_tax)-lv_mix_debt*B$20*(1-a_tax)-a_ppa_on*lv_price*a_ppa_share/a_ppa_life*(1-a_tax))/(cf_shares+lv_mix_eq/(c_price*(1-a_issue_disc)))</f>
        <v>5.25613619586614</v>
      </c>
      <c r="C22" s="50" t="n">
        <f aca="false">(cf_pat+Liminal_Ops!D31-lv_mix_cash*$A22*(1-a_tax)-lv_mix_debt*C$20*(1-a_tax)-a_ppa_on*lv_price*a_ppa_share/a_ppa_life*(1-a_tax))/(cf_shares+lv_mix_eq/(c_price*(1-a_issue_disc)))</f>
        <v>5.25613619586614</v>
      </c>
      <c r="D22" s="50" t="n">
        <f aca="false">(cf_pat+Liminal_Ops!D31-lv_mix_cash*$A22*(1-a_tax)-lv_mix_debt*D$20*(1-a_tax)-a_ppa_on*lv_price*a_ppa_share/a_ppa_life*(1-a_tax))/(cf_shares+lv_mix_eq/(c_price*(1-a_issue_disc)))</f>
        <v>5.25613619586614</v>
      </c>
      <c r="E22" s="50" t="n">
        <f aca="false">(cf_pat+Liminal_Ops!D31-lv_mix_cash*$A22*(1-a_tax)-lv_mix_debt*E$20*(1-a_tax)-a_ppa_on*lv_price*a_ppa_share/a_ppa_life*(1-a_tax))/(cf_shares+lv_mix_eq/(c_price*(1-a_issue_disc)))</f>
        <v>5.25613619586614</v>
      </c>
    </row>
    <row r="23" customFormat="false" ht="15" hidden="false" customHeight="false" outlineLevel="0" collapsed="false">
      <c r="A23" s="12" t="n">
        <v>0.07</v>
      </c>
      <c r="B23" s="50" t="n">
        <f aca="false">(cf_pat+Liminal_Ops!D31-lv_mix_cash*$A23*(1-a_tax)-lv_mix_debt*B$20*(1-a_tax)-a_ppa_on*lv_price*a_ppa_share/a_ppa_life*(1-a_tax))/(cf_shares+lv_mix_eq/(c_price*(1-a_issue_disc)))</f>
        <v>5.01391793799213</v>
      </c>
      <c r="C23" s="50" t="n">
        <f aca="false">(cf_pat+Liminal_Ops!D31-lv_mix_cash*$A23*(1-a_tax)-lv_mix_debt*C$20*(1-a_tax)-a_ppa_on*lv_price*a_ppa_share/a_ppa_life*(1-a_tax))/(cf_shares+lv_mix_eq/(c_price*(1-a_issue_disc)))</f>
        <v>5.01391793799213</v>
      </c>
      <c r="D23" s="50" t="n">
        <f aca="false">(cf_pat+Liminal_Ops!D31-lv_mix_cash*$A23*(1-a_tax)-lv_mix_debt*D$20*(1-a_tax)-a_ppa_on*lv_price*a_ppa_share/a_ppa_life*(1-a_tax))/(cf_shares+lv_mix_eq/(c_price*(1-a_issue_disc)))</f>
        <v>5.01391793799213</v>
      </c>
      <c r="E23" s="50" t="n">
        <f aca="false">(cf_pat+Liminal_Ops!D31-lv_mix_cash*$A23*(1-a_tax)-lv_mix_debt*E$20*(1-a_tax)-a_ppa_on*lv_price*a_ppa_share/a_ppa_life*(1-a_tax))/(cf_shares+lv_mix_eq/(c_price*(1-a_issue_disc)))</f>
        <v>5.01391793799213</v>
      </c>
    </row>
    <row r="24" customFormat="false" ht="15" hidden="false" customHeight="false" outlineLevel="0" collapsed="false">
      <c r="A24" s="3" t="s">
        <v>406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55A11"/>
    <pageSetUpPr fitToPage="false"/>
  </sheetPr>
  <dimension ref="A1:E3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58"/>
    <col collapsed="false" customWidth="true" hidden="false" outlineLevel="0" max="2" min="2" style="0" width="14"/>
    <col collapsed="false" customWidth="true" hidden="false" outlineLevel="0" max="3" min="3" style="0" width="4"/>
    <col collapsed="false" customWidth="true" hidden="false" outlineLevel="0" max="4" min="4" style="0" width="58"/>
    <col collapsed="false" customWidth="true" hidden="false" outlineLevel="0" max="5" min="5" style="0" width="14"/>
  </cols>
  <sheetData>
    <row r="1" customFormat="false" ht="18" hidden="false" customHeight="true" outlineLevel="0" collapsed="false">
      <c r="A1" s="6" t="s">
        <v>407</v>
      </c>
      <c r="B1" s="2"/>
      <c r="C1" s="2"/>
      <c r="D1" s="2"/>
      <c r="E1" s="2"/>
    </row>
    <row r="3" customFormat="false" ht="15" hidden="false" customHeight="false" outlineLevel="0" collapsed="false">
      <c r="A3" s="7" t="s">
        <v>408</v>
      </c>
      <c r="B3" s="8"/>
      <c r="C3" s="8"/>
      <c r="D3" s="8"/>
      <c r="E3" s="8"/>
    </row>
    <row r="4" customFormat="false" ht="15" hidden="false" customHeight="false" outlineLevel="0" collapsed="false">
      <c r="A4" s="4" t="s">
        <v>409</v>
      </c>
      <c r="D4" s="4" t="s">
        <v>410</v>
      </c>
    </row>
    <row r="5" customFormat="false" ht="15" hidden="false" customHeight="false" outlineLevel="0" collapsed="false">
      <c r="A5" s="9" t="s">
        <v>411</v>
      </c>
      <c r="B5" s="32" t="n">
        <f aca="false">lv_mix_cash+lv_mix_debt</f>
        <v>2100</v>
      </c>
      <c r="D5" s="9" t="s">
        <v>412</v>
      </c>
      <c r="E5" s="32" t="n">
        <f aca="false">lv_mix_cash+lv_price*a_fees_pct+a_integ_full</f>
        <v>2260</v>
      </c>
    </row>
    <row r="6" customFormat="false" ht="15" hidden="false" customHeight="false" outlineLevel="0" collapsed="false">
      <c r="A6" s="9" t="s">
        <v>413</v>
      </c>
      <c r="B6" s="32" t="n">
        <f aca="false">lv_mix_eq</f>
        <v>1900</v>
      </c>
      <c r="D6" s="9" t="s">
        <v>414</v>
      </c>
      <c r="E6" s="32" t="n">
        <f aca="false">lv_mix_debt</f>
        <v>0</v>
      </c>
    </row>
    <row r="7" customFormat="false" ht="15" hidden="false" customHeight="false" outlineLevel="0" collapsed="false">
      <c r="A7" s="9" t="s">
        <v>415</v>
      </c>
      <c r="B7" s="32" t="n">
        <f aca="false">lv_price*a_fees_pct</f>
        <v>60</v>
      </c>
      <c r="D7" s="9" t="s">
        <v>416</v>
      </c>
      <c r="E7" s="32" t="n">
        <f aca="false">lv_mix_eq</f>
        <v>1900</v>
      </c>
    </row>
    <row r="8" customFormat="false" ht="15" hidden="false" customHeight="false" outlineLevel="0" collapsed="false">
      <c r="A8" s="9" t="s">
        <v>417</v>
      </c>
      <c r="B8" s="32" t="n">
        <f aca="false">a_integ_full</f>
        <v>100</v>
      </c>
      <c r="D8" s="9" t="s">
        <v>418</v>
      </c>
      <c r="E8" s="32" t="n">
        <f aca="false">0</f>
        <v>0</v>
      </c>
    </row>
    <row r="9" customFormat="false" ht="15" hidden="false" customHeight="false" outlineLevel="0" collapsed="false">
      <c r="A9" s="4" t="s">
        <v>419</v>
      </c>
      <c r="B9" s="20" t="n">
        <f aca="false">SUM(B5:B8)</f>
        <v>4160</v>
      </c>
      <c r="D9" s="4" t="s">
        <v>420</v>
      </c>
      <c r="E9" s="20" t="n">
        <f aca="false">SUM(E5:E8)</f>
        <v>4160</v>
      </c>
    </row>
    <row r="10" customFormat="false" ht="15" hidden="false" customHeight="false" outlineLevel="0" collapsed="false">
      <c r="A10" s="4" t="s">
        <v>421</v>
      </c>
      <c r="B10" s="51" t="n">
        <f aca="false">E9-B9</f>
        <v>0</v>
      </c>
    </row>
    <row r="12" customFormat="false" ht="15" hidden="false" customHeight="false" outlineLevel="0" collapsed="false">
      <c r="A12" s="3" t="s">
        <v>422</v>
      </c>
    </row>
    <row r="14" customFormat="false" ht="15" hidden="false" customHeight="false" outlineLevel="0" collapsed="false">
      <c r="A14" s="7" t="s">
        <v>423</v>
      </c>
      <c r="B14" s="8"/>
      <c r="C14" s="8"/>
      <c r="D14" s="8"/>
      <c r="E14" s="8"/>
    </row>
    <row r="15" customFormat="false" ht="15" hidden="false" customHeight="false" outlineLevel="0" collapsed="false">
      <c r="A15" s="4" t="s">
        <v>409</v>
      </c>
      <c r="D15" s="4" t="s">
        <v>410</v>
      </c>
    </row>
    <row r="16" customFormat="false" ht="15" hidden="false" customHeight="false" outlineLevel="0" collapsed="false">
      <c r="A16" s="9" t="s">
        <v>424</v>
      </c>
      <c r="B16" s="32" t="n">
        <f aca="false">lv_min_price*(1-a_primary_share)</f>
        <v>325</v>
      </c>
      <c r="D16" s="9" t="s">
        <v>412</v>
      </c>
      <c r="E16" s="32" t="n">
        <f aca="false">lv_min_price+a_integ_min</f>
        <v>665</v>
      </c>
    </row>
    <row r="17" customFormat="false" ht="15" hidden="false" customHeight="false" outlineLevel="0" collapsed="false">
      <c r="A17" s="9" t="s">
        <v>425</v>
      </c>
      <c r="B17" s="32" t="n">
        <f aca="false">lv_min_price*a_primary_share</f>
        <v>325</v>
      </c>
      <c r="D17" s="9" t="s">
        <v>414</v>
      </c>
      <c r="E17" s="32" t="n">
        <f aca="false">0</f>
        <v>0</v>
      </c>
    </row>
    <row r="18" customFormat="false" ht="15" hidden="false" customHeight="false" outlineLevel="0" collapsed="false">
      <c r="A18" s="9" t="s">
        <v>426</v>
      </c>
      <c r="B18" s="32" t="n">
        <f aca="false">a_integ_min</f>
        <v>15</v>
      </c>
      <c r="D18" s="9" t="s">
        <v>427</v>
      </c>
      <c r="E18" s="32" t="n">
        <f aca="false">0</f>
        <v>0</v>
      </c>
    </row>
    <row r="19" customFormat="false" ht="15" hidden="false" customHeight="false" outlineLevel="0" collapsed="false">
      <c r="A19" s="4" t="s">
        <v>419</v>
      </c>
      <c r="B19" s="20" t="n">
        <f aca="false">SUM(B16:B18)</f>
        <v>665</v>
      </c>
      <c r="D19" s="4" t="s">
        <v>420</v>
      </c>
      <c r="E19" s="20" t="n">
        <f aca="false">SUM(E16:E18)</f>
        <v>665</v>
      </c>
    </row>
    <row r="20" customFormat="false" ht="15" hidden="false" customHeight="false" outlineLevel="0" collapsed="false">
      <c r="A20" s="4" t="s">
        <v>421</v>
      </c>
      <c r="B20" s="51" t="n">
        <f aca="false">E19-B19</f>
        <v>0</v>
      </c>
    </row>
    <row r="22" customFormat="false" ht="15" hidden="false" customHeight="false" outlineLevel="0" collapsed="false">
      <c r="A22" s="7" t="s">
        <v>428</v>
      </c>
      <c r="B22" s="8"/>
      <c r="C22" s="8"/>
      <c r="D22" s="8"/>
      <c r="E22" s="8"/>
    </row>
    <row r="23" customFormat="false" ht="15" hidden="false" customHeight="false" outlineLevel="0" collapsed="false">
      <c r="A23" s="4" t="s">
        <v>409</v>
      </c>
      <c r="D23" s="4" t="s">
        <v>410</v>
      </c>
    </row>
    <row r="24" customFormat="false" ht="15" hidden="false" customHeight="false" outlineLevel="0" collapsed="false">
      <c r="A24" s="9" t="s">
        <v>429</v>
      </c>
      <c r="B24" s="32" t="n">
        <f aca="false">eo_upfront</f>
        <v>1074.48</v>
      </c>
      <c r="D24" s="9" t="s">
        <v>412</v>
      </c>
      <c r="E24" s="32" t="n">
        <f aca="false">eo_cash+a_integ_full</f>
        <v>674.48</v>
      </c>
    </row>
    <row r="25" customFormat="false" ht="15" hidden="false" customHeight="false" outlineLevel="0" collapsed="false">
      <c r="A25" s="9" t="s">
        <v>430</v>
      </c>
      <c r="B25" s="32" t="n">
        <f aca="false">eo_max</f>
        <v>879.12</v>
      </c>
      <c r="D25" s="9" t="s">
        <v>414</v>
      </c>
      <c r="E25" s="32" t="n">
        <f aca="false">a_ctrl_debt</f>
        <v>500</v>
      </c>
    </row>
    <row r="26" customFormat="false" ht="15" hidden="false" customHeight="false" outlineLevel="0" collapsed="false">
      <c r="A26" s="9" t="s">
        <v>431</v>
      </c>
      <c r="B26" s="32" t="n">
        <f aca="false">a_integ_full</f>
        <v>100</v>
      </c>
      <c r="D26" s="9" t="s">
        <v>432</v>
      </c>
      <c r="E26" s="32" t="n">
        <f aca="false">eo_max</f>
        <v>879.12</v>
      </c>
    </row>
    <row r="27" customFormat="false" ht="15" hidden="false" customHeight="false" outlineLevel="0" collapsed="false">
      <c r="A27" s="4" t="s">
        <v>419</v>
      </c>
      <c r="B27" s="20" t="n">
        <f aca="false">SUM(B24:B26)</f>
        <v>2053.6</v>
      </c>
      <c r="D27" s="4" t="s">
        <v>420</v>
      </c>
      <c r="E27" s="20" t="n">
        <f aca="false">SUM(E24:E26)</f>
        <v>2053.6</v>
      </c>
    </row>
    <row r="28" customFormat="false" ht="15" hidden="false" customHeight="false" outlineLevel="0" collapsed="false">
      <c r="A28" s="4" t="s">
        <v>421</v>
      </c>
      <c r="B28" s="51" t="n">
        <f aca="false">E27-B27</f>
        <v>0</v>
      </c>
    </row>
    <row r="30" customFormat="false" ht="15" hidden="false" customHeight="false" outlineLevel="0" collapsed="false">
      <c r="A30" s="4" t="s">
        <v>433</v>
      </c>
      <c r="B30" s="51" t="n">
        <f aca="false">eo_cash+a_ctrl_debt-eo_upfront</f>
        <v>0</v>
      </c>
    </row>
    <row r="31" customFormat="false" ht="15" hidden="false" customHeight="false" outlineLevel="0" collapsed="false">
      <c r="A31" s="4" t="s">
        <v>434</v>
      </c>
      <c r="B31" s="20" t="n">
        <f aca="false">lv_min_price+eo_upfront+eo_max</f>
        <v>2603.6</v>
      </c>
    </row>
    <row r="32" customFormat="false" ht="15" hidden="false" customHeight="false" outlineLevel="0" collapsed="false">
      <c r="A32" s="4" t="s">
        <v>435</v>
      </c>
      <c r="B32" s="20" t="n">
        <f aca="false">lv_min_price+a_integ_min</f>
        <v>665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55A11"/>
    <pageSetUpPr fitToPage="false"/>
  </sheetPr>
  <dimension ref="A1:N4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8.5390625" defaultRowHeight="15" zeroHeight="false" outlineLevelRow="0" outlineLevelCol="0"/>
  <cols>
    <col collapsed="false" customWidth="true" hidden="false" outlineLevel="0" max="1" min="1" style="0" width="62"/>
    <col collapsed="false" customWidth="true" hidden="false" outlineLevel="0" max="2" min="2" style="0" width="12"/>
    <col collapsed="false" customWidth="true" hidden="false" outlineLevel="0" max="13" min="3" style="0" width="11"/>
  </cols>
  <sheetData>
    <row r="1" customFormat="false" ht="18" hidden="false" customHeight="true" outlineLevel="0" collapsed="false">
      <c r="A1" s="6" t="s">
        <v>436</v>
      </c>
      <c r="B1" s="2"/>
      <c r="C1" s="2"/>
      <c r="D1" s="2"/>
      <c r="E1" s="2"/>
      <c r="F1" s="2"/>
      <c r="G1" s="2"/>
      <c r="H1" s="2"/>
      <c r="I1" s="2"/>
      <c r="J1" s="2"/>
      <c r="K1" s="2"/>
      <c r="L1" s="2"/>
      <c r="M1" s="2"/>
      <c r="N1" s="2"/>
    </row>
    <row r="2" customFormat="false" ht="15" hidden="false" customHeight="false" outlineLevel="0" collapsed="false">
      <c r="A2" s="3" t="s">
        <v>437</v>
      </c>
    </row>
    <row r="4" customFormat="false" ht="15" hidden="false" customHeight="false" outlineLevel="0" collapsed="false">
      <c r="A4" s="7" t="s">
        <v>438</v>
      </c>
      <c r="B4" s="8"/>
      <c r="C4" s="8"/>
      <c r="D4" s="8"/>
      <c r="E4" s="8"/>
      <c r="F4" s="8"/>
      <c r="G4" s="8"/>
      <c r="H4" s="8"/>
      <c r="I4" s="8"/>
      <c r="J4" s="8"/>
      <c r="K4" s="8"/>
      <c r="L4" s="8"/>
      <c r="M4" s="8"/>
      <c r="N4" s="8"/>
    </row>
    <row r="5" customFormat="false" ht="15" hidden="false" customHeight="false" outlineLevel="0" collapsed="false">
      <c r="A5" s="4" t="s">
        <v>284</v>
      </c>
      <c r="C5" s="39" t="n">
        <v>0</v>
      </c>
      <c r="D5" s="39" t="n">
        <v>1</v>
      </c>
      <c r="E5" s="39" t="n">
        <v>2</v>
      </c>
      <c r="F5" s="39" t="n">
        <v>3</v>
      </c>
      <c r="G5" s="39" t="n">
        <v>4</v>
      </c>
      <c r="H5" s="39" t="n">
        <v>5</v>
      </c>
      <c r="I5" s="39" t="n">
        <v>6</v>
      </c>
      <c r="J5" s="39" t="n">
        <v>7</v>
      </c>
      <c r="K5" s="39" t="n">
        <v>8</v>
      </c>
      <c r="L5" s="39" t="n">
        <v>9</v>
      </c>
      <c r="M5" s="39" t="n">
        <v>10</v>
      </c>
    </row>
    <row r="6" customFormat="false" ht="15" hidden="false" customHeight="false" outlineLevel="0" collapsed="false">
      <c r="A6" s="9" t="s">
        <v>439</v>
      </c>
      <c r="C6" s="40" t="n">
        <f aca="false">Deal_CF!C32</f>
        <v>480</v>
      </c>
      <c r="D6" s="40" t="n">
        <f aca="false">Deal_CF!D32</f>
        <v>480</v>
      </c>
      <c r="E6" s="40" t="n">
        <f aca="false">Deal_CF!E32</f>
        <v>480</v>
      </c>
      <c r="F6" s="40" t="n">
        <f aca="false">Deal_CF!F32</f>
        <v>480</v>
      </c>
      <c r="G6" s="40" t="n">
        <f aca="false">Deal_CF!G32</f>
        <v>480</v>
      </c>
      <c r="H6" s="40" t="n">
        <f aca="false">Deal_CF!H32</f>
        <v>480</v>
      </c>
      <c r="I6" s="40" t="n">
        <f aca="false">Deal_CF!I32</f>
        <v>480</v>
      </c>
      <c r="J6" s="40" t="n">
        <f aca="false">Deal_CF!J32</f>
        <v>480</v>
      </c>
      <c r="K6" s="40" t="n">
        <f aca="false">Deal_CF!K32</f>
        <v>480</v>
      </c>
      <c r="L6" s="40" t="n">
        <f aca="false">Deal_CF!L32</f>
        <v>480</v>
      </c>
      <c r="M6" s="40" t="n">
        <f aca="false">Deal_CF!M32</f>
        <v>480</v>
      </c>
    </row>
    <row r="7" customFormat="false" ht="15" hidden="false" customHeight="false" outlineLevel="0" collapsed="false">
      <c r="A7" s="9" t="s">
        <v>440</v>
      </c>
      <c r="C7" s="40" t="n">
        <f aca="false">Deal_CF!C33</f>
        <v>0</v>
      </c>
      <c r="D7" s="40" t="n">
        <f aca="false">Deal_CF!D33</f>
        <v>69</v>
      </c>
      <c r="E7" s="40" t="n">
        <f aca="false">Deal_CF!E33</f>
        <v>69</v>
      </c>
      <c r="F7" s="40" t="n">
        <f aca="false">Deal_CF!F33</f>
        <v>69</v>
      </c>
      <c r="G7" s="40" t="n">
        <f aca="false">Deal_CF!G33</f>
        <v>69</v>
      </c>
      <c r="H7" s="40" t="n">
        <f aca="false">Deal_CF!H33</f>
        <v>69</v>
      </c>
      <c r="I7" s="40" t="n">
        <f aca="false">Deal_CF!I33</f>
        <v>69</v>
      </c>
      <c r="J7" s="40" t="n">
        <f aca="false">Deal_CF!J33</f>
        <v>69</v>
      </c>
      <c r="K7" s="40" t="n">
        <f aca="false">Deal_CF!K33</f>
        <v>69</v>
      </c>
      <c r="L7" s="40" t="n">
        <f aca="false">Deal_CF!L33</f>
        <v>69</v>
      </c>
      <c r="M7" s="40" t="n">
        <f aca="false">Deal_CF!M33</f>
        <v>69</v>
      </c>
    </row>
    <row r="8" customFormat="false" ht="15" hidden="false" customHeight="false" outlineLevel="0" collapsed="false">
      <c r="A8" s="9" t="s">
        <v>441</v>
      </c>
      <c r="C8" s="40" t="n">
        <f aca="false">Liminal_Ops!C31</f>
        <v>0</v>
      </c>
      <c r="D8" s="40" t="n">
        <f aca="false">Liminal_Ops!D31</f>
        <v>-43.725</v>
      </c>
      <c r="E8" s="40" t="n">
        <f aca="false">Liminal_Ops!E31</f>
        <v>10.395</v>
      </c>
      <c r="F8" s="40" t="n">
        <f aca="false">Liminal_Ops!F31</f>
        <v>21.384</v>
      </c>
      <c r="G8" s="40" t="n">
        <f aca="false">Liminal_Ops!G31</f>
        <v>36.3528</v>
      </c>
      <c r="H8" s="40" t="n">
        <f aca="false">Liminal_Ops!H31</f>
        <v>56.45376</v>
      </c>
      <c r="I8" s="40" t="n">
        <f aca="false">Liminal_Ops!I31</f>
        <v>67.744512</v>
      </c>
      <c r="J8" s="40" t="n">
        <f aca="false">Liminal_Ops!J31</f>
        <v>81.2934144</v>
      </c>
      <c r="K8" s="40" t="n">
        <f aca="false">Liminal_Ops!K31</f>
        <v>97.55209728</v>
      </c>
      <c r="L8" s="40" t="n">
        <f aca="false">Liminal_Ops!L31</f>
        <v>117.062516736</v>
      </c>
      <c r="M8" s="40" t="n">
        <f aca="false">Liminal_Ops!M31</f>
        <v>140.4750200832</v>
      </c>
    </row>
    <row r="9" customFormat="false" ht="15" hidden="false" customHeight="false" outlineLevel="0" collapsed="false">
      <c r="A9" s="9" t="s">
        <v>442</v>
      </c>
      <c r="C9" s="40" t="n">
        <f aca="false">Deal_CF!C23</f>
        <v>94.5</v>
      </c>
      <c r="D9" s="40" t="n">
        <f aca="false">Deal_CF!C23</f>
        <v>94.5</v>
      </c>
      <c r="E9" s="40" t="n">
        <f aca="false">Deal_CF!C23</f>
        <v>94.5</v>
      </c>
      <c r="F9" s="40" t="n">
        <f aca="false">Deal_CF!C23</f>
        <v>94.5</v>
      </c>
      <c r="G9" s="40" t="n">
        <f aca="false">Deal_CF!C23</f>
        <v>94.5</v>
      </c>
      <c r="H9" s="40" t="n">
        <f aca="false">Deal_CF!C23</f>
        <v>94.5</v>
      </c>
      <c r="I9" s="40" t="n">
        <f aca="false">Deal_CF!C23</f>
        <v>94.5</v>
      </c>
      <c r="J9" s="40" t="n">
        <f aca="false">Deal_CF!C23</f>
        <v>94.5</v>
      </c>
      <c r="K9" s="40" t="n">
        <f aca="false">Deal_CF!C23</f>
        <v>94.5</v>
      </c>
      <c r="L9" s="40" t="n">
        <f aca="false">Deal_CF!C23</f>
        <v>94.5</v>
      </c>
      <c r="M9" s="40" t="n">
        <f aca="false">Deal_CF!C23</f>
        <v>94.5</v>
      </c>
    </row>
    <row r="10" customFormat="false" ht="15" hidden="false" customHeight="false" outlineLevel="0" collapsed="false">
      <c r="A10" s="9" t="s">
        <v>443</v>
      </c>
      <c r="C10" s="40" t="n">
        <f aca="false">Deal_CF!C25</f>
        <v>0</v>
      </c>
      <c r="D10" s="40" t="n">
        <f aca="false">Deal_CF!C25</f>
        <v>0</v>
      </c>
      <c r="E10" s="40" t="n">
        <f aca="false">Deal_CF!C25</f>
        <v>0</v>
      </c>
      <c r="F10" s="40" t="n">
        <f aca="false">Deal_CF!C25</f>
        <v>0</v>
      </c>
      <c r="G10" s="40" t="n">
        <f aca="false">Deal_CF!C25</f>
        <v>0</v>
      </c>
      <c r="H10" s="40" t="n">
        <f aca="false">Deal_CF!C25</f>
        <v>0</v>
      </c>
      <c r="I10" s="40" t="n">
        <f aca="false">Deal_CF!C25</f>
        <v>0</v>
      </c>
      <c r="J10" s="40" t="n">
        <f aca="false">Deal_CF!C25</f>
        <v>0</v>
      </c>
      <c r="K10" s="40" t="n">
        <f aca="false">Deal_CF!C25</f>
        <v>0</v>
      </c>
      <c r="L10" s="40" t="n">
        <f aca="false">Deal_CF!C25</f>
        <v>0</v>
      </c>
      <c r="M10" s="40" t="n">
        <f aca="false">Deal_CF!C25</f>
        <v>0</v>
      </c>
    </row>
    <row r="11" customFormat="false" ht="15" hidden="false" customHeight="false" outlineLevel="0" collapsed="false">
      <c r="A11" s="9" t="s">
        <v>444</v>
      </c>
      <c r="C11" s="40" t="n">
        <f aca="false">Deal_CF!C29</f>
        <v>0</v>
      </c>
      <c r="D11" s="40" t="n">
        <f aca="false">Deal_CF!D29</f>
        <v>0</v>
      </c>
      <c r="E11" s="40" t="n">
        <f aca="false">Deal_CF!E29</f>
        <v>0</v>
      </c>
      <c r="F11" s="40" t="n">
        <f aca="false">Deal_CF!F29</f>
        <v>0</v>
      </c>
      <c r="G11" s="40" t="n">
        <f aca="false">Deal_CF!G29</f>
        <v>0</v>
      </c>
      <c r="H11" s="40" t="n">
        <f aca="false">Deal_CF!H29</f>
        <v>0</v>
      </c>
      <c r="I11" s="40" t="n">
        <f aca="false">Deal_CF!I29</f>
        <v>0</v>
      </c>
      <c r="J11" s="40" t="n">
        <f aca="false">Deal_CF!J29</f>
        <v>0</v>
      </c>
      <c r="K11" s="40" t="n">
        <f aca="false">Deal_CF!K29</f>
        <v>0</v>
      </c>
      <c r="L11" s="40" t="n">
        <f aca="false">Deal_CF!L29</f>
        <v>0</v>
      </c>
      <c r="M11" s="40" t="n">
        <f aca="false">Deal_CF!M29</f>
        <v>0</v>
      </c>
    </row>
    <row r="12" customFormat="false" ht="15" hidden="false" customHeight="false" outlineLevel="0" collapsed="false">
      <c r="A12" s="9" t="s">
        <v>445</v>
      </c>
      <c r="C12" s="40" t="n">
        <f aca="false">Deal_CF!C31</f>
        <v>0</v>
      </c>
      <c r="D12" s="40" t="n">
        <f aca="false">Deal_CF!D31</f>
        <v>0</v>
      </c>
      <c r="E12" s="40" t="n">
        <f aca="false">Deal_CF!E31</f>
        <v>33.75</v>
      </c>
      <c r="F12" s="40" t="n">
        <f aca="false">Deal_CF!F31</f>
        <v>67.5</v>
      </c>
      <c r="G12" s="40" t="n">
        <f aca="false">Deal_CF!G31</f>
        <v>101.25</v>
      </c>
      <c r="H12" s="40" t="n">
        <f aca="false">Deal_CF!H31</f>
        <v>135</v>
      </c>
      <c r="I12" s="40" t="n">
        <f aca="false">Deal_CF!I31</f>
        <v>168.75</v>
      </c>
      <c r="J12" s="40" t="n">
        <f aca="false">Deal_CF!J31</f>
        <v>202.5</v>
      </c>
      <c r="K12" s="40" t="n">
        <f aca="false">Deal_CF!K31</f>
        <v>236.25</v>
      </c>
      <c r="L12" s="40" t="n">
        <f aca="false">Deal_CF!L31</f>
        <v>270</v>
      </c>
      <c r="M12" s="40" t="n">
        <f aca="false">Deal_CF!M31</f>
        <v>303.75</v>
      </c>
    </row>
    <row r="13" customFormat="false" ht="15" hidden="false" customHeight="false" outlineLevel="0" collapsed="false">
      <c r="A13" s="4" t="s">
        <v>446</v>
      </c>
      <c r="C13" s="42" t="n">
        <f aca="false">Deal_CF!C36</f>
        <v>-94.5</v>
      </c>
      <c r="D13" s="42" t="n">
        <f aca="false">Deal_CF!D36</f>
        <v>-138.225</v>
      </c>
      <c r="E13" s="42" t="n">
        <f aca="false">Deal_CF!E36</f>
        <v>-117.855</v>
      </c>
      <c r="F13" s="42" t="n">
        <f aca="false">Deal_CF!F36</f>
        <v>-140.616</v>
      </c>
      <c r="G13" s="42" t="n">
        <f aca="false">Deal_CF!G36</f>
        <v>-159.3972</v>
      </c>
      <c r="H13" s="42" t="n">
        <f aca="false">Deal_CF!H36</f>
        <v>-173.04624</v>
      </c>
      <c r="I13" s="42" t="n">
        <f aca="false">Deal_CF!I36</f>
        <v>-195.505488</v>
      </c>
      <c r="J13" s="42" t="n">
        <f aca="false">Deal_CF!J36</f>
        <v>-215.7065856</v>
      </c>
      <c r="K13" s="42" t="n">
        <f aca="false">Deal_CF!K36</f>
        <v>-233.19790272</v>
      </c>
      <c r="L13" s="42" t="n">
        <f aca="false">Deal_CF!L36</f>
        <v>-247.437483264</v>
      </c>
      <c r="M13" s="42" t="n">
        <f aca="false">Deal_CF!M36</f>
        <v>-257.7749799168</v>
      </c>
    </row>
    <row r="14" customFormat="false" ht="15" hidden="false" customHeight="false" outlineLevel="0" collapsed="false">
      <c r="A14" s="9" t="s">
        <v>447</v>
      </c>
      <c r="C14" s="40" t="n">
        <f aca="false">Deal_CF!C37</f>
        <v>385.5</v>
      </c>
      <c r="D14" s="40" t="n">
        <f aca="false">Deal_CF!D37</f>
        <v>341.775</v>
      </c>
      <c r="E14" s="40" t="n">
        <f aca="false">Deal_CF!E37</f>
        <v>362.145</v>
      </c>
      <c r="F14" s="40" t="n">
        <f aca="false">Deal_CF!F37</f>
        <v>339.384</v>
      </c>
      <c r="G14" s="40" t="n">
        <f aca="false">Deal_CF!G37</f>
        <v>320.6028</v>
      </c>
      <c r="H14" s="40" t="n">
        <f aca="false">Deal_CF!H37</f>
        <v>306.95376</v>
      </c>
      <c r="I14" s="40" t="n">
        <f aca="false">Deal_CF!I37</f>
        <v>284.494512</v>
      </c>
      <c r="J14" s="40" t="n">
        <f aca="false">Deal_CF!J37</f>
        <v>264.2934144</v>
      </c>
      <c r="K14" s="40" t="n">
        <f aca="false">Deal_CF!K37</f>
        <v>246.80209728</v>
      </c>
      <c r="L14" s="40" t="n">
        <f aca="false">Deal_CF!L37</f>
        <v>232.562516736</v>
      </c>
      <c r="M14" s="40" t="n">
        <f aca="false">Deal_CF!M37</f>
        <v>222.2250200832</v>
      </c>
    </row>
    <row r="15" customFormat="false" ht="15" hidden="false" customHeight="false" outlineLevel="0" collapsed="false">
      <c r="A15" s="9" t="s">
        <v>448</v>
      </c>
      <c r="C15" s="52" t="n">
        <f aca="false">Deal_CF!C21</f>
        <v>1.024</v>
      </c>
      <c r="D15" s="52" t="n">
        <f aca="false">Deal_CF!C21</f>
        <v>1.024</v>
      </c>
      <c r="E15" s="52" t="n">
        <f aca="false">Deal_CF!C21</f>
        <v>1.024</v>
      </c>
      <c r="F15" s="52" t="n">
        <f aca="false">Deal_CF!C21</f>
        <v>1.024</v>
      </c>
      <c r="G15" s="52" t="n">
        <f aca="false">Deal_CF!C21</f>
        <v>1.024</v>
      </c>
      <c r="H15" s="52" t="n">
        <f aca="false">Deal_CF!C21</f>
        <v>1.024</v>
      </c>
      <c r="I15" s="52" t="n">
        <f aca="false">Deal_CF!C21</f>
        <v>1.024</v>
      </c>
      <c r="J15" s="52" t="n">
        <f aca="false">Deal_CF!C21</f>
        <v>1.024</v>
      </c>
      <c r="K15" s="52" t="n">
        <f aca="false">Deal_CF!C21</f>
        <v>1.024</v>
      </c>
      <c r="L15" s="52" t="n">
        <f aca="false">Deal_CF!C21</f>
        <v>1.024</v>
      </c>
      <c r="M15" s="52" t="n">
        <f aca="false">Deal_CF!C21</f>
        <v>1.024</v>
      </c>
    </row>
    <row r="16" customFormat="false" ht="15" hidden="false" customHeight="false" outlineLevel="0" collapsed="false">
      <c r="A16" s="9" t="s">
        <v>449</v>
      </c>
      <c r="C16" s="52" t="n">
        <f aca="false">Deal_CF!C22</f>
        <v>65.024</v>
      </c>
      <c r="D16" s="52" t="n">
        <f aca="false">Deal_CF!C22</f>
        <v>65.024</v>
      </c>
      <c r="E16" s="52" t="n">
        <f aca="false">Deal_CF!C22</f>
        <v>65.024</v>
      </c>
      <c r="F16" s="52" t="n">
        <f aca="false">Deal_CF!C22</f>
        <v>65.024</v>
      </c>
      <c r="G16" s="52" t="n">
        <f aca="false">Deal_CF!C22</f>
        <v>65.024</v>
      </c>
      <c r="H16" s="52" t="n">
        <f aca="false">Deal_CF!C22</f>
        <v>65.024</v>
      </c>
      <c r="I16" s="52" t="n">
        <f aca="false">Deal_CF!C22</f>
        <v>65.024</v>
      </c>
      <c r="J16" s="52" t="n">
        <f aca="false">Deal_CF!C22</f>
        <v>65.024</v>
      </c>
      <c r="K16" s="52" t="n">
        <f aca="false">Deal_CF!C22</f>
        <v>65.024</v>
      </c>
      <c r="L16" s="52" t="n">
        <f aca="false">Deal_CF!C22</f>
        <v>65.024</v>
      </c>
      <c r="M16" s="52" t="n">
        <f aca="false">Deal_CF!C22</f>
        <v>65.024</v>
      </c>
    </row>
    <row r="17" customFormat="false" ht="15" hidden="false" customHeight="false" outlineLevel="0" collapsed="false">
      <c r="A17" s="9" t="s">
        <v>450</v>
      </c>
      <c r="C17" s="53" t="n">
        <f aca="false">Deal_CF!C34</f>
        <v>7.5</v>
      </c>
      <c r="D17" s="53" t="n">
        <f aca="false">Deal_CF!D34</f>
        <v>7.5</v>
      </c>
      <c r="E17" s="53" t="n">
        <f aca="false">Deal_CF!E34</f>
        <v>7.5</v>
      </c>
      <c r="F17" s="53" t="n">
        <f aca="false">Deal_CF!F34</f>
        <v>7.5</v>
      </c>
      <c r="G17" s="53" t="n">
        <f aca="false">Deal_CF!G34</f>
        <v>7.5</v>
      </c>
      <c r="H17" s="53" t="n">
        <f aca="false">Deal_CF!H34</f>
        <v>7.5</v>
      </c>
      <c r="I17" s="53" t="n">
        <f aca="false">Deal_CF!I34</f>
        <v>7.5</v>
      </c>
      <c r="J17" s="53" t="n">
        <f aca="false">Deal_CF!J34</f>
        <v>7.5</v>
      </c>
      <c r="K17" s="53" t="n">
        <f aca="false">Deal_CF!K34</f>
        <v>7.5</v>
      </c>
      <c r="L17" s="53" t="n">
        <f aca="false">Deal_CF!L34</f>
        <v>7.5</v>
      </c>
      <c r="M17" s="53" t="n">
        <f aca="false">Deal_CF!M34</f>
        <v>7.5</v>
      </c>
    </row>
    <row r="18" customFormat="false" ht="15" hidden="false" customHeight="false" outlineLevel="0" collapsed="false">
      <c r="A18" s="4" t="s">
        <v>451</v>
      </c>
      <c r="C18" s="54" t="n">
        <f aca="false">Deal_CF!C38</f>
        <v>5.92858021653543</v>
      </c>
      <c r="D18" s="54" t="n">
        <f aca="false">Deal_CF!D38</f>
        <v>5.25613619586614</v>
      </c>
      <c r="E18" s="54" t="n">
        <f aca="false">Deal_CF!E38</f>
        <v>5.56940514271654</v>
      </c>
      <c r="F18" s="54" t="n">
        <f aca="false">Deal_CF!F38</f>
        <v>5.21936515748032</v>
      </c>
      <c r="G18" s="54" t="n">
        <f aca="false">Deal_CF!G38</f>
        <v>4.93053026574803</v>
      </c>
      <c r="H18" s="54" t="n">
        <f aca="false">Deal_CF!H38</f>
        <v>4.72062253937008</v>
      </c>
      <c r="I18" s="54" t="n">
        <f aca="false">Deal_CF!I38</f>
        <v>4.37522317913386</v>
      </c>
      <c r="J18" s="54" t="n">
        <f aca="false">Deal_CF!J38</f>
        <v>4.06455177165354</v>
      </c>
      <c r="K18" s="54" t="n">
        <f aca="false">Deal_CF!K38</f>
        <v>3.79555390748031</v>
      </c>
      <c r="L18" s="54" t="n">
        <f aca="false">Deal_CF!L38</f>
        <v>3.57656429527559</v>
      </c>
      <c r="M18" s="54" t="n">
        <f aca="false">Deal_CF!M38</f>
        <v>3.41758458543307</v>
      </c>
    </row>
    <row r="19" customFormat="false" ht="15" hidden="false" customHeight="false" outlineLevel="0" collapsed="false">
      <c r="A19" s="4" t="s">
        <v>452</v>
      </c>
      <c r="C19" s="55" t="n">
        <f aca="false">Deal_CF!C39</f>
        <v>-0.209522637795276</v>
      </c>
      <c r="D19" s="55" t="n">
        <f aca="false">Deal_CF!D39</f>
        <v>-0.299181840551181</v>
      </c>
      <c r="E19" s="55" t="n">
        <f aca="false">Deal_CF!E39</f>
        <v>-0.257412647637795</v>
      </c>
      <c r="F19" s="55" t="n">
        <f aca="false">Deal_CF!F39</f>
        <v>-0.304084645669291</v>
      </c>
      <c r="G19" s="55" t="n">
        <f aca="false">Deal_CF!G39</f>
        <v>-0.342595964566929</v>
      </c>
      <c r="H19" s="55" t="n">
        <f aca="false">Deal_CF!H39</f>
        <v>-0.370583661417323</v>
      </c>
      <c r="I19" s="55" t="n">
        <f aca="false">Deal_CF!I39</f>
        <v>-0.416636909448819</v>
      </c>
      <c r="J19" s="55" t="n">
        <f aca="false">Deal_CF!J39</f>
        <v>-0.458059763779528</v>
      </c>
      <c r="K19" s="55" t="n">
        <f aca="false">Deal_CF!K39</f>
        <v>-0.493926145669291</v>
      </c>
      <c r="L19" s="55" t="n">
        <f aca="false">Deal_CF!L39</f>
        <v>-0.523124760629921</v>
      </c>
      <c r="M19" s="55" t="n">
        <f aca="false">Deal_CF!M39</f>
        <v>-0.544322055275591</v>
      </c>
    </row>
    <row r="20" customFormat="false" ht="15" hidden="false" customHeight="false" outlineLevel="0" collapsed="false">
      <c r="A20" s="9" t="s">
        <v>453</v>
      </c>
      <c r="C20" s="53" t="n">
        <f aca="false">Deal_CF!C35</f>
        <v>7.5</v>
      </c>
      <c r="D20" s="53" t="n">
        <f aca="false">Deal_CF!D35</f>
        <v>8.578125</v>
      </c>
      <c r="E20" s="53" t="n">
        <f aca="false">Deal_CF!E35</f>
        <v>8.578125</v>
      </c>
      <c r="F20" s="53" t="n">
        <f aca="false">Deal_CF!F35</f>
        <v>8.578125</v>
      </c>
      <c r="G20" s="53" t="n">
        <f aca="false">Deal_CF!G35</f>
        <v>8.578125</v>
      </c>
      <c r="H20" s="53" t="n">
        <f aca="false">Deal_CF!H35</f>
        <v>8.578125</v>
      </c>
      <c r="I20" s="53" t="n">
        <f aca="false">Deal_CF!I35</f>
        <v>8.578125</v>
      </c>
      <c r="J20" s="53" t="n">
        <f aca="false">Deal_CF!J35</f>
        <v>8.578125</v>
      </c>
      <c r="K20" s="53" t="n">
        <f aca="false">Deal_CF!K35</f>
        <v>8.578125</v>
      </c>
      <c r="L20" s="53" t="n">
        <f aca="false">Deal_CF!L35</f>
        <v>8.578125</v>
      </c>
      <c r="M20" s="53" t="n">
        <f aca="false">Deal_CF!M35</f>
        <v>8.578125</v>
      </c>
    </row>
    <row r="21" customFormat="false" ht="15" hidden="false" customHeight="false" outlineLevel="0" collapsed="false">
      <c r="A21" s="9" t="s">
        <v>454</v>
      </c>
      <c r="C21" s="53" t="n">
        <f aca="false">Deal_CF!C40</f>
        <v>5.92858021653543</v>
      </c>
      <c r="D21" s="53" t="n">
        <f aca="false">Deal_CF!D40</f>
        <v>6.31728284940945</v>
      </c>
      <c r="E21" s="53" t="n">
        <f aca="false">Deal_CF!E40</f>
        <v>6.63055179625984</v>
      </c>
      <c r="F21" s="53" t="n">
        <f aca="false">Deal_CF!F40</f>
        <v>6.28051181102362</v>
      </c>
      <c r="G21" s="53" t="n">
        <f aca="false">Deal_CF!G40</f>
        <v>5.99167691929134</v>
      </c>
      <c r="H21" s="53" t="n">
        <f aca="false">Deal_CF!H40</f>
        <v>5.78176919291339</v>
      </c>
      <c r="I21" s="53" t="n">
        <f aca="false">Deal_CF!I40</f>
        <v>5.43636983267717</v>
      </c>
      <c r="J21" s="53" t="n">
        <f aca="false">Deal_CF!J40</f>
        <v>5.12569842519685</v>
      </c>
      <c r="K21" s="53" t="n">
        <f aca="false">Deal_CF!K40</f>
        <v>4.85670056102362</v>
      </c>
      <c r="L21" s="53" t="n">
        <f aca="false">Deal_CF!L40</f>
        <v>4.6377109488189</v>
      </c>
      <c r="M21" s="53" t="n">
        <f aca="false">Deal_CF!M40</f>
        <v>4.47873123897638</v>
      </c>
    </row>
    <row r="22" customFormat="false" ht="15" hidden="false" customHeight="false" outlineLevel="0" collapsed="false">
      <c r="A22" s="9" t="s">
        <v>455</v>
      </c>
      <c r="C22" s="56" t="n">
        <f aca="false">Deal_CF!C41</f>
        <v>-0.209522637795276</v>
      </c>
      <c r="D22" s="56" t="n">
        <f aca="false">Deal_CF!D41</f>
        <v>-0.263559012090702</v>
      </c>
      <c r="E22" s="56" t="n">
        <f aca="false">Deal_CF!E41</f>
        <v>-0.227039499160966</v>
      </c>
      <c r="F22" s="56" t="n">
        <f aca="false">Deal_CF!F41</f>
        <v>-0.267845617658448</v>
      </c>
      <c r="G22" s="56" t="n">
        <f aca="false">Deal_CF!G41</f>
        <v>-0.301516716148186</v>
      </c>
      <c r="H22" s="56" t="n">
        <f aca="false">Deal_CF!H41</f>
        <v>-0.325986833613012</v>
      </c>
      <c r="I22" s="56" t="n">
        <f aca="false">Deal_CF!I41</f>
        <v>-0.366251968503937</v>
      </c>
      <c r="J22" s="56" t="n">
        <f aca="false">Deal_CF!J41</f>
        <v>-0.402468671743901</v>
      </c>
      <c r="K22" s="56" t="n">
        <f aca="false">Deal_CF!K41</f>
        <v>-0.433827257002711</v>
      </c>
      <c r="L22" s="56" t="n">
        <f aca="false">Deal_CF!L41</f>
        <v>-0.459356100684136</v>
      </c>
      <c r="M22" s="56" t="n">
        <f aca="false">Deal_CF!M41</f>
        <v>-0.477889254472699</v>
      </c>
    </row>
    <row r="23" customFormat="false" ht="15" hidden="false" customHeight="false" outlineLevel="0" collapsed="false">
      <c r="A23" s="9" t="s">
        <v>456</v>
      </c>
      <c r="C23" s="53" t="n">
        <f aca="false">Deal_CF!C42</f>
        <v>5.92858021653543</v>
      </c>
      <c r="D23" s="53" t="n">
        <f aca="false">Deal_CF!D42</f>
        <v>5.25613619586614</v>
      </c>
      <c r="E23" s="53" t="n">
        <f aca="false">Deal_CF!E42</f>
        <v>5.56940514271654</v>
      </c>
      <c r="F23" s="53" t="n">
        <f aca="false">Deal_CF!F42</f>
        <v>5.21936515748032</v>
      </c>
      <c r="G23" s="53" t="n">
        <f aca="false">Deal_CF!G42</f>
        <v>4.93053026574803</v>
      </c>
      <c r="H23" s="53" t="n">
        <f aca="false">Deal_CF!H42</f>
        <v>4.72062253937008</v>
      </c>
      <c r="I23" s="53" t="n">
        <f aca="false">Deal_CF!I42</f>
        <v>4.37522317913386</v>
      </c>
      <c r="J23" s="53" t="n">
        <f aca="false">Deal_CF!J42</f>
        <v>4.06455177165354</v>
      </c>
      <c r="K23" s="53" t="n">
        <f aca="false">Deal_CF!K42</f>
        <v>3.79555390748031</v>
      </c>
      <c r="L23" s="53" t="n">
        <f aca="false">Deal_CF!L42</f>
        <v>3.57656429527559</v>
      </c>
      <c r="M23" s="53" t="n">
        <f aca="false">Deal_CF!M42</f>
        <v>3.41758458543307</v>
      </c>
    </row>
    <row r="24" customFormat="false" ht="15" hidden="false" customHeight="false" outlineLevel="0" collapsed="false">
      <c r="A24" s="9" t="s">
        <v>457</v>
      </c>
      <c r="C24" s="53" t="n">
        <f aca="false">Deal_CF!C43</f>
        <v>4.48680487204724</v>
      </c>
      <c r="D24" s="53" t="n">
        <f aca="false">Deal_CF!D43</f>
        <v>3.81436085137795</v>
      </c>
      <c r="E24" s="53" t="n">
        <f aca="false">Deal_CF!E43</f>
        <v>4.12762979822835</v>
      </c>
      <c r="F24" s="53" t="n">
        <f aca="false">Deal_CF!F43</f>
        <v>3.77758981299213</v>
      </c>
      <c r="G24" s="53" t="n">
        <f aca="false">Deal_CF!G43</f>
        <v>3.48875492125984</v>
      </c>
      <c r="H24" s="53" t="n">
        <f aca="false">Deal_CF!H43</f>
        <v>3.27884719488189</v>
      </c>
      <c r="I24" s="53" t="n">
        <f aca="false">Deal_CF!I43</f>
        <v>2.93344783464567</v>
      </c>
      <c r="J24" s="53" t="n">
        <f aca="false">Deal_CF!J43</f>
        <v>2.62277642716535</v>
      </c>
      <c r="K24" s="53" t="n">
        <f aca="false">Deal_CF!K43</f>
        <v>2.35377856299213</v>
      </c>
      <c r="L24" s="53" t="n">
        <f aca="false">Deal_CF!L43</f>
        <v>2.1347889507874</v>
      </c>
      <c r="M24" s="53" t="n">
        <f aca="false">Deal_CF!M43</f>
        <v>1.97580924094488</v>
      </c>
    </row>
    <row r="25" customFormat="false" ht="15" hidden="false" customHeight="false" outlineLevel="0" collapsed="false">
      <c r="A25" s="9" t="s">
        <v>458</v>
      </c>
      <c r="C25" s="53" t="n">
        <f aca="false">Deal_CF!C44</f>
        <v>7.38188976377953</v>
      </c>
      <c r="D25" s="53" t="n">
        <f aca="false">Deal_CF!D44</f>
        <v>7.38188976377953</v>
      </c>
      <c r="E25" s="53" t="n">
        <f aca="false">Deal_CF!E44</f>
        <v>7.38188976377953</v>
      </c>
      <c r="F25" s="53" t="n">
        <f aca="false">Deal_CF!F44</f>
        <v>7.38188976377953</v>
      </c>
      <c r="G25" s="53" t="n">
        <f aca="false">Deal_CF!G44</f>
        <v>7.38188976377953</v>
      </c>
      <c r="H25" s="53" t="n">
        <f aca="false">Deal_CF!H44</f>
        <v>7.38188976377953</v>
      </c>
      <c r="I25" s="53" t="n">
        <f aca="false">Deal_CF!I44</f>
        <v>7.38188976377953</v>
      </c>
      <c r="J25" s="53" t="n">
        <f aca="false">Deal_CF!J44</f>
        <v>7.38188976377953</v>
      </c>
      <c r="K25" s="53" t="n">
        <f aca="false">Deal_CF!K44</f>
        <v>7.38188976377953</v>
      </c>
      <c r="L25" s="53" t="n">
        <f aca="false">Deal_CF!L44</f>
        <v>7.38188976377953</v>
      </c>
      <c r="M25" s="53" t="n">
        <f aca="false">Deal_CF!M44</f>
        <v>7.38188976377953</v>
      </c>
    </row>
    <row r="27" customFormat="false" ht="15" hidden="false" customHeight="false" outlineLevel="0" collapsed="false">
      <c r="A27" s="7" t="s">
        <v>459</v>
      </c>
      <c r="B27" s="8"/>
      <c r="C27" s="8"/>
      <c r="D27" s="8"/>
      <c r="E27" s="8"/>
      <c r="F27" s="8"/>
      <c r="G27" s="8"/>
      <c r="H27" s="8"/>
      <c r="I27" s="8"/>
      <c r="J27" s="8"/>
      <c r="K27" s="8"/>
      <c r="L27" s="8"/>
      <c r="M27" s="8"/>
      <c r="N27" s="8"/>
    </row>
    <row r="28" customFormat="false" ht="15" hidden="false" customHeight="false" outlineLevel="0" collapsed="false">
      <c r="A28" s="9" t="s">
        <v>460</v>
      </c>
      <c r="B28" s="53" t="n">
        <f aca="false">cf_eps</f>
        <v>7.5</v>
      </c>
    </row>
    <row r="29" customFormat="false" ht="15" hidden="false" customHeight="false" outlineLevel="0" collapsed="false">
      <c r="A29" s="9" t="s">
        <v>461</v>
      </c>
      <c r="B29" s="50" t="n">
        <f aca="false">Deal_CF!D44-cf_eps</f>
        <v>-0.118110236220472</v>
      </c>
    </row>
    <row r="30" customFormat="false" ht="15" hidden="false" customHeight="false" outlineLevel="0" collapsed="false">
      <c r="A30" s="9" t="s">
        <v>462</v>
      </c>
      <c r="B30" s="50" t="n">
        <f aca="false">-Deal_CF!C23/Deal_CF!C22</f>
        <v>-1.45330954724409</v>
      </c>
    </row>
    <row r="31" customFormat="false" ht="15" hidden="false" customHeight="false" outlineLevel="0" collapsed="false">
      <c r="A31" s="9" t="s">
        <v>463</v>
      </c>
      <c r="B31" s="50" t="n">
        <f aca="false">Liminal_Ops!D31/Deal_CF!C22</f>
        <v>-0.672444020669291</v>
      </c>
    </row>
    <row r="32" customFormat="false" ht="15" hidden="false" customHeight="false" outlineLevel="0" collapsed="false">
      <c r="A32" s="9" t="s">
        <v>464</v>
      </c>
      <c r="B32" s="50" t="n">
        <f aca="false">-Deal_CF!C25/Deal_CF!C22</f>
        <v>-0</v>
      </c>
    </row>
    <row r="33" customFormat="false" ht="15" hidden="false" customHeight="false" outlineLevel="0" collapsed="false">
      <c r="A33" s="9" t="s">
        <v>465</v>
      </c>
      <c r="B33" s="50" t="n">
        <f aca="false">-(Deal_CF!D29+Deal_CF!D31)/Deal_CF!C22</f>
        <v>-0</v>
      </c>
    </row>
    <row r="34" customFormat="false" ht="15" hidden="false" customHeight="false" outlineLevel="0" collapsed="false">
      <c r="A34" s="9" t="s">
        <v>466</v>
      </c>
      <c r="B34" s="50" t="n">
        <f aca="false">Deal_CF!D27*(1-a_tax)/Deal_CF!C22</f>
        <v>0</v>
      </c>
    </row>
    <row r="35" customFormat="false" ht="15" hidden="false" customHeight="false" outlineLevel="0" collapsed="false">
      <c r="A35" s="4" t="s">
        <v>467</v>
      </c>
      <c r="B35" s="25" t="n">
        <f aca="false">SUM(B28:B34)</f>
        <v>5.25613619586614</v>
      </c>
    </row>
    <row r="36" customFormat="false" ht="15" hidden="false" customHeight="false" outlineLevel="0" collapsed="false">
      <c r="A36" s="9" t="s">
        <v>468</v>
      </c>
      <c r="B36" s="57" t="n">
        <f aca="false">B35-Deal_CF!D38</f>
        <v>0</v>
      </c>
    </row>
    <row r="37" customFormat="false" ht="15" hidden="false" customHeight="false" outlineLevel="0" collapsed="false">
      <c r="A37" s="9" t="s">
        <v>469</v>
      </c>
      <c r="B37" s="50" t="n">
        <f aca="false">Deal_CF!D33/Deal_CF!C22</f>
        <v>1.06114665354331</v>
      </c>
    </row>
    <row r="38" customFormat="false" ht="15" hidden="false" customHeight="false" outlineLevel="0" collapsed="false">
      <c r="A38" s="9" t="s">
        <v>470</v>
      </c>
      <c r="B38" s="48" t="n">
        <f aca="false">B35+B37</f>
        <v>6.31728284940945</v>
      </c>
    </row>
    <row r="40" customFormat="false" ht="15" hidden="false" customHeight="false" outlineLevel="0" collapsed="false">
      <c r="A40" s="7" t="s">
        <v>471</v>
      </c>
      <c r="B40" s="8"/>
      <c r="C40" s="8"/>
      <c r="D40" s="8"/>
      <c r="E40" s="8"/>
      <c r="F40" s="8"/>
      <c r="G40" s="8"/>
      <c r="H40" s="8"/>
      <c r="I40" s="8"/>
      <c r="J40" s="8"/>
      <c r="K40" s="8"/>
      <c r="L40" s="8"/>
      <c r="M40" s="8"/>
      <c r="N40" s="8"/>
    </row>
    <row r="41" customFormat="false" ht="15" hidden="false" customHeight="false" outlineLevel="0" collapsed="false">
      <c r="A41" s="9" t="s">
        <v>472</v>
      </c>
      <c r="B41" s="56" t="n">
        <f aca="false">Deal_CF!F39</f>
        <v>-0.304084645669291</v>
      </c>
    </row>
    <row r="42" customFormat="false" ht="15" hidden="false" customHeight="false" outlineLevel="0" collapsed="false">
      <c r="A42" s="9" t="s">
        <v>473</v>
      </c>
      <c r="B42" s="58" t="n">
        <f aca="false">e_pat_be</f>
        <v>99</v>
      </c>
    </row>
    <row r="43" customFormat="false" ht="15" hidden="false" customHeight="false" outlineLevel="0" collapsed="false">
      <c r="A43" s="9" t="s">
        <v>474</v>
      </c>
      <c r="B43" s="47" t="n">
        <f aca="false">e_npv</f>
        <v>-7486.75737685072</v>
      </c>
    </row>
    <row r="44" customFormat="false" ht="15" hidden="false" customHeight="false" outlineLevel="0" collapsed="false">
      <c r="A44" s="9" t="s">
        <v>475</v>
      </c>
      <c r="B44" s="47" t="n">
        <f aca="false">e_ev_lim</f>
        <v>724.518150467921</v>
      </c>
    </row>
    <row r="45" customFormat="false" ht="15" hidden="false" customHeight="false" outlineLevel="0" collapsed="false">
      <c r="A45" s="9" t="s">
        <v>476</v>
      </c>
      <c r="B45" s="47" t="n">
        <f aca="false">e_pv_drag</f>
        <v>4069.68260696466</v>
      </c>
    </row>
    <row r="46" customFormat="false" ht="15" hidden="false" customHeight="false" outlineLevel="0" collapsed="false">
      <c r="A46" s="3" t="s">
        <v>477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55A11"/>
    <pageSetUpPr fitToPage="false"/>
  </sheetPr>
  <dimension ref="A1:N8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8.5390625" defaultRowHeight="15" zeroHeight="false" outlineLevelRow="0" outlineLevelCol="0"/>
  <cols>
    <col collapsed="false" customWidth="true" hidden="false" outlineLevel="0" max="1" min="1" style="0" width="62"/>
    <col collapsed="false" customWidth="true" hidden="false" outlineLevel="0" max="2" min="2" style="0" width="12"/>
    <col collapsed="false" customWidth="true" hidden="false" outlineLevel="0" max="13" min="3" style="0" width="11"/>
  </cols>
  <sheetData>
    <row r="1" customFormat="false" ht="18" hidden="false" customHeight="true" outlineLevel="0" collapsed="false">
      <c r="A1" s="6" t="s">
        <v>478</v>
      </c>
      <c r="B1" s="2"/>
      <c r="C1" s="2"/>
      <c r="D1" s="2"/>
      <c r="E1" s="2"/>
      <c r="F1" s="2"/>
      <c r="G1" s="2"/>
      <c r="H1" s="2"/>
      <c r="I1" s="2"/>
      <c r="J1" s="2"/>
      <c r="K1" s="2"/>
      <c r="L1" s="2"/>
      <c r="M1" s="2"/>
      <c r="N1" s="2"/>
    </row>
    <row r="2" customFormat="false" ht="15" hidden="false" customHeight="false" outlineLevel="0" collapsed="false">
      <c r="A2" s="3" t="s">
        <v>479</v>
      </c>
    </row>
    <row r="4" customFormat="false" ht="15" hidden="false" customHeight="false" outlineLevel="0" collapsed="false">
      <c r="A4" s="7" t="s">
        <v>480</v>
      </c>
      <c r="B4" s="8"/>
      <c r="C4" s="8"/>
      <c r="D4" s="8"/>
      <c r="E4" s="8"/>
      <c r="F4" s="8"/>
      <c r="G4" s="8"/>
      <c r="H4" s="8"/>
      <c r="I4" s="8"/>
      <c r="J4" s="8"/>
      <c r="K4" s="8"/>
      <c r="L4" s="8"/>
      <c r="M4" s="8"/>
      <c r="N4" s="8"/>
    </row>
    <row r="5" customFormat="false" ht="15" hidden="false" customHeight="false" outlineLevel="0" collapsed="false">
      <c r="A5" s="4" t="s">
        <v>284</v>
      </c>
      <c r="C5" s="39" t="n">
        <v>0</v>
      </c>
      <c r="D5" s="39" t="n">
        <v>1</v>
      </c>
      <c r="E5" s="39" t="n">
        <v>2</v>
      </c>
      <c r="F5" s="39" t="n">
        <v>3</v>
      </c>
      <c r="G5" s="39" t="n">
        <v>4</v>
      </c>
      <c r="H5" s="39" t="n">
        <v>5</v>
      </c>
      <c r="I5" s="39" t="n">
        <v>6</v>
      </c>
      <c r="J5" s="39" t="n">
        <v>7</v>
      </c>
      <c r="K5" s="39" t="n">
        <v>8</v>
      </c>
      <c r="L5" s="39" t="n">
        <v>9</v>
      </c>
      <c r="M5" s="39" t="n">
        <v>10</v>
      </c>
    </row>
    <row r="6" customFormat="false" ht="15" hidden="false" customHeight="false" outlineLevel="0" collapsed="false">
      <c r="A6" s="9" t="s">
        <v>285</v>
      </c>
      <c r="C6" s="40" t="n">
        <f aca="false">cf_arr</f>
        <v>220</v>
      </c>
      <c r="D6" s="36" t="n">
        <f aca="false">C6*(1+lv_g)</f>
        <v>264</v>
      </c>
      <c r="E6" s="36" t="n">
        <f aca="false">D6*(1+lv_g)</f>
        <v>316.8</v>
      </c>
      <c r="F6" s="36" t="n">
        <f aca="false">E6*(1+lv_g)</f>
        <v>380.16</v>
      </c>
      <c r="G6" s="36" t="n">
        <f aca="false">F6*(1+lv_g)</f>
        <v>456.192</v>
      </c>
      <c r="H6" s="36" t="n">
        <f aca="false">G6*(1+lv_g)</f>
        <v>547.4304</v>
      </c>
      <c r="I6" s="36" t="n">
        <f aca="false">H6*(1+lv_g)</f>
        <v>656.91648</v>
      </c>
      <c r="J6" s="36" t="n">
        <f aca="false">I6*(1+lv_g)</f>
        <v>788.299776</v>
      </c>
      <c r="K6" s="36" t="n">
        <f aca="false">J6*(1+lv_g)</f>
        <v>945.9597312</v>
      </c>
      <c r="L6" s="36" t="n">
        <f aca="false">K6*(1+lv_g)</f>
        <v>1135.15167744</v>
      </c>
      <c r="M6" s="36" t="n">
        <f aca="false">L6*(1+lv_g)</f>
        <v>1362.182012928</v>
      </c>
    </row>
    <row r="7" customFormat="false" ht="15" hidden="false" customHeight="false" outlineLevel="0" collapsed="false">
      <c r="A7" s="9" t="s">
        <v>286</v>
      </c>
      <c r="C7" s="18" t="n">
        <f aca="false">1</f>
        <v>1</v>
      </c>
      <c r="D7" s="18" t="n">
        <f aca="false">IF(D5&gt;=a_churn_year,1-lv_churn,1)</f>
        <v>0.625</v>
      </c>
      <c r="E7" s="18" t="n">
        <f aca="false">IF(E5&gt;=a_churn_year,1-lv_churn,1)</f>
        <v>0.625</v>
      </c>
      <c r="F7" s="18" t="n">
        <f aca="false">IF(F5&gt;=a_churn_year,1-lv_churn,1)</f>
        <v>0.625</v>
      </c>
      <c r="G7" s="18" t="n">
        <f aca="false">IF(G5&gt;=a_churn_year,1-lv_churn,1)</f>
        <v>0.625</v>
      </c>
      <c r="H7" s="18" t="n">
        <f aca="false">IF(H5&gt;=a_churn_year,1-lv_churn,1)</f>
        <v>0.625</v>
      </c>
      <c r="I7" s="18" t="n">
        <f aca="false">IF(I5&gt;=a_churn_year,1-lv_churn,1)</f>
        <v>0.625</v>
      </c>
      <c r="J7" s="18" t="n">
        <f aca="false">IF(J5&gt;=a_churn_year,1-lv_churn,1)</f>
        <v>0.625</v>
      </c>
      <c r="K7" s="18" t="n">
        <f aca="false">IF(K5&gt;=a_churn_year,1-lv_churn,1)</f>
        <v>0.625</v>
      </c>
      <c r="L7" s="18" t="n">
        <f aca="false">IF(L5&gt;=a_churn_year,1-lv_churn,1)</f>
        <v>0.625</v>
      </c>
      <c r="M7" s="18" t="n">
        <f aca="false">IF(M5&gt;=a_churn_year,1-lv_churn,1)</f>
        <v>0.625</v>
      </c>
    </row>
    <row r="8" customFormat="false" ht="15" hidden="false" customHeight="false" outlineLevel="0" collapsed="false">
      <c r="A8" s="4" t="s">
        <v>287</v>
      </c>
      <c r="C8" s="41" t="n">
        <f aca="false">C6*C7</f>
        <v>220</v>
      </c>
      <c r="D8" s="41" t="n">
        <f aca="false">D6*D7</f>
        <v>165</v>
      </c>
      <c r="E8" s="41" t="n">
        <f aca="false">E6*E7</f>
        <v>198</v>
      </c>
      <c r="F8" s="41" t="n">
        <f aca="false">F6*F7</f>
        <v>237.6</v>
      </c>
      <c r="G8" s="41" t="n">
        <f aca="false">G6*G7</f>
        <v>285.12</v>
      </c>
      <c r="H8" s="41" t="n">
        <f aca="false">H6*H7</f>
        <v>342.144</v>
      </c>
      <c r="I8" s="41" t="n">
        <f aca="false">I6*I7</f>
        <v>410.5728</v>
      </c>
      <c r="J8" s="41" t="n">
        <f aca="false">J6*J7</f>
        <v>492.68736</v>
      </c>
      <c r="K8" s="41" t="n">
        <f aca="false">K6*K7</f>
        <v>591.224832</v>
      </c>
      <c r="L8" s="41" t="n">
        <f aca="false">L6*L7</f>
        <v>709.4697984</v>
      </c>
      <c r="M8" s="41" t="n">
        <f aca="false">M6*M7</f>
        <v>851.36375808</v>
      </c>
    </row>
    <row r="9" customFormat="false" ht="15" hidden="false" customHeight="false" outlineLevel="0" collapsed="false">
      <c r="A9" s="9" t="s">
        <v>288</v>
      </c>
      <c r="C9" s="18" t="n">
        <f aca="false">MIN(a_m0+a_mstep*C5,a_mcap)</f>
        <v>0</v>
      </c>
      <c r="D9" s="18" t="n">
        <f aca="false">MIN(a_m0+a_mstep*D5,a_mcap)</f>
        <v>0.05</v>
      </c>
      <c r="E9" s="18" t="n">
        <f aca="false">MIN(a_m0+a_mstep*E5,a_mcap)</f>
        <v>0.1</v>
      </c>
      <c r="F9" s="18" t="n">
        <f aca="false">MIN(a_m0+a_mstep*F5,a_mcap)</f>
        <v>0.15</v>
      </c>
      <c r="G9" s="18" t="n">
        <f aca="false">MIN(a_m0+a_mstep*G5,a_mcap)</f>
        <v>0.2</v>
      </c>
      <c r="H9" s="18" t="n">
        <f aca="false">MIN(a_m0+a_mstep*H5,a_mcap)</f>
        <v>0.25</v>
      </c>
      <c r="I9" s="18" t="n">
        <f aca="false">MIN(a_m0+a_mstep*I5,a_mcap)</f>
        <v>0.25</v>
      </c>
      <c r="J9" s="18" t="n">
        <f aca="false">MIN(a_m0+a_mstep*J5,a_mcap)</f>
        <v>0.25</v>
      </c>
      <c r="K9" s="18" t="n">
        <f aca="false">MIN(a_m0+a_mstep*K5,a_mcap)</f>
        <v>0.25</v>
      </c>
      <c r="L9" s="18" t="n">
        <f aca="false">MIN(a_m0+a_mstep*L5,a_mcap)</f>
        <v>0.25</v>
      </c>
      <c r="M9" s="18" t="n">
        <f aca="false">MIN(a_m0+a_mstep*M5,a_mcap)</f>
        <v>0.25</v>
      </c>
    </row>
    <row r="10" customFormat="false" ht="15" hidden="false" customHeight="false" outlineLevel="0" collapsed="false">
      <c r="A10" s="9" t="s">
        <v>289</v>
      </c>
      <c r="C10" s="36" t="n">
        <f aca="false">IF(C5=a_churn_year,a_sticky*(C6-C8)*(1-C9),0)</f>
        <v>0</v>
      </c>
      <c r="D10" s="36" t="n">
        <f aca="false">IF(D5=a_churn_year,a_sticky*(D6-D8)*(1-D9),0)</f>
        <v>47.025</v>
      </c>
      <c r="E10" s="36" t="n">
        <f aca="false">IF(E5=a_churn_year,a_sticky*(E6-E8)*(1-E9),0)</f>
        <v>0</v>
      </c>
      <c r="F10" s="36" t="n">
        <f aca="false">IF(F5=a_churn_year,a_sticky*(F6-F8)*(1-F9),0)</f>
        <v>0</v>
      </c>
      <c r="G10" s="36" t="n">
        <f aca="false">IF(G5=a_churn_year,a_sticky*(G6-G8)*(1-G9),0)</f>
        <v>0</v>
      </c>
      <c r="H10" s="36" t="n">
        <f aca="false">IF(H5=a_churn_year,a_sticky*(H6-H8)*(1-H9),0)</f>
        <v>0</v>
      </c>
      <c r="I10" s="36" t="n">
        <f aca="false">IF(I5=a_churn_year,a_sticky*(I6-I8)*(1-I9),0)</f>
        <v>0</v>
      </c>
      <c r="J10" s="36" t="n">
        <f aca="false">IF(J5=a_churn_year,a_sticky*(J6-J8)*(1-J9),0)</f>
        <v>0</v>
      </c>
      <c r="K10" s="36" t="n">
        <f aca="false">IF(K5=a_churn_year,a_sticky*(K6-K8)*(1-K9),0)</f>
        <v>0</v>
      </c>
      <c r="L10" s="36" t="n">
        <f aca="false">IF(L5=a_churn_year,a_sticky*(L6-L8)*(1-L9),0)</f>
        <v>0</v>
      </c>
      <c r="M10" s="36" t="n">
        <f aca="false">IF(M5=a_churn_year,a_sticky*(M6-M8)*(1-M9),0)</f>
        <v>0</v>
      </c>
    </row>
    <row r="11" customFormat="false" ht="15" hidden="false" customHeight="false" outlineLevel="0" collapsed="false">
      <c r="A11" s="4" t="s">
        <v>290</v>
      </c>
      <c r="C11" s="41" t="n">
        <f aca="false">C8*C9-C10</f>
        <v>0</v>
      </c>
      <c r="D11" s="41" t="n">
        <f aca="false">D8*D9-D10</f>
        <v>-38.775</v>
      </c>
      <c r="E11" s="41" t="n">
        <f aca="false">E8*E9-E10</f>
        <v>19.8</v>
      </c>
      <c r="F11" s="41" t="n">
        <f aca="false">F8*F9-F10</f>
        <v>35.64</v>
      </c>
      <c r="G11" s="41" t="n">
        <f aca="false">G8*G9-G10</f>
        <v>57.024</v>
      </c>
      <c r="H11" s="41" t="n">
        <f aca="false">H8*H9-H10</f>
        <v>85.536</v>
      </c>
      <c r="I11" s="41" t="n">
        <f aca="false">I8*I9-I10</f>
        <v>102.6432</v>
      </c>
      <c r="J11" s="41" t="n">
        <f aca="false">J8*J9-J10</f>
        <v>123.17184</v>
      </c>
      <c r="K11" s="41" t="n">
        <f aca="false">K8*K9-K10</f>
        <v>147.806208</v>
      </c>
      <c r="L11" s="41" t="n">
        <f aca="false">L8*L9-L10</f>
        <v>177.3674496</v>
      </c>
      <c r="M11" s="41" t="n">
        <f aca="false">M8*M9-M10</f>
        <v>212.84093952</v>
      </c>
    </row>
    <row r="12" customFormat="false" ht="15" hidden="false" customHeight="false" outlineLevel="0" collapsed="false">
      <c r="A12" s="9" t="s">
        <v>291</v>
      </c>
      <c r="C12" s="36" t="n">
        <f aca="false">C8*a_da</f>
        <v>6.6</v>
      </c>
      <c r="D12" s="36" t="n">
        <f aca="false">D8*a_da</f>
        <v>4.95</v>
      </c>
      <c r="E12" s="36" t="n">
        <f aca="false">E8*a_da</f>
        <v>5.94</v>
      </c>
      <c r="F12" s="36" t="n">
        <f aca="false">F8*a_da</f>
        <v>7.128</v>
      </c>
      <c r="G12" s="36" t="n">
        <f aca="false">G8*a_da</f>
        <v>8.5536</v>
      </c>
      <c r="H12" s="36" t="n">
        <f aca="false">H8*a_da</f>
        <v>10.26432</v>
      </c>
      <c r="I12" s="36" t="n">
        <f aca="false">I8*a_da</f>
        <v>12.317184</v>
      </c>
      <c r="J12" s="36" t="n">
        <f aca="false">J8*a_da</f>
        <v>14.7806208</v>
      </c>
      <c r="K12" s="36" t="n">
        <f aca="false">K8*a_da</f>
        <v>17.73674496</v>
      </c>
      <c r="L12" s="36" t="n">
        <f aca="false">L8*a_da</f>
        <v>21.284093952</v>
      </c>
      <c r="M12" s="36" t="n">
        <f aca="false">M8*a_da</f>
        <v>25.5409127424</v>
      </c>
    </row>
    <row r="13" customFormat="false" ht="15" hidden="false" customHeight="false" outlineLevel="0" collapsed="false">
      <c r="A13" s="9" t="s">
        <v>292</v>
      </c>
      <c r="C13" s="36" t="n">
        <f aca="false">C11-C12</f>
        <v>-6.6</v>
      </c>
      <c r="D13" s="36" t="n">
        <f aca="false">D11-D12</f>
        <v>-43.725</v>
      </c>
      <c r="E13" s="36" t="n">
        <f aca="false">E11-E12</f>
        <v>13.86</v>
      </c>
      <c r="F13" s="36" t="n">
        <f aca="false">F11-F12</f>
        <v>28.512</v>
      </c>
      <c r="G13" s="36" t="n">
        <f aca="false">G11-G12</f>
        <v>48.4704</v>
      </c>
      <c r="H13" s="36" t="n">
        <f aca="false">H11-H12</f>
        <v>75.27168</v>
      </c>
      <c r="I13" s="36" t="n">
        <f aca="false">I11-I12</f>
        <v>90.326016</v>
      </c>
      <c r="J13" s="36" t="n">
        <f aca="false">J11-J12</f>
        <v>108.3912192</v>
      </c>
      <c r="K13" s="36" t="n">
        <f aca="false">K11-K12</f>
        <v>130.06946304</v>
      </c>
      <c r="L13" s="36" t="n">
        <f aca="false">L11-L12</f>
        <v>156.083355648</v>
      </c>
      <c r="M13" s="36" t="n">
        <f aca="false">M11-M12</f>
        <v>187.3000267776</v>
      </c>
    </row>
    <row r="14" customFormat="false" ht="15" hidden="false" customHeight="false" outlineLevel="0" collapsed="false">
      <c r="A14" s="9" t="s">
        <v>293</v>
      </c>
      <c r="C14" s="36" t="n">
        <f aca="false">MAX(0,C13)*a_tax</f>
        <v>0</v>
      </c>
      <c r="D14" s="36" t="n">
        <f aca="false">MAX(0,D13)*a_tax</f>
        <v>0</v>
      </c>
      <c r="E14" s="36" t="n">
        <f aca="false">MAX(0,E13)*a_tax</f>
        <v>3.465</v>
      </c>
      <c r="F14" s="36" t="n">
        <f aca="false">MAX(0,F13)*a_tax</f>
        <v>7.128</v>
      </c>
      <c r="G14" s="36" t="n">
        <f aca="false">MAX(0,G13)*a_tax</f>
        <v>12.1176</v>
      </c>
      <c r="H14" s="36" t="n">
        <f aca="false">MAX(0,H13)*a_tax</f>
        <v>18.81792</v>
      </c>
      <c r="I14" s="36" t="n">
        <f aca="false">MAX(0,I13)*a_tax</f>
        <v>22.581504</v>
      </c>
      <c r="J14" s="36" t="n">
        <f aca="false">MAX(0,J13)*a_tax</f>
        <v>27.0978048</v>
      </c>
      <c r="K14" s="36" t="n">
        <f aca="false">MAX(0,K13)*a_tax</f>
        <v>32.51736576</v>
      </c>
      <c r="L14" s="36" t="n">
        <f aca="false">MAX(0,L13)*a_tax</f>
        <v>39.020838912</v>
      </c>
      <c r="M14" s="36" t="n">
        <f aca="false">MAX(0,M13)*a_tax</f>
        <v>46.8250066944</v>
      </c>
    </row>
    <row r="15" customFormat="false" ht="15" hidden="false" customHeight="false" outlineLevel="0" collapsed="false">
      <c r="A15" s="4" t="s">
        <v>294</v>
      </c>
      <c r="C15" s="42" t="n">
        <f aca="false">cf_lim_pat</f>
        <v>0</v>
      </c>
      <c r="D15" s="41" t="n">
        <f aca="false">D13-D14</f>
        <v>-43.725</v>
      </c>
      <c r="E15" s="41" t="n">
        <f aca="false">E13-E14</f>
        <v>10.395</v>
      </c>
      <c r="F15" s="41" t="n">
        <f aca="false">F13-F14</f>
        <v>21.384</v>
      </c>
      <c r="G15" s="41" t="n">
        <f aca="false">G13-G14</f>
        <v>36.3528</v>
      </c>
      <c r="H15" s="41" t="n">
        <f aca="false">H13-H14</f>
        <v>56.45376</v>
      </c>
      <c r="I15" s="41" t="n">
        <f aca="false">I13-I14</f>
        <v>67.744512</v>
      </c>
      <c r="J15" s="41" t="n">
        <f aca="false">J13-J14</f>
        <v>81.2934144</v>
      </c>
      <c r="K15" s="41" t="n">
        <f aca="false">K13-K14</f>
        <v>97.55209728</v>
      </c>
      <c r="L15" s="41" t="n">
        <f aca="false">L13-L14</f>
        <v>117.062516736</v>
      </c>
      <c r="M15" s="41" t="n">
        <f aca="false">M13-M14</f>
        <v>140.4750200832</v>
      </c>
    </row>
    <row r="16" customFormat="false" ht="15" hidden="false" customHeight="false" outlineLevel="0" collapsed="false">
      <c r="A16" s="9" t="s">
        <v>295</v>
      </c>
      <c r="C16" s="36" t="n">
        <f aca="false">C8*a_capex</f>
        <v>6.6</v>
      </c>
      <c r="D16" s="36" t="n">
        <f aca="false">D8*a_capex</f>
        <v>4.95</v>
      </c>
      <c r="E16" s="36" t="n">
        <f aca="false">E8*a_capex</f>
        <v>5.94</v>
      </c>
      <c r="F16" s="36" t="n">
        <f aca="false">F8*a_capex</f>
        <v>7.128</v>
      </c>
      <c r="G16" s="36" t="n">
        <f aca="false">G8*a_capex</f>
        <v>8.5536</v>
      </c>
      <c r="H16" s="36" t="n">
        <f aca="false">H8*a_capex</f>
        <v>10.26432</v>
      </c>
      <c r="I16" s="36" t="n">
        <f aca="false">I8*a_capex</f>
        <v>12.317184</v>
      </c>
      <c r="J16" s="36" t="n">
        <f aca="false">J8*a_capex</f>
        <v>14.7806208</v>
      </c>
      <c r="K16" s="36" t="n">
        <f aca="false">K8*a_capex</f>
        <v>17.73674496</v>
      </c>
      <c r="L16" s="36" t="n">
        <f aca="false">L8*a_capex</f>
        <v>21.284093952</v>
      </c>
      <c r="M16" s="36" t="n">
        <f aca="false">M8*a_capex</f>
        <v>25.5409127424</v>
      </c>
    </row>
    <row r="17" customFormat="false" ht="15" hidden="false" customHeight="false" outlineLevel="0" collapsed="false">
      <c r="A17" s="9" t="s">
        <v>296</v>
      </c>
      <c r="C17" s="36" t="n">
        <f aca="false">0</f>
        <v>0</v>
      </c>
      <c r="D17" s="36" t="n">
        <f aca="false">a_wc*(D8-C8)</f>
        <v>-2.75</v>
      </c>
      <c r="E17" s="36" t="n">
        <f aca="false">a_wc*(E8-D8)</f>
        <v>1.65</v>
      </c>
      <c r="F17" s="36" t="n">
        <f aca="false">a_wc*(F8-E8)</f>
        <v>1.98</v>
      </c>
      <c r="G17" s="36" t="n">
        <f aca="false">a_wc*(G8-F8)</f>
        <v>2.376</v>
      </c>
      <c r="H17" s="36" t="n">
        <f aca="false">a_wc*(H8-G8)</f>
        <v>2.8512</v>
      </c>
      <c r="I17" s="36" t="n">
        <f aca="false">a_wc*(I8-H8)</f>
        <v>3.42144</v>
      </c>
      <c r="J17" s="36" t="n">
        <f aca="false">a_wc*(J8-I8)</f>
        <v>4.105728</v>
      </c>
      <c r="K17" s="36" t="n">
        <f aca="false">a_wc*(K8-J8)</f>
        <v>4.9268736</v>
      </c>
      <c r="L17" s="36" t="n">
        <f aca="false">a_wc*(L8-K8)</f>
        <v>5.91224832</v>
      </c>
      <c r="M17" s="36" t="n">
        <f aca="false">a_wc*(M8-L8)</f>
        <v>7.094697984</v>
      </c>
    </row>
    <row r="18" customFormat="false" ht="15" hidden="false" customHeight="false" outlineLevel="0" collapsed="false">
      <c r="A18" s="4" t="s">
        <v>297</v>
      </c>
      <c r="C18" s="36" t="n">
        <f aca="false">0</f>
        <v>0</v>
      </c>
      <c r="D18" s="41" t="n">
        <f aca="false">D15+D12-D16-D17</f>
        <v>-40.975</v>
      </c>
      <c r="E18" s="41" t="n">
        <f aca="false">E15+E12-E16-E17</f>
        <v>8.745</v>
      </c>
      <c r="F18" s="41" t="n">
        <f aca="false">F15+F12-F16-F17</f>
        <v>19.404</v>
      </c>
      <c r="G18" s="41" t="n">
        <f aca="false">G15+G12-G16-G17</f>
        <v>33.9768</v>
      </c>
      <c r="H18" s="41" t="n">
        <f aca="false">H15+H12-H16-H17</f>
        <v>53.60256</v>
      </c>
      <c r="I18" s="41" t="n">
        <f aca="false">I15+I12-I16-I17</f>
        <v>64.323072</v>
      </c>
      <c r="J18" s="41" t="n">
        <f aca="false">J15+J12-J16-J17</f>
        <v>77.1876864</v>
      </c>
      <c r="K18" s="41" t="n">
        <f aca="false">K15+K12-K16-K17</f>
        <v>92.62522368</v>
      </c>
      <c r="L18" s="41" t="n">
        <f aca="false">L15+L12-L16-L17</f>
        <v>111.150268416</v>
      </c>
      <c r="M18" s="41" t="n">
        <f aca="false">M15+M12-M16-M17</f>
        <v>133.3803220992</v>
      </c>
    </row>
    <row r="20" customFormat="false" ht="15" hidden="false" customHeight="false" outlineLevel="0" collapsed="false">
      <c r="A20" s="7" t="s">
        <v>481</v>
      </c>
      <c r="B20" s="8"/>
      <c r="C20" s="8"/>
      <c r="D20" s="8"/>
      <c r="E20" s="8"/>
      <c r="F20" s="8"/>
      <c r="G20" s="8"/>
      <c r="H20" s="8"/>
      <c r="I20" s="8"/>
      <c r="J20" s="8"/>
      <c r="K20" s="8"/>
      <c r="L20" s="8"/>
      <c r="M20" s="8"/>
      <c r="N20" s="8"/>
    </row>
    <row r="21" customFormat="false" ht="15" hidden="false" customHeight="false" outlineLevel="0" collapsed="false">
      <c r="A21" s="9" t="s">
        <v>482</v>
      </c>
      <c r="C21" s="35" t="n">
        <f aca="false">lv_mix_eq/(c_price*(1-a_issue_disc))</f>
        <v>1.024</v>
      </c>
    </row>
    <row r="22" customFormat="false" ht="15" hidden="false" customHeight="false" outlineLevel="0" collapsed="false">
      <c r="A22" s="9" t="s">
        <v>449</v>
      </c>
      <c r="C22" s="35" t="n">
        <f aca="false">cf_shares+C21</f>
        <v>65.024</v>
      </c>
    </row>
    <row r="23" customFormat="false" ht="15" hidden="false" customHeight="false" outlineLevel="0" collapsed="false">
      <c r="A23" s="9" t="s">
        <v>483</v>
      </c>
      <c r="C23" s="36" t="n">
        <f aca="false">lv_mix_cash*a_yield*(1-a_tax)+lv_mix_debt*a_kd*(1-a_tax)</f>
        <v>94.5</v>
      </c>
    </row>
    <row r="24" customFormat="false" ht="15" hidden="false" customHeight="false" outlineLevel="0" collapsed="false">
      <c r="A24" s="9" t="s">
        <v>484</v>
      </c>
      <c r="C24" s="36" t="n">
        <f aca="false">lv_price*a_ppa_share/a_ppa_life*(1-a_tax)</f>
        <v>93.75</v>
      </c>
    </row>
    <row r="25" customFormat="false" ht="15" hidden="false" customHeight="false" outlineLevel="0" collapsed="false">
      <c r="A25" s="9" t="s">
        <v>485</v>
      </c>
      <c r="C25" s="36" t="n">
        <f aca="false">a_ppa_on*C24</f>
        <v>0</v>
      </c>
    </row>
    <row r="26" customFormat="false" ht="15" hidden="false" customHeight="false" outlineLevel="0" collapsed="false">
      <c r="A26" s="9" t="s">
        <v>486</v>
      </c>
      <c r="C26" s="36" t="n">
        <f aca="false">lv_price*a_fees_pct+a_integ_full</f>
        <v>160</v>
      </c>
    </row>
    <row r="27" customFormat="false" ht="15" hidden="false" customHeight="false" outlineLevel="0" collapsed="false">
      <c r="A27" s="9" t="s">
        <v>487</v>
      </c>
      <c r="C27" s="36" t="n">
        <f aca="false">0</f>
        <v>0</v>
      </c>
      <c r="D27" s="36" t="n">
        <f aca="false">a_syn_on*(a_syn_partner_rev_y3+a_syn_xsell_y3)*a_mcap*IF(D5=1,a_syn_ramp1,IF(D5=2,a_syn_ramp2,1))+a_syn_on*IF(D5&gt;=2,a_syn_cost,0)</f>
        <v>0</v>
      </c>
      <c r="E27" s="36" t="n">
        <f aca="false">a_syn_on*(a_syn_partner_rev_y3+a_syn_xsell_y3)*a_mcap*IF(E5=1,a_syn_ramp1,IF(E5=2,a_syn_ramp2,1))+a_syn_on*IF(E5&gt;=2,a_syn_cost,0)</f>
        <v>0</v>
      </c>
      <c r="F27" s="36" t="n">
        <f aca="false">a_syn_on*(a_syn_partner_rev_y3+a_syn_xsell_y3)*a_mcap*IF(F5=1,a_syn_ramp1,IF(F5=2,a_syn_ramp2,1))+a_syn_on*IF(F5&gt;=2,a_syn_cost,0)</f>
        <v>0</v>
      </c>
      <c r="G27" s="36" t="n">
        <f aca="false">a_syn_on*(a_syn_partner_rev_y3+a_syn_xsell_y3)*a_mcap*IF(G5=1,a_syn_ramp1,IF(G5=2,a_syn_ramp2,1))+a_syn_on*IF(G5&gt;=2,a_syn_cost,0)</f>
        <v>0</v>
      </c>
      <c r="H27" s="36" t="n">
        <f aca="false">a_syn_on*(a_syn_partner_rev_y3+a_syn_xsell_y3)*a_mcap*IF(H5=1,a_syn_ramp1,IF(H5=2,a_syn_ramp2,1))+a_syn_on*IF(H5&gt;=2,a_syn_cost,0)</f>
        <v>0</v>
      </c>
      <c r="I27" s="36" t="n">
        <f aca="false">a_syn_on*(a_syn_partner_rev_y3+a_syn_xsell_y3)*a_mcap*IF(I5=1,a_syn_ramp1,IF(I5=2,a_syn_ramp2,1))+a_syn_on*IF(I5&gt;=2,a_syn_cost,0)</f>
        <v>0</v>
      </c>
      <c r="J27" s="36" t="n">
        <f aca="false">a_syn_on*(a_syn_partner_rev_y3+a_syn_xsell_y3)*a_mcap*IF(J5=1,a_syn_ramp1,IF(J5=2,a_syn_ramp2,1))+a_syn_on*IF(J5&gt;=2,a_syn_cost,0)</f>
        <v>0</v>
      </c>
      <c r="K27" s="36" t="n">
        <f aca="false">a_syn_on*(a_syn_partner_rev_y3+a_syn_xsell_y3)*a_mcap*IF(K5=1,a_syn_ramp1,IF(K5=2,a_syn_ramp2,1))+a_syn_on*IF(K5&gt;=2,a_syn_cost,0)</f>
        <v>0</v>
      </c>
      <c r="L27" s="36" t="n">
        <f aca="false">a_syn_on*(a_syn_partner_rev_y3+a_syn_xsell_y3)*a_mcap*IF(L5=1,a_syn_ramp1,IF(L5=2,a_syn_ramp2,1))+a_syn_on*IF(L5&gt;=2,a_syn_cost,0)</f>
        <v>0</v>
      </c>
      <c r="M27" s="36" t="n">
        <f aca="false">a_syn_on*(a_syn_partner_rev_y3+a_syn_xsell_y3)*a_mcap*IF(M5=1,a_syn_ramp1,IF(M5=2,a_syn_ramp2,1))+a_syn_on*IF(M5&gt;=2,a_syn_cost,0)</f>
        <v>0</v>
      </c>
    </row>
    <row r="28" customFormat="false" ht="15" hidden="false" customHeight="false" outlineLevel="0" collapsed="false">
      <c r="A28" s="9" t="s">
        <v>488</v>
      </c>
      <c r="C28" s="36" t="n">
        <f aca="false">0</f>
        <v>0</v>
      </c>
      <c r="D28" s="36" t="n">
        <f aca="false">CHOOSE(lv_drag_mode,lv_drag,lv_drag*D8/cf_arr,lv_drag*(1-a_tax))</f>
        <v>750</v>
      </c>
      <c r="E28" s="36" t="n">
        <f aca="false">CHOOSE(lv_drag_mode,lv_drag,lv_drag*E8/cf_arr,lv_drag*(1-a_tax))</f>
        <v>750</v>
      </c>
      <c r="F28" s="36" t="n">
        <f aca="false">CHOOSE(lv_drag_mode,lv_drag,lv_drag*F8/cf_arr,lv_drag*(1-a_tax))</f>
        <v>750</v>
      </c>
      <c r="G28" s="36" t="n">
        <f aca="false">CHOOSE(lv_drag_mode,lv_drag,lv_drag*G8/cf_arr,lv_drag*(1-a_tax))</f>
        <v>750</v>
      </c>
      <c r="H28" s="36" t="n">
        <f aca="false">CHOOSE(lv_drag_mode,lv_drag,lv_drag*H8/cf_arr,lv_drag*(1-a_tax))</f>
        <v>750</v>
      </c>
      <c r="I28" s="36" t="n">
        <f aca="false">CHOOSE(lv_drag_mode,lv_drag,lv_drag*I8/cf_arr,lv_drag*(1-a_tax))</f>
        <v>750</v>
      </c>
      <c r="J28" s="36" t="n">
        <f aca="false">CHOOSE(lv_drag_mode,lv_drag,lv_drag*J8/cf_arr,lv_drag*(1-a_tax))</f>
        <v>750</v>
      </c>
      <c r="K28" s="36" t="n">
        <f aca="false">CHOOSE(lv_drag_mode,lv_drag,lv_drag*K8/cf_arr,lv_drag*(1-a_tax))</f>
        <v>750</v>
      </c>
      <c r="L28" s="36" t="n">
        <f aca="false">CHOOSE(lv_drag_mode,lv_drag,lv_drag*L8/cf_arr,lv_drag*(1-a_tax))</f>
        <v>750</v>
      </c>
      <c r="M28" s="36" t="n">
        <f aca="false">CHOOSE(lv_drag_mode,lv_drag,lv_drag*M8/cf_arr,lv_drag*(1-a_tax))</f>
        <v>750</v>
      </c>
    </row>
    <row r="29" customFormat="false" ht="15" hidden="false" customHeight="false" outlineLevel="0" collapsed="false">
      <c r="A29" s="9" t="s">
        <v>489</v>
      </c>
      <c r="C29" s="36" t="n">
        <f aca="false">0</f>
        <v>0</v>
      </c>
      <c r="D29" s="36" t="n">
        <f aca="false">IF(lv_drag_mode=3,lv_drag*(1-a_tax),0)</f>
        <v>0</v>
      </c>
      <c r="E29" s="36" t="n">
        <f aca="false">IF(lv_drag_mode=3,lv_drag*(1-a_tax),0)</f>
        <v>0</v>
      </c>
      <c r="F29" s="36" t="n">
        <f aca="false">IF(lv_drag_mode=3,lv_drag*(1-a_tax),0)</f>
        <v>0</v>
      </c>
      <c r="G29" s="36" t="n">
        <f aca="false">IF(lv_drag_mode=3,lv_drag*(1-a_tax),0)</f>
        <v>0</v>
      </c>
      <c r="H29" s="36" t="n">
        <f aca="false">IF(lv_drag_mode=3,lv_drag*(1-a_tax),0)</f>
        <v>0</v>
      </c>
      <c r="I29" s="36" t="n">
        <f aca="false">IF(lv_drag_mode=3,lv_drag*(1-a_tax),0)</f>
        <v>0</v>
      </c>
      <c r="J29" s="36" t="n">
        <f aca="false">IF(lv_drag_mode=3,lv_drag*(1-a_tax),0)</f>
        <v>0</v>
      </c>
      <c r="K29" s="36" t="n">
        <f aca="false">IF(lv_drag_mode=3,lv_drag*(1-a_tax),0)</f>
        <v>0</v>
      </c>
      <c r="L29" s="36" t="n">
        <f aca="false">IF(lv_drag_mode=3,lv_drag*(1-a_tax),0)</f>
        <v>0</v>
      </c>
      <c r="M29" s="36" t="n">
        <f aca="false">IF(lv_drag_mode=3,lv_drag*(1-a_tax),0)</f>
        <v>0</v>
      </c>
    </row>
    <row r="30" customFormat="false" ht="15" hidden="false" customHeight="false" outlineLevel="0" collapsed="false">
      <c r="A30" s="9" t="s">
        <v>490</v>
      </c>
      <c r="C30" s="36" t="n">
        <f aca="false">0</f>
        <v>0</v>
      </c>
      <c r="D30" s="36" t="n">
        <f aca="false">IF(lv_drag_mode=3,0,C30+D28)</f>
        <v>750</v>
      </c>
      <c r="E30" s="36" t="n">
        <f aca="false">IF(lv_drag_mode=3,0,D30+E28)</f>
        <v>1500</v>
      </c>
      <c r="F30" s="36" t="n">
        <f aca="false">IF(lv_drag_mode=3,0,E30+F28)</f>
        <v>2250</v>
      </c>
      <c r="G30" s="36" t="n">
        <f aca="false">IF(lv_drag_mode=3,0,F30+G28)</f>
        <v>3000</v>
      </c>
      <c r="H30" s="36" t="n">
        <f aca="false">IF(lv_drag_mode=3,0,G30+H28)</f>
        <v>3750</v>
      </c>
      <c r="I30" s="36" t="n">
        <f aca="false">IF(lv_drag_mode=3,0,H30+I28)</f>
        <v>4500</v>
      </c>
      <c r="J30" s="36" t="n">
        <f aca="false">IF(lv_drag_mode=3,0,I30+J28)</f>
        <v>5250</v>
      </c>
      <c r="K30" s="36" t="n">
        <f aca="false">IF(lv_drag_mode=3,0,J30+K28)</f>
        <v>6000</v>
      </c>
      <c r="L30" s="36" t="n">
        <f aca="false">IF(lv_drag_mode=3,0,K30+L28)</f>
        <v>6750</v>
      </c>
      <c r="M30" s="36" t="n">
        <f aca="false">IF(lv_drag_mode=3,0,L30+M28)</f>
        <v>7500</v>
      </c>
    </row>
    <row r="31" customFormat="false" ht="15" hidden="false" customHeight="false" outlineLevel="0" collapsed="false">
      <c r="A31" s="9" t="s">
        <v>491</v>
      </c>
      <c r="C31" s="36" t="n">
        <f aca="false">0</f>
        <v>0</v>
      </c>
      <c r="D31" s="36" t="n">
        <f aca="false">C30*a_yield*(1-a_tax)</f>
        <v>0</v>
      </c>
      <c r="E31" s="36" t="n">
        <f aca="false">D30*a_yield*(1-a_tax)</f>
        <v>33.75</v>
      </c>
      <c r="F31" s="36" t="n">
        <f aca="false">E30*a_yield*(1-a_tax)</f>
        <v>67.5</v>
      </c>
      <c r="G31" s="36" t="n">
        <f aca="false">F30*a_yield*(1-a_tax)</f>
        <v>101.25</v>
      </c>
      <c r="H31" s="36" t="n">
        <f aca="false">G30*a_yield*(1-a_tax)</f>
        <v>135</v>
      </c>
      <c r="I31" s="36" t="n">
        <f aca="false">H30*a_yield*(1-a_tax)</f>
        <v>168.75</v>
      </c>
      <c r="J31" s="36" t="n">
        <f aca="false">I30*a_yield*(1-a_tax)</f>
        <v>202.5</v>
      </c>
      <c r="K31" s="36" t="n">
        <f aca="false">J30*a_yield*(1-a_tax)</f>
        <v>236.25</v>
      </c>
      <c r="L31" s="36" t="n">
        <f aca="false">K30*a_yield*(1-a_tax)</f>
        <v>270</v>
      </c>
      <c r="M31" s="36" t="n">
        <f aca="false">L30*a_yield*(1-a_tax)</f>
        <v>303.75</v>
      </c>
    </row>
    <row r="32" customFormat="false" ht="15" hidden="false" customHeight="false" outlineLevel="0" collapsed="false">
      <c r="A32" s="9" t="s">
        <v>492</v>
      </c>
      <c r="C32" s="36" t="n">
        <f aca="false">cf_pat</f>
        <v>480</v>
      </c>
      <c r="D32" s="36" t="n">
        <f aca="false">cf_pat*(1+a_pat_growth)^D5</f>
        <v>480</v>
      </c>
      <c r="E32" s="36" t="n">
        <f aca="false">cf_pat*(1+a_pat_growth)^E5</f>
        <v>480</v>
      </c>
      <c r="F32" s="36" t="n">
        <f aca="false">cf_pat*(1+a_pat_growth)^F5</f>
        <v>480</v>
      </c>
      <c r="G32" s="36" t="n">
        <f aca="false">cf_pat*(1+a_pat_growth)^G5</f>
        <v>480</v>
      </c>
      <c r="H32" s="36" t="n">
        <f aca="false">cf_pat*(1+a_pat_growth)^H5</f>
        <v>480</v>
      </c>
      <c r="I32" s="36" t="n">
        <f aca="false">cf_pat*(1+a_pat_growth)^I5</f>
        <v>480</v>
      </c>
      <c r="J32" s="36" t="n">
        <f aca="false">cf_pat*(1+a_pat_growth)^J5</f>
        <v>480</v>
      </c>
      <c r="K32" s="36" t="n">
        <f aca="false">cf_pat*(1+a_pat_growth)^K5</f>
        <v>480</v>
      </c>
      <c r="L32" s="36" t="n">
        <f aca="false">cf_pat*(1+a_pat_growth)^L5</f>
        <v>480</v>
      </c>
      <c r="M32" s="36" t="n">
        <f aca="false">cf_pat*(1+a_pat_growth)^M5</f>
        <v>480</v>
      </c>
    </row>
    <row r="33" customFormat="false" ht="15" hidden="false" customHeight="false" outlineLevel="0" collapsed="false">
      <c r="A33" s="9" t="s">
        <v>493</v>
      </c>
      <c r="C33" s="36" t="n">
        <f aca="false">0</f>
        <v>0</v>
      </c>
      <c r="D33" s="36" t="n">
        <f aca="false">cf_mdr*a_mdr_flow*(1-a_tax)</f>
        <v>69</v>
      </c>
      <c r="E33" s="36" t="n">
        <f aca="false">cf_mdr*a_mdr_flow*(1-a_tax)</f>
        <v>69</v>
      </c>
      <c r="F33" s="36" t="n">
        <f aca="false">cf_mdr*a_mdr_flow*(1-a_tax)</f>
        <v>69</v>
      </c>
      <c r="G33" s="36" t="n">
        <f aca="false">cf_mdr*a_mdr_flow*(1-a_tax)</f>
        <v>69</v>
      </c>
      <c r="H33" s="36" t="n">
        <f aca="false">cf_mdr*a_mdr_flow*(1-a_tax)</f>
        <v>69</v>
      </c>
      <c r="I33" s="36" t="n">
        <f aca="false">cf_mdr*a_mdr_flow*(1-a_tax)</f>
        <v>69</v>
      </c>
      <c r="J33" s="36" t="n">
        <f aca="false">cf_mdr*a_mdr_flow*(1-a_tax)</f>
        <v>69</v>
      </c>
      <c r="K33" s="36" t="n">
        <f aca="false">cf_mdr*a_mdr_flow*(1-a_tax)</f>
        <v>69</v>
      </c>
      <c r="L33" s="36" t="n">
        <f aca="false">cf_mdr*a_mdr_flow*(1-a_tax)</f>
        <v>69</v>
      </c>
      <c r="M33" s="36" t="n">
        <f aca="false">cf_mdr*a_mdr_flow*(1-a_tax)</f>
        <v>69</v>
      </c>
    </row>
    <row r="34" customFormat="false" ht="15" hidden="false" customHeight="false" outlineLevel="0" collapsed="false">
      <c r="A34" s="9" t="s">
        <v>494</v>
      </c>
      <c r="C34" s="50" t="n">
        <f aca="false">cf_eps</f>
        <v>7.5</v>
      </c>
      <c r="D34" s="50" t="n">
        <f aca="false">D32/cf_shares</f>
        <v>7.5</v>
      </c>
      <c r="E34" s="50" t="n">
        <f aca="false">E32/cf_shares</f>
        <v>7.5</v>
      </c>
      <c r="F34" s="50" t="n">
        <f aca="false">F32/cf_shares</f>
        <v>7.5</v>
      </c>
      <c r="G34" s="50" t="n">
        <f aca="false">G32/cf_shares</f>
        <v>7.5</v>
      </c>
      <c r="H34" s="50" t="n">
        <f aca="false">H32/cf_shares</f>
        <v>7.5</v>
      </c>
      <c r="I34" s="50" t="n">
        <f aca="false">I32/cf_shares</f>
        <v>7.5</v>
      </c>
      <c r="J34" s="50" t="n">
        <f aca="false">J32/cf_shares</f>
        <v>7.5</v>
      </c>
      <c r="K34" s="50" t="n">
        <f aca="false">K32/cf_shares</f>
        <v>7.5</v>
      </c>
      <c r="L34" s="50" t="n">
        <f aca="false">L32/cf_shares</f>
        <v>7.5</v>
      </c>
      <c r="M34" s="50" t="n">
        <f aca="false">M32/cf_shares</f>
        <v>7.5</v>
      </c>
    </row>
    <row r="35" customFormat="false" ht="15" hidden="false" customHeight="false" outlineLevel="0" collapsed="false">
      <c r="A35" s="9" t="s">
        <v>495</v>
      </c>
      <c r="C35" s="50" t="n">
        <f aca="false">cf_eps</f>
        <v>7.5</v>
      </c>
      <c r="D35" s="50" t="n">
        <f aca="false">(D32+D33)/cf_shares</f>
        <v>8.578125</v>
      </c>
      <c r="E35" s="50" t="n">
        <f aca="false">(E32+E33)/cf_shares</f>
        <v>8.578125</v>
      </c>
      <c r="F35" s="50" t="n">
        <f aca="false">(F32+F33)/cf_shares</f>
        <v>8.578125</v>
      </c>
      <c r="G35" s="50" t="n">
        <f aca="false">(G32+G33)/cf_shares</f>
        <v>8.578125</v>
      </c>
      <c r="H35" s="50" t="n">
        <f aca="false">(H32+H33)/cf_shares</f>
        <v>8.578125</v>
      </c>
      <c r="I35" s="50" t="n">
        <f aca="false">(I32+I33)/cf_shares</f>
        <v>8.578125</v>
      </c>
      <c r="J35" s="50" t="n">
        <f aca="false">(J32+J33)/cf_shares</f>
        <v>8.578125</v>
      </c>
      <c r="K35" s="50" t="n">
        <f aca="false">(K32+K33)/cf_shares</f>
        <v>8.578125</v>
      </c>
      <c r="L35" s="50" t="n">
        <f aca="false">(L32+L33)/cf_shares</f>
        <v>8.578125</v>
      </c>
      <c r="M35" s="50" t="n">
        <f aca="false">(M32+M33)/cf_shares</f>
        <v>8.578125</v>
      </c>
    </row>
    <row r="36" customFormat="false" ht="15" hidden="false" customHeight="false" outlineLevel="0" collapsed="false">
      <c r="A36" s="4" t="s">
        <v>496</v>
      </c>
      <c r="C36" s="41" t="n">
        <f aca="false">-C23-C25</f>
        <v>-94.5</v>
      </c>
      <c r="D36" s="41" t="n">
        <f aca="false">D15+D27*(1-a_tax)-C23-C25-D29-D31</f>
        <v>-138.225</v>
      </c>
      <c r="E36" s="41" t="n">
        <f aca="false">E15+E27*(1-a_tax)-C23-C25-E29-E31</f>
        <v>-117.855</v>
      </c>
      <c r="F36" s="41" t="n">
        <f aca="false">F15+F27*(1-a_tax)-C23-C25-F29-F31</f>
        <v>-140.616</v>
      </c>
      <c r="G36" s="41" t="n">
        <f aca="false">G15+G27*(1-a_tax)-C23-C25-G29-G31</f>
        <v>-159.3972</v>
      </c>
      <c r="H36" s="41" t="n">
        <f aca="false">H15+H27*(1-a_tax)-C23-C25-H29-H31</f>
        <v>-173.04624</v>
      </c>
      <c r="I36" s="41" t="n">
        <f aca="false">I15+I27*(1-a_tax)-C23-C25-I29-I31</f>
        <v>-195.505488</v>
      </c>
      <c r="J36" s="41" t="n">
        <f aca="false">J15+J27*(1-a_tax)-C23-C25-J29-J31</f>
        <v>-215.7065856</v>
      </c>
      <c r="K36" s="41" t="n">
        <f aca="false">K15+K27*(1-a_tax)-C23-C25-K29-K31</f>
        <v>-233.19790272</v>
      </c>
      <c r="L36" s="41" t="n">
        <f aca="false">L15+L27*(1-a_tax)-C23-C25-L29-L31</f>
        <v>-247.437483264</v>
      </c>
      <c r="M36" s="41" t="n">
        <f aca="false">M15+M27*(1-a_tax)-C23-C25-M29-M31</f>
        <v>-257.7749799168</v>
      </c>
    </row>
    <row r="37" customFormat="false" ht="15" hidden="false" customHeight="false" outlineLevel="0" collapsed="false">
      <c r="A37" s="9" t="s">
        <v>497</v>
      </c>
      <c r="C37" s="36" t="n">
        <f aca="false">C32+C36</f>
        <v>385.5</v>
      </c>
      <c r="D37" s="36" t="n">
        <f aca="false">D32+D36</f>
        <v>341.775</v>
      </c>
      <c r="E37" s="36" t="n">
        <f aca="false">E32+E36</f>
        <v>362.145</v>
      </c>
      <c r="F37" s="36" t="n">
        <f aca="false">F32+F36</f>
        <v>339.384</v>
      </c>
      <c r="G37" s="36" t="n">
        <f aca="false">G32+G36</f>
        <v>320.6028</v>
      </c>
      <c r="H37" s="36" t="n">
        <f aca="false">H32+H36</f>
        <v>306.95376</v>
      </c>
      <c r="I37" s="36" t="n">
        <f aca="false">I32+I36</f>
        <v>284.494512</v>
      </c>
      <c r="J37" s="36" t="n">
        <f aca="false">J32+J36</f>
        <v>264.2934144</v>
      </c>
      <c r="K37" s="36" t="n">
        <f aca="false">K32+K36</f>
        <v>246.80209728</v>
      </c>
      <c r="L37" s="36" t="n">
        <f aca="false">L32+L36</f>
        <v>232.562516736</v>
      </c>
      <c r="M37" s="36" t="n">
        <f aca="false">M32+M36</f>
        <v>222.2250200832</v>
      </c>
    </row>
    <row r="38" customFormat="false" ht="15" hidden="false" customHeight="false" outlineLevel="0" collapsed="false">
      <c r="A38" s="4" t="s">
        <v>498</v>
      </c>
      <c r="C38" s="48" t="n">
        <f aca="false">C37/C22</f>
        <v>5.92858021653543</v>
      </c>
      <c r="D38" s="48" t="n">
        <f aca="false">D37/C22</f>
        <v>5.25613619586614</v>
      </c>
      <c r="E38" s="48" t="n">
        <f aca="false">E37/C22</f>
        <v>5.56940514271654</v>
      </c>
      <c r="F38" s="48" t="n">
        <f aca="false">F37/C22</f>
        <v>5.21936515748032</v>
      </c>
      <c r="G38" s="48" t="n">
        <f aca="false">G37/C22</f>
        <v>4.93053026574803</v>
      </c>
      <c r="H38" s="48" t="n">
        <f aca="false">H37/C22</f>
        <v>4.72062253937008</v>
      </c>
      <c r="I38" s="48" t="n">
        <f aca="false">I37/C22</f>
        <v>4.37522317913386</v>
      </c>
      <c r="J38" s="48" t="n">
        <f aca="false">J37/C22</f>
        <v>4.06455177165354</v>
      </c>
      <c r="K38" s="48" t="n">
        <f aca="false">K37/C22</f>
        <v>3.79555390748031</v>
      </c>
      <c r="L38" s="48" t="n">
        <f aca="false">L37/C22</f>
        <v>3.57656429527559</v>
      </c>
      <c r="M38" s="48" t="n">
        <f aca="false">M37/C22</f>
        <v>3.41758458543307</v>
      </c>
    </row>
    <row r="39" customFormat="false" ht="15" hidden="false" customHeight="false" outlineLevel="0" collapsed="false">
      <c r="A39" s="4" t="s">
        <v>499</v>
      </c>
      <c r="C39" s="14" t="n">
        <f aca="false">C38/cf_eps-1</f>
        <v>-0.209522637795276</v>
      </c>
      <c r="D39" s="14" t="n">
        <f aca="false">D38/cf_eps-1</f>
        <v>-0.299181840551181</v>
      </c>
      <c r="E39" s="14" t="n">
        <f aca="false">E38/cf_eps-1</f>
        <v>-0.257412647637795</v>
      </c>
      <c r="F39" s="14" t="n">
        <f aca="false">F38/cf_eps-1</f>
        <v>-0.304084645669291</v>
      </c>
      <c r="G39" s="14" t="n">
        <f aca="false">G38/cf_eps-1</f>
        <v>-0.342595964566929</v>
      </c>
      <c r="H39" s="14" t="n">
        <f aca="false">H38/cf_eps-1</f>
        <v>-0.370583661417323</v>
      </c>
      <c r="I39" s="14" t="n">
        <f aca="false">I38/cf_eps-1</f>
        <v>-0.416636909448819</v>
      </c>
      <c r="J39" s="14" t="n">
        <f aca="false">J38/cf_eps-1</f>
        <v>-0.458059763779528</v>
      </c>
      <c r="K39" s="14" t="n">
        <f aca="false">K38/cf_eps-1</f>
        <v>-0.493926145669291</v>
      </c>
      <c r="L39" s="14" t="n">
        <f aca="false">L38/cf_eps-1</f>
        <v>-0.523124760629921</v>
      </c>
      <c r="M39" s="14" t="n">
        <f aca="false">M38/cf_eps-1</f>
        <v>-0.544322055275591</v>
      </c>
    </row>
    <row r="40" customFormat="false" ht="15" hidden="false" customHeight="false" outlineLevel="0" collapsed="false">
      <c r="A40" s="9" t="s">
        <v>500</v>
      </c>
      <c r="C40" s="50" t="n">
        <f aca="false">C38</f>
        <v>5.92858021653543</v>
      </c>
      <c r="D40" s="50" t="n">
        <f aca="false">(D37+D33)/C22</f>
        <v>6.31728284940945</v>
      </c>
      <c r="E40" s="50" t="n">
        <f aca="false">(E37+E33)/C22</f>
        <v>6.63055179625984</v>
      </c>
      <c r="F40" s="50" t="n">
        <f aca="false">(F37+F33)/C22</f>
        <v>6.28051181102362</v>
      </c>
      <c r="G40" s="50" t="n">
        <f aca="false">(G37+G33)/C22</f>
        <v>5.99167691929134</v>
      </c>
      <c r="H40" s="50" t="n">
        <f aca="false">(H37+H33)/C22</f>
        <v>5.78176919291339</v>
      </c>
      <c r="I40" s="50" t="n">
        <f aca="false">(I37+I33)/C22</f>
        <v>5.43636983267717</v>
      </c>
      <c r="J40" s="50" t="n">
        <f aca="false">(J37+J33)/C22</f>
        <v>5.12569842519685</v>
      </c>
      <c r="K40" s="50" t="n">
        <f aca="false">(K37+K33)/C22</f>
        <v>4.85670056102362</v>
      </c>
      <c r="L40" s="50" t="n">
        <f aca="false">(L37+L33)/C22</f>
        <v>4.6377109488189</v>
      </c>
      <c r="M40" s="50" t="n">
        <f aca="false">(M37+M33)/C22</f>
        <v>4.47873123897638</v>
      </c>
    </row>
    <row r="41" customFormat="false" ht="15" hidden="false" customHeight="false" outlineLevel="0" collapsed="false">
      <c r="A41" s="9" t="s">
        <v>501</v>
      </c>
      <c r="C41" s="18" t="n">
        <f aca="false">C39</f>
        <v>-0.209522637795276</v>
      </c>
      <c r="D41" s="18" t="n">
        <f aca="false">D40/D35-1</f>
        <v>-0.263559012090702</v>
      </c>
      <c r="E41" s="18" t="n">
        <f aca="false">E40/E35-1</f>
        <v>-0.227039499160966</v>
      </c>
      <c r="F41" s="18" t="n">
        <f aca="false">F40/F35-1</f>
        <v>-0.267845617658448</v>
      </c>
      <c r="G41" s="18" t="n">
        <f aca="false">G40/G35-1</f>
        <v>-0.301516716148186</v>
      </c>
      <c r="H41" s="18" t="n">
        <f aca="false">H40/H35-1</f>
        <v>-0.325986833613012</v>
      </c>
      <c r="I41" s="18" t="n">
        <f aca="false">I40/I35-1</f>
        <v>-0.366251968503937</v>
      </c>
      <c r="J41" s="18" t="n">
        <f aca="false">J40/J35-1</f>
        <v>-0.402468671743901</v>
      </c>
      <c r="K41" s="18" t="n">
        <f aca="false">K40/K35-1</f>
        <v>-0.433827257002711</v>
      </c>
      <c r="L41" s="18" t="n">
        <f aca="false">L40/L35-1</f>
        <v>-0.459356100684136</v>
      </c>
      <c r="M41" s="18" t="n">
        <f aca="false">M40/M35-1</f>
        <v>-0.477889254472699</v>
      </c>
    </row>
    <row r="42" customFormat="false" ht="15" hidden="false" customHeight="false" outlineLevel="0" collapsed="false">
      <c r="A42" s="9" t="s">
        <v>502</v>
      </c>
      <c r="C42" s="50" t="n">
        <f aca="false">(C37+C25)/C22</f>
        <v>5.92858021653543</v>
      </c>
      <c r="D42" s="50" t="n">
        <f aca="false">(D37+C25)/C22</f>
        <v>5.25613619586614</v>
      </c>
      <c r="E42" s="50" t="n">
        <f aca="false">(E37+C25)/C22</f>
        <v>5.56940514271654</v>
      </c>
      <c r="F42" s="50" t="n">
        <f aca="false">(F37+C25)/C22</f>
        <v>5.21936515748032</v>
      </c>
      <c r="G42" s="50" t="n">
        <f aca="false">(G37+C25)/C22</f>
        <v>4.93053026574803</v>
      </c>
      <c r="H42" s="50" t="n">
        <f aca="false">(H37+C25)/C22</f>
        <v>4.72062253937008</v>
      </c>
      <c r="I42" s="50" t="n">
        <f aca="false">(I37+C25)/C22</f>
        <v>4.37522317913386</v>
      </c>
      <c r="J42" s="50" t="n">
        <f aca="false">(J37+C25)/C22</f>
        <v>4.06455177165354</v>
      </c>
      <c r="K42" s="50" t="n">
        <f aca="false">(K37+C25)/C22</f>
        <v>3.79555390748031</v>
      </c>
      <c r="L42" s="50" t="n">
        <f aca="false">(L37+C25)/C22</f>
        <v>3.57656429527559</v>
      </c>
      <c r="M42" s="50" t="n">
        <f aca="false">(M37+C25)/C22</f>
        <v>3.41758458543307</v>
      </c>
    </row>
    <row r="43" customFormat="false" ht="15" hidden="false" customHeight="false" outlineLevel="0" collapsed="false">
      <c r="A43" s="9" t="s">
        <v>503</v>
      </c>
      <c r="C43" s="50" t="n">
        <f aca="false">(C37-C24+C25)/C22</f>
        <v>4.48680487204724</v>
      </c>
      <c r="D43" s="50" t="n">
        <f aca="false">(D37-C24+C25)/C22</f>
        <v>3.81436085137795</v>
      </c>
      <c r="E43" s="50" t="n">
        <f aca="false">(E37-C24+C25)/C22</f>
        <v>4.12762979822835</v>
      </c>
      <c r="F43" s="50" t="n">
        <f aca="false">(F37-C24+C25)/C22</f>
        <v>3.77758981299213</v>
      </c>
      <c r="G43" s="50" t="n">
        <f aca="false">(G37-C24+C25)/C22</f>
        <v>3.48875492125984</v>
      </c>
      <c r="H43" s="50" t="n">
        <f aca="false">(H37-C24+C25)/C22</f>
        <v>3.27884719488189</v>
      </c>
      <c r="I43" s="50" t="n">
        <f aca="false">(I37-C24+C25)/C22</f>
        <v>2.93344783464567</v>
      </c>
      <c r="J43" s="50" t="n">
        <f aca="false">(J37-C24+C25)/C22</f>
        <v>2.62277642716535</v>
      </c>
      <c r="K43" s="50" t="n">
        <f aca="false">(K37-C24+C25)/C22</f>
        <v>2.35377856299213</v>
      </c>
      <c r="L43" s="50" t="n">
        <f aca="false">(L37-C24+C25)/C22</f>
        <v>2.1347889507874</v>
      </c>
      <c r="M43" s="50" t="n">
        <f aca="false">(M37-C24+C25)/C22</f>
        <v>1.97580924094488</v>
      </c>
    </row>
    <row r="44" customFormat="false" ht="15" hidden="false" customHeight="false" outlineLevel="0" collapsed="false">
      <c r="A44" s="9" t="s">
        <v>504</v>
      </c>
      <c r="C44" s="50" t="n">
        <f aca="false">C32/C22</f>
        <v>7.38188976377953</v>
      </c>
      <c r="D44" s="50" t="n">
        <f aca="false">D32/C22</f>
        <v>7.38188976377953</v>
      </c>
      <c r="E44" s="50" t="n">
        <f aca="false">E32/C22</f>
        <v>7.38188976377953</v>
      </c>
      <c r="F44" s="50" t="n">
        <f aca="false">F32/C22</f>
        <v>7.38188976377953</v>
      </c>
      <c r="G44" s="50" t="n">
        <f aca="false">G32/C22</f>
        <v>7.38188976377953</v>
      </c>
      <c r="H44" s="50" t="n">
        <f aca="false">H32/C22</f>
        <v>7.38188976377953</v>
      </c>
      <c r="I44" s="50" t="n">
        <f aca="false">I32/C22</f>
        <v>7.38188976377953</v>
      </c>
      <c r="J44" s="50" t="n">
        <f aca="false">J32/C22</f>
        <v>7.38188976377953</v>
      </c>
      <c r="K44" s="50" t="n">
        <f aca="false">K32/C22</f>
        <v>7.38188976377953</v>
      </c>
      <c r="L44" s="50" t="n">
        <f aca="false">L32/C22</f>
        <v>7.38188976377953</v>
      </c>
      <c r="M44" s="50" t="n">
        <f aca="false">M32/C22</f>
        <v>7.38188976377953</v>
      </c>
    </row>
    <row r="45" customFormat="false" ht="15" hidden="false" customHeight="false" outlineLevel="0" collapsed="false">
      <c r="A45" s="9" t="s">
        <v>505</v>
      </c>
      <c r="D45" s="36" t="n">
        <f aca="false">D18+D27*(1-a_tax)-D28-IF(D5=1,C26,0)</f>
        <v>-950.975</v>
      </c>
      <c r="E45" s="36" t="n">
        <f aca="false">E18+E27*(1-a_tax)-E28-IF(E5=1,C26,0)</f>
        <v>-741.255</v>
      </c>
      <c r="F45" s="36" t="n">
        <f aca="false">F18+F27*(1-a_tax)-F28-IF(F5=1,C26,0)</f>
        <v>-730.596</v>
      </c>
      <c r="G45" s="36" t="n">
        <f aca="false">G18+G27*(1-a_tax)-G28-IF(G5=1,C26,0)</f>
        <v>-716.0232</v>
      </c>
      <c r="H45" s="36" t="n">
        <f aca="false">H18+H27*(1-a_tax)-H28-IF(H5=1,C26,0)</f>
        <v>-696.39744</v>
      </c>
      <c r="I45" s="36" t="n">
        <f aca="false">I18+I27*(1-a_tax)-I28-IF(I5=1,C26,0)</f>
        <v>-685.676928</v>
      </c>
      <c r="J45" s="36" t="n">
        <f aca="false">J18+J27*(1-a_tax)-J28-IF(J5=1,C26,0)</f>
        <v>-672.8123136</v>
      </c>
      <c r="K45" s="36" t="n">
        <f aca="false">K18+K27*(1-a_tax)-K28-IF(K5=1,C26,0)</f>
        <v>-657.37477632</v>
      </c>
      <c r="L45" s="36" t="n">
        <f aca="false">L18+L27*(1-a_tax)-L28-IF(L5=1,C26,0)</f>
        <v>-638.849731584</v>
      </c>
      <c r="M45" s="36" t="n">
        <f aca="false">M18+M27*(1-a_tax)-M28-IF(M5=1,C26,0)</f>
        <v>-616.6196779008</v>
      </c>
    </row>
    <row r="46" customFormat="false" ht="15" hidden="false" customHeight="false" outlineLevel="0" collapsed="false">
      <c r="A46" s="4" t="s">
        <v>506</v>
      </c>
      <c r="D46" s="41" t="n">
        <f aca="false">D45-C23</f>
        <v>-1045.475</v>
      </c>
      <c r="E46" s="41" t="n">
        <f aca="false">E45-C23</f>
        <v>-835.755</v>
      </c>
      <c r="F46" s="41" t="n">
        <f aca="false">F45-C23</f>
        <v>-825.096</v>
      </c>
      <c r="G46" s="41" t="n">
        <f aca="false">G45-C23</f>
        <v>-810.5232</v>
      </c>
      <c r="H46" s="41" t="n">
        <f aca="false">H45-C23</f>
        <v>-790.89744</v>
      </c>
      <c r="I46" s="41" t="n">
        <f aca="false">I45-C23</f>
        <v>-780.176928</v>
      </c>
      <c r="J46" s="41" t="n">
        <f aca="false">J45-C23</f>
        <v>-767.3123136</v>
      </c>
      <c r="K46" s="41" t="n">
        <f aca="false">K45-C23</f>
        <v>-751.87477632</v>
      </c>
      <c r="L46" s="41" t="n">
        <f aca="false">L45-C23</f>
        <v>-733.349731584</v>
      </c>
      <c r="M46" s="41" t="n">
        <f aca="false">M45-C23</f>
        <v>-711.1196779008</v>
      </c>
    </row>
    <row r="47" customFormat="false" ht="15" hidden="false" customHeight="false" outlineLevel="0" collapsed="false">
      <c r="A47" s="9" t="s">
        <v>507</v>
      </c>
      <c r="C47" s="36" t="n">
        <f aca="false">0</f>
        <v>0</v>
      </c>
      <c r="D47" s="36" t="n">
        <f aca="false">D33</f>
        <v>69</v>
      </c>
      <c r="E47" s="36" t="n">
        <f aca="false">E33</f>
        <v>69</v>
      </c>
      <c r="F47" s="36" t="n">
        <f aca="false">F33</f>
        <v>69</v>
      </c>
      <c r="G47" s="36" t="n">
        <f aca="false">G33</f>
        <v>69</v>
      </c>
      <c r="H47" s="36" t="n">
        <f aca="false">H33</f>
        <v>69</v>
      </c>
      <c r="I47" s="36" t="n">
        <f aca="false">I33</f>
        <v>69</v>
      </c>
      <c r="J47" s="36" t="n">
        <f aca="false">J33</f>
        <v>69</v>
      </c>
      <c r="K47" s="36" t="n">
        <f aca="false">K33</f>
        <v>69</v>
      </c>
      <c r="L47" s="36" t="n">
        <f aca="false">L33</f>
        <v>69</v>
      </c>
      <c r="M47" s="36" t="n">
        <f aca="false">M33</f>
        <v>69</v>
      </c>
    </row>
    <row r="48" customFormat="false" ht="15" hidden="false" customHeight="false" outlineLevel="0" collapsed="false">
      <c r="A48" s="9" t="s">
        <v>508</v>
      </c>
      <c r="D48" s="36" t="n">
        <f aca="false">D46+D47</f>
        <v>-976.475</v>
      </c>
      <c r="E48" s="36" t="n">
        <f aca="false">E46+E47</f>
        <v>-766.755</v>
      </c>
      <c r="F48" s="36" t="n">
        <f aca="false">F46+F47</f>
        <v>-756.096</v>
      </c>
      <c r="G48" s="36" t="n">
        <f aca="false">G46+G47</f>
        <v>-741.5232</v>
      </c>
      <c r="H48" s="36" t="n">
        <f aca="false">H46+H47</f>
        <v>-721.89744</v>
      </c>
      <c r="I48" s="36" t="n">
        <f aca="false">I46+I47</f>
        <v>-711.176928</v>
      </c>
      <c r="J48" s="36" t="n">
        <f aca="false">J46+J47</f>
        <v>-698.3123136</v>
      </c>
      <c r="K48" s="36" t="n">
        <f aca="false">K46+K47</f>
        <v>-682.87477632</v>
      </c>
      <c r="L48" s="36" t="n">
        <f aca="false">L46+L47</f>
        <v>-664.349731584</v>
      </c>
      <c r="M48" s="36" t="n">
        <f aca="false">M46+M47</f>
        <v>-642.1196779008</v>
      </c>
    </row>
    <row r="49" customFormat="false" ht="15" hidden="false" customHeight="false" outlineLevel="0" collapsed="false">
      <c r="A49" s="9" t="s">
        <v>509</v>
      </c>
      <c r="D49" s="36" t="n">
        <f aca="false">IF(lv_mdr_in_deal=1,D48,D46)</f>
        <v>-1045.475</v>
      </c>
      <c r="E49" s="36" t="n">
        <f aca="false">IF(lv_mdr_in_deal=1,E48,E46)</f>
        <v>-835.755</v>
      </c>
      <c r="F49" s="36" t="n">
        <f aca="false">IF(lv_mdr_in_deal=1,F48,F46)</f>
        <v>-825.096</v>
      </c>
      <c r="G49" s="36" t="n">
        <f aca="false">IF(lv_mdr_in_deal=1,G48,G46)</f>
        <v>-810.5232</v>
      </c>
      <c r="H49" s="36" t="n">
        <f aca="false">IF(lv_mdr_in_deal=1,H48,H46)</f>
        <v>-790.89744</v>
      </c>
      <c r="I49" s="36" t="n">
        <f aca="false">IF(lv_mdr_in_deal=1,I48,I46)</f>
        <v>-780.176928</v>
      </c>
      <c r="J49" s="36" t="n">
        <f aca="false">IF(lv_mdr_in_deal=1,J48,J46)</f>
        <v>-767.3123136</v>
      </c>
      <c r="K49" s="36" t="n">
        <f aca="false">IF(lv_mdr_in_deal=1,K48,K46)</f>
        <v>-751.87477632</v>
      </c>
      <c r="L49" s="36" t="n">
        <f aca="false">IF(lv_mdr_in_deal=1,L48,L46)</f>
        <v>-733.349731584</v>
      </c>
      <c r="M49" s="36" t="n">
        <f aca="false">IF(lv_mdr_in_deal=1,M48,M46)</f>
        <v>-711.1196779008</v>
      </c>
    </row>
    <row r="50" customFormat="false" ht="15" hidden="false" customHeight="false" outlineLevel="0" collapsed="false">
      <c r="A50" s="9" t="s">
        <v>510</v>
      </c>
      <c r="C50" s="36" t="n">
        <f aca="false">-lv_price</f>
        <v>-4000</v>
      </c>
      <c r="D50" s="36" t="n">
        <f aca="false">C50+D49</f>
        <v>-5045.475</v>
      </c>
      <c r="E50" s="36" t="n">
        <f aca="false">D50+E49</f>
        <v>-5881.23</v>
      </c>
      <c r="F50" s="36" t="n">
        <f aca="false">E50+F49</f>
        <v>-6706.326</v>
      </c>
      <c r="G50" s="36" t="n">
        <f aca="false">F50+G49</f>
        <v>-7516.8492</v>
      </c>
      <c r="H50" s="36" t="n">
        <f aca="false">G50+H49</f>
        <v>-8307.74664</v>
      </c>
      <c r="I50" s="36" t="n">
        <f aca="false">H50+I49</f>
        <v>-9087.923568</v>
      </c>
      <c r="J50" s="36" t="n">
        <f aca="false">I50+J49</f>
        <v>-9855.2358816</v>
      </c>
      <c r="K50" s="36" t="n">
        <f aca="false">J50+K49</f>
        <v>-10607.11065792</v>
      </c>
      <c r="L50" s="36" t="n">
        <f aca="false">K50+L49</f>
        <v>-11340.460389504</v>
      </c>
      <c r="M50" s="36" t="n">
        <f aca="false">L50+M49</f>
        <v>-12051.5800674048</v>
      </c>
    </row>
    <row r="51" customFormat="false" ht="15" hidden="false" customHeight="false" outlineLevel="0" collapsed="false">
      <c r="A51" s="9" t="s">
        <v>511</v>
      </c>
      <c r="C51" s="43" t="n">
        <f aca="false">1</f>
        <v>1</v>
      </c>
      <c r="D51" s="43" t="n">
        <f aca="false">1/(1+lv_wacc)^D5</f>
        <v>0.884955752212389</v>
      </c>
      <c r="E51" s="43" t="n">
        <f aca="false">1/(1+lv_wacc)^E5</f>
        <v>0.783146683373796</v>
      </c>
      <c r="F51" s="43" t="n">
        <f aca="false">1/(1+lv_wacc)^F5</f>
        <v>0.693050162277696</v>
      </c>
      <c r="G51" s="43" t="n">
        <f aca="false">1/(1+lv_wacc)^G5</f>
        <v>0.613318727679377</v>
      </c>
      <c r="H51" s="43" t="n">
        <f aca="false">1/(1+lv_wacc)^H5</f>
        <v>0.542759935999449</v>
      </c>
      <c r="I51" s="43" t="n">
        <f aca="false">1/(1+lv_wacc)^I5</f>
        <v>0.48031852743314</v>
      </c>
      <c r="J51" s="43" t="n">
        <f aca="false">1/(1+lv_wacc)^J5</f>
        <v>0.425060643746142</v>
      </c>
      <c r="K51" s="43" t="n">
        <f aca="false">1/(1+lv_wacc)^K5</f>
        <v>0.37615986172225</v>
      </c>
      <c r="L51" s="43" t="n">
        <f aca="false">1/(1+lv_wacc)^L5</f>
        <v>0.332884833382522</v>
      </c>
      <c r="M51" s="43" t="n">
        <f aca="false">1/(1+lv_wacc)^M5</f>
        <v>0.294588348126126</v>
      </c>
    </row>
    <row r="52" customFormat="false" ht="15" hidden="false" customHeight="false" outlineLevel="0" collapsed="false">
      <c r="A52" s="9" t="s">
        <v>512</v>
      </c>
      <c r="C52" s="46" t="n">
        <f aca="false">99</f>
        <v>99</v>
      </c>
      <c r="D52" s="46" t="n">
        <f aca="false">IF(D36&gt;=0,D5,99)</f>
        <v>99</v>
      </c>
      <c r="E52" s="46" t="n">
        <f aca="false">IF(E36&gt;=0,E5,99)</f>
        <v>99</v>
      </c>
      <c r="F52" s="46" t="n">
        <f aca="false">IF(F36&gt;=0,F5,99)</f>
        <v>99</v>
      </c>
      <c r="G52" s="46" t="n">
        <f aca="false">IF(G36&gt;=0,G5,99)</f>
        <v>99</v>
      </c>
      <c r="H52" s="46" t="n">
        <f aca="false">IF(H36&gt;=0,H5,99)</f>
        <v>99</v>
      </c>
      <c r="I52" s="46" t="n">
        <f aca="false">IF(I36&gt;=0,I5,99)</f>
        <v>99</v>
      </c>
      <c r="J52" s="46" t="n">
        <f aca="false">IF(J36&gt;=0,J5,99)</f>
        <v>99</v>
      </c>
      <c r="K52" s="46" t="n">
        <f aca="false">IF(K36&gt;=0,K5,99)</f>
        <v>99</v>
      </c>
      <c r="L52" s="46" t="n">
        <f aca="false">IF(L36&gt;=0,L5,99)</f>
        <v>99</v>
      </c>
      <c r="M52" s="46" t="n">
        <f aca="false">IF(M36&gt;=0,M5,99)</f>
        <v>99</v>
      </c>
    </row>
    <row r="53" customFormat="false" ht="15" hidden="false" customHeight="false" outlineLevel="0" collapsed="false">
      <c r="A53" s="9" t="s">
        <v>513</v>
      </c>
      <c r="C53" s="46" t="n">
        <f aca="false">99</f>
        <v>99</v>
      </c>
      <c r="D53" s="46" t="n">
        <f aca="false">IF(D36+D33&gt;=0,D5,99)</f>
        <v>99</v>
      </c>
      <c r="E53" s="46" t="n">
        <f aca="false">IF(E36+E33&gt;=0,E5,99)</f>
        <v>99</v>
      </c>
      <c r="F53" s="46" t="n">
        <f aca="false">IF(F36+F33&gt;=0,F5,99)</f>
        <v>99</v>
      </c>
      <c r="G53" s="46" t="n">
        <f aca="false">IF(G36+G33&gt;=0,G5,99)</f>
        <v>99</v>
      </c>
      <c r="H53" s="46" t="n">
        <f aca="false">IF(H36+H33&gt;=0,H5,99)</f>
        <v>99</v>
      </c>
      <c r="I53" s="46" t="n">
        <f aca="false">IF(I36+I33&gt;=0,I5,99)</f>
        <v>99</v>
      </c>
      <c r="J53" s="46" t="n">
        <f aca="false">IF(J36+J33&gt;=0,J5,99)</f>
        <v>99</v>
      </c>
      <c r="K53" s="46" t="n">
        <f aca="false">IF(K36+K33&gt;=0,K5,99)</f>
        <v>99</v>
      </c>
      <c r="L53" s="46" t="n">
        <f aca="false">IF(L36+L33&gt;=0,L5,99)</f>
        <v>99</v>
      </c>
      <c r="M53" s="46" t="n">
        <f aca="false">IF(M36+M33&gt;=0,M5,99)</f>
        <v>99</v>
      </c>
    </row>
    <row r="54" customFormat="false" ht="15" hidden="false" customHeight="false" outlineLevel="0" collapsed="false">
      <c r="A54" s="9" t="s">
        <v>514</v>
      </c>
      <c r="C54" s="46" t="n">
        <f aca="false">99</f>
        <v>99</v>
      </c>
      <c r="D54" s="46" t="n">
        <f aca="false">IF(D46&gt;=0,D5,99)</f>
        <v>99</v>
      </c>
      <c r="E54" s="46" t="n">
        <f aca="false">IF(E46&gt;=0,E5,99)</f>
        <v>99</v>
      </c>
      <c r="F54" s="46" t="n">
        <f aca="false">IF(F46&gt;=0,F5,99)</f>
        <v>99</v>
      </c>
      <c r="G54" s="46" t="n">
        <f aca="false">IF(G46&gt;=0,G5,99)</f>
        <v>99</v>
      </c>
      <c r="H54" s="46" t="n">
        <f aca="false">IF(H46&gt;=0,H5,99)</f>
        <v>99</v>
      </c>
      <c r="I54" s="46" t="n">
        <f aca="false">IF(I46&gt;=0,I5,99)</f>
        <v>99</v>
      </c>
      <c r="J54" s="46" t="n">
        <f aca="false">IF(J46&gt;=0,J5,99)</f>
        <v>99</v>
      </c>
      <c r="K54" s="46" t="n">
        <f aca="false">IF(K46&gt;=0,K5,99)</f>
        <v>99</v>
      </c>
      <c r="L54" s="46" t="n">
        <f aca="false">IF(L46&gt;=0,L5,99)</f>
        <v>99</v>
      </c>
      <c r="M54" s="46" t="n">
        <f aca="false">IF(M46&gt;=0,M5,99)</f>
        <v>99</v>
      </c>
    </row>
    <row r="55" customFormat="false" ht="15" hidden="false" customHeight="false" outlineLevel="0" collapsed="false">
      <c r="A55" s="9" t="s">
        <v>515</v>
      </c>
      <c r="C55" s="46" t="n">
        <f aca="false">99</f>
        <v>99</v>
      </c>
      <c r="D55" s="46" t="n">
        <f aca="false">IF(D48&gt;=0,D5,99)</f>
        <v>99</v>
      </c>
      <c r="E55" s="46" t="n">
        <f aca="false">IF(E48&gt;=0,E5,99)</f>
        <v>99</v>
      </c>
      <c r="F55" s="46" t="n">
        <f aca="false">IF(F48&gt;=0,F5,99)</f>
        <v>99</v>
      </c>
      <c r="G55" s="46" t="n">
        <f aca="false">IF(G48&gt;=0,G5,99)</f>
        <v>99</v>
      </c>
      <c r="H55" s="46" t="n">
        <f aca="false">IF(H48&gt;=0,H5,99)</f>
        <v>99</v>
      </c>
      <c r="I55" s="46" t="n">
        <f aca="false">IF(I48&gt;=0,I5,99)</f>
        <v>99</v>
      </c>
      <c r="J55" s="46" t="n">
        <f aca="false">IF(J48&gt;=0,J5,99)</f>
        <v>99</v>
      </c>
      <c r="K55" s="46" t="n">
        <f aca="false">IF(K48&gt;=0,K5,99)</f>
        <v>99</v>
      </c>
      <c r="L55" s="46" t="n">
        <f aca="false">IF(L48&gt;=0,L5,99)</f>
        <v>99</v>
      </c>
      <c r="M55" s="46" t="n">
        <f aca="false">IF(M48&gt;=0,M5,99)</f>
        <v>99</v>
      </c>
    </row>
    <row r="56" customFormat="false" ht="15" hidden="false" customHeight="false" outlineLevel="0" collapsed="false">
      <c r="A56" s="9" t="s">
        <v>516</v>
      </c>
      <c r="C56" s="46" t="n">
        <f aca="false">99</f>
        <v>99</v>
      </c>
      <c r="D56" s="46" t="n">
        <f aca="false">IF(D50&gt;=0,D5,99)</f>
        <v>99</v>
      </c>
      <c r="E56" s="46" t="n">
        <f aca="false">IF(E50&gt;=0,E5,99)</f>
        <v>99</v>
      </c>
      <c r="F56" s="46" t="n">
        <f aca="false">IF(F50&gt;=0,F5,99)</f>
        <v>99</v>
      </c>
      <c r="G56" s="46" t="n">
        <f aca="false">IF(G50&gt;=0,G5,99)</f>
        <v>99</v>
      </c>
      <c r="H56" s="46" t="n">
        <f aca="false">IF(H50&gt;=0,H5,99)</f>
        <v>99</v>
      </c>
      <c r="I56" s="46" t="n">
        <f aca="false">IF(I50&gt;=0,I5,99)</f>
        <v>99</v>
      </c>
      <c r="J56" s="46" t="n">
        <f aca="false">IF(J50&gt;=0,J5,99)</f>
        <v>99</v>
      </c>
      <c r="K56" s="46" t="n">
        <f aca="false">IF(K50&gt;=0,K5,99)</f>
        <v>99</v>
      </c>
      <c r="L56" s="46" t="n">
        <f aca="false">IF(L50&gt;=0,L5,99)</f>
        <v>99</v>
      </c>
      <c r="M56" s="46" t="n">
        <f aca="false">IF(M50&gt;=0,M5,99)</f>
        <v>99</v>
      </c>
    </row>
    <row r="57" customFormat="false" ht="15" hidden="false" customHeight="false" outlineLevel="0" collapsed="false">
      <c r="A57" s="4" t="s">
        <v>517</v>
      </c>
      <c r="C57" s="23" t="n">
        <f aca="false">MIN(D52:M52)</f>
        <v>99</v>
      </c>
    </row>
    <row r="58" customFormat="false" ht="15" hidden="false" customHeight="false" outlineLevel="0" collapsed="false">
      <c r="A58" s="9" t="s">
        <v>518</v>
      </c>
      <c r="C58" s="46" t="n">
        <f aca="false">MIN(D53:M53)</f>
        <v>99</v>
      </c>
    </row>
    <row r="59" customFormat="false" ht="15" hidden="false" customHeight="false" outlineLevel="0" collapsed="false">
      <c r="A59" s="4" t="s">
        <v>519</v>
      </c>
      <c r="C59" s="23" t="n">
        <f aca="false">MIN(D54:M54)</f>
        <v>99</v>
      </c>
    </row>
    <row r="60" customFormat="false" ht="15" hidden="false" customHeight="false" outlineLevel="0" collapsed="false">
      <c r="A60" s="9" t="s">
        <v>520</v>
      </c>
      <c r="C60" s="46" t="n">
        <f aca="false">MIN(D55:M55)</f>
        <v>99</v>
      </c>
    </row>
    <row r="61" customFormat="false" ht="15" hidden="false" customHeight="false" outlineLevel="0" collapsed="false">
      <c r="A61" s="9" t="s">
        <v>521</v>
      </c>
      <c r="C61" s="46" t="n">
        <f aca="false">MIN(D56:M56)</f>
        <v>99</v>
      </c>
    </row>
    <row r="62" customFormat="false" ht="15" hidden="false" customHeight="false" outlineLevel="0" collapsed="false">
      <c r="A62" s="4" t="s">
        <v>522</v>
      </c>
      <c r="C62" s="15" t="n">
        <f aca="false">M50</f>
        <v>-12051.5800674048</v>
      </c>
    </row>
    <row r="63" customFormat="false" ht="15" hidden="false" customHeight="false" outlineLevel="0" collapsed="false">
      <c r="A63" s="9" t="s">
        <v>523</v>
      </c>
      <c r="C63" s="36" t="n">
        <f aca="false">SUMPRODUCT(D18:M18,D51:M51)</f>
        <v>208.806860496414</v>
      </c>
    </row>
    <row r="64" customFormat="false" ht="15" hidden="false" customHeight="false" outlineLevel="0" collapsed="false">
      <c r="A64" s="9" t="s">
        <v>524</v>
      </c>
      <c r="C64" s="36" t="n">
        <f aca="false">M18*(1+a_tg)/(lv_wacc-a_tg)</f>
        <v>1750.616727552</v>
      </c>
    </row>
    <row r="65" customFormat="false" ht="15" hidden="false" customHeight="false" outlineLevel="0" collapsed="false">
      <c r="A65" s="9" t="s">
        <v>314</v>
      </c>
      <c r="C65" s="36" t="n">
        <f aca="false">C64*M51</f>
        <v>515.711289971507</v>
      </c>
    </row>
    <row r="66" customFormat="false" ht="15" hidden="false" customHeight="false" outlineLevel="0" collapsed="false">
      <c r="A66" s="4" t="s">
        <v>525</v>
      </c>
      <c r="C66" s="15" t="n">
        <f aca="false">C63+C65</f>
        <v>724.518150467921</v>
      </c>
    </row>
    <row r="67" customFormat="false" ht="15" hidden="false" customHeight="false" outlineLevel="0" collapsed="false">
      <c r="A67" s="9" t="s">
        <v>526</v>
      </c>
      <c r="C67" s="32" t="n">
        <f aca="false">SUMPRODUCT(D28:M28,D51:M51)-a_recovery*M30*M51</f>
        <v>4069.68260696466</v>
      </c>
    </row>
    <row r="68" customFormat="false" ht="15" hidden="false" customHeight="false" outlineLevel="0" collapsed="false">
      <c r="A68" s="9" t="s">
        <v>527</v>
      </c>
      <c r="C68" s="36" t="n">
        <f aca="false">SUMPRODUCT(D27:M27,D51:M51)*(1-a_tax)</f>
        <v>0</v>
      </c>
    </row>
    <row r="69" customFormat="false" ht="15" hidden="false" customHeight="false" outlineLevel="0" collapsed="false">
      <c r="A69" s="9" t="s">
        <v>528</v>
      </c>
      <c r="C69" s="36" t="n">
        <f aca="false">C26*D51</f>
        <v>141.592920353982</v>
      </c>
    </row>
    <row r="70" customFormat="false" ht="15" hidden="false" customHeight="false" outlineLevel="0" collapsed="false">
      <c r="A70" s="4" t="s">
        <v>529</v>
      </c>
      <c r="C70" s="20" t="n">
        <f aca="false">C66+C68-C67-C69-lv_price</f>
        <v>-7486.75737685072</v>
      </c>
    </row>
    <row r="71" customFormat="false" ht="15" hidden="false" customHeight="false" outlineLevel="0" collapsed="false">
      <c r="A71" s="9" t="s">
        <v>530</v>
      </c>
      <c r="C71" s="32" t="n">
        <f aca="false">C70+SUMPRODUCT(D47:M47,D51:M51)</f>
        <v>-7112.34657700998</v>
      </c>
    </row>
    <row r="72" customFormat="false" ht="15" hidden="false" customHeight="false" outlineLevel="0" collapsed="false">
      <c r="A72" s="4" t="s">
        <v>531</v>
      </c>
      <c r="C72" s="59" t="n">
        <f aca="false">lv_price/D8</f>
        <v>24.2424242424242</v>
      </c>
    </row>
    <row r="73" customFormat="false" ht="15" hidden="false" customHeight="false" outlineLevel="0" collapsed="false">
      <c r="A73" s="9" t="s">
        <v>532</v>
      </c>
      <c r="C73" s="17" t="n">
        <f aca="false">(lv_price+C67)/D8</f>
        <v>48.9071673149374</v>
      </c>
    </row>
    <row r="74" customFormat="false" ht="15" hidden="false" customHeight="false" outlineLevel="0" collapsed="false">
      <c r="A74" s="4" t="s">
        <v>533</v>
      </c>
      <c r="C74" s="15" t="n">
        <f aca="false">(C70+C67)/SUMPRODUCT(D51:M51)</f>
        <v>-629.731191574665</v>
      </c>
    </row>
    <row r="75" customFormat="false" ht="15" hidden="false" customHeight="false" outlineLevel="0" collapsed="false">
      <c r="A75" s="4" t="s">
        <v>534</v>
      </c>
      <c r="C75" s="25" t="n">
        <f aca="false">D38</f>
        <v>5.25613619586614</v>
      </c>
    </row>
    <row r="76" customFormat="false" ht="15" hidden="false" customHeight="false" outlineLevel="0" collapsed="false">
      <c r="A76" s="9" t="s">
        <v>535</v>
      </c>
      <c r="C76" s="50" t="n">
        <f aca="false">F38</f>
        <v>5.21936515748032</v>
      </c>
    </row>
    <row r="77" customFormat="false" ht="15" hidden="false" customHeight="false" outlineLevel="0" collapsed="false">
      <c r="A77" s="4" t="s">
        <v>536</v>
      </c>
      <c r="C77" s="20" t="n">
        <f aca="false">D46</f>
        <v>-1045.475</v>
      </c>
    </row>
    <row r="78" customFormat="false" ht="15" hidden="false" customHeight="false" outlineLevel="0" collapsed="false">
      <c r="A78" s="9" t="s">
        <v>537</v>
      </c>
      <c r="C78" s="32" t="n">
        <f aca="false">cf_cash-lv_mix_cash-C26</f>
        <v>6640</v>
      </c>
    </row>
    <row r="79" customFormat="false" ht="15" hidden="false" customHeight="false" outlineLevel="0" collapsed="false">
      <c r="A79" s="9" t="s">
        <v>538</v>
      </c>
      <c r="C79" s="32" t="n">
        <f aca="false">cf_debt+lv_mix_debt</f>
        <v>350</v>
      </c>
    </row>
    <row r="80" customFormat="false" ht="15" hidden="false" customHeight="false" outlineLevel="0" collapsed="false">
      <c r="A80" s="9" t="s">
        <v>539</v>
      </c>
      <c r="C80" s="34" t="n">
        <f aca="false">C79/cf_ebitda</f>
        <v>0.546875</v>
      </c>
    </row>
    <row r="81" customFormat="false" ht="15" hidden="false" customHeight="false" outlineLevel="0" collapsed="false">
      <c r="A81" s="9" t="s">
        <v>540</v>
      </c>
      <c r="C81" s="32" t="n">
        <f aca="false">C78+SUM(D49:F49)+3*cf_pat</f>
        <v>5373.674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30A0"/>
    <pageSetUpPr fitToPage="false"/>
  </sheetPr>
  <dimension ref="A1:N5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8.5390625" defaultRowHeight="15" zeroHeight="false" outlineLevelRow="0" outlineLevelCol="0"/>
  <cols>
    <col collapsed="false" customWidth="true" hidden="false" outlineLevel="0" max="1" min="1" style="0" width="62"/>
    <col collapsed="false" customWidth="true" hidden="false" outlineLevel="0" max="2" min="2" style="0" width="12"/>
    <col collapsed="false" customWidth="true" hidden="false" outlineLevel="0" max="13" min="3" style="0" width="11"/>
  </cols>
  <sheetData>
    <row r="1" customFormat="false" ht="18" hidden="false" customHeight="true" outlineLevel="0" collapsed="false">
      <c r="A1" s="6" t="s">
        <v>541</v>
      </c>
      <c r="B1" s="2"/>
      <c r="C1" s="2"/>
      <c r="D1" s="2"/>
      <c r="E1" s="2"/>
      <c r="F1" s="2"/>
      <c r="G1" s="2"/>
      <c r="H1" s="2"/>
      <c r="I1" s="2"/>
      <c r="J1" s="2"/>
      <c r="K1" s="2"/>
      <c r="L1" s="2"/>
      <c r="M1" s="2"/>
      <c r="N1" s="2"/>
    </row>
    <row r="2" customFormat="false" ht="15" hidden="false" customHeight="false" outlineLevel="0" collapsed="false">
      <c r="A2" s="3" t="s">
        <v>542</v>
      </c>
    </row>
    <row r="4" customFormat="false" ht="15" hidden="false" customHeight="false" outlineLevel="0" collapsed="false">
      <c r="A4" s="7" t="s">
        <v>543</v>
      </c>
      <c r="B4" s="8"/>
      <c r="C4" s="8"/>
      <c r="D4" s="8"/>
      <c r="E4" s="8"/>
      <c r="F4" s="8"/>
      <c r="G4" s="8"/>
      <c r="H4" s="8"/>
      <c r="I4" s="8"/>
      <c r="J4" s="8"/>
      <c r="K4" s="8"/>
      <c r="L4" s="8"/>
      <c r="M4" s="8"/>
      <c r="N4" s="8"/>
    </row>
    <row r="5" customFormat="false" ht="15" hidden="false" customHeight="false" outlineLevel="0" collapsed="false">
      <c r="A5" s="4" t="s">
        <v>544</v>
      </c>
    </row>
    <row r="6" customFormat="false" ht="30" hidden="false" customHeight="true" outlineLevel="0" collapsed="false">
      <c r="A6" s="60" t="s">
        <v>545</v>
      </c>
      <c r="B6" s="60"/>
      <c r="C6" s="60"/>
      <c r="D6" s="60"/>
      <c r="E6" s="60"/>
      <c r="F6" s="60"/>
      <c r="G6" s="60"/>
      <c r="H6" s="60"/>
      <c r="I6" s="60"/>
      <c r="J6" s="60"/>
      <c r="K6" s="60"/>
      <c r="L6" s="60"/>
      <c r="M6" s="60"/>
      <c r="N6" s="60"/>
    </row>
    <row r="7" customFormat="false" ht="15" hidden="false" customHeight="false" outlineLevel="0" collapsed="false">
      <c r="A7" s="4" t="s">
        <v>546</v>
      </c>
    </row>
    <row r="8" customFormat="false" ht="30" hidden="false" customHeight="true" outlineLevel="0" collapsed="false">
      <c r="A8" s="60" t="s">
        <v>547</v>
      </c>
      <c r="B8" s="60"/>
      <c r="C8" s="60"/>
      <c r="D8" s="60"/>
      <c r="E8" s="60"/>
      <c r="F8" s="60"/>
      <c r="G8" s="60"/>
      <c r="H8" s="60"/>
      <c r="I8" s="60"/>
      <c r="J8" s="60"/>
      <c r="K8" s="60"/>
      <c r="L8" s="60"/>
      <c r="M8" s="60"/>
      <c r="N8" s="60"/>
    </row>
    <row r="9" customFormat="false" ht="15" hidden="false" customHeight="false" outlineLevel="0" collapsed="false">
      <c r="A9" s="4" t="s">
        <v>548</v>
      </c>
    </row>
    <row r="10" customFormat="false" ht="30" hidden="false" customHeight="true" outlineLevel="0" collapsed="false">
      <c r="A10" s="60" t="s">
        <v>549</v>
      </c>
      <c r="B10" s="60"/>
      <c r="C10" s="60"/>
      <c r="D10" s="60"/>
      <c r="E10" s="60"/>
      <c r="F10" s="60"/>
      <c r="G10" s="60"/>
      <c r="H10" s="60"/>
      <c r="I10" s="60"/>
      <c r="J10" s="60"/>
      <c r="K10" s="60"/>
      <c r="L10" s="60"/>
      <c r="M10" s="60"/>
      <c r="N10" s="60"/>
    </row>
    <row r="12" customFormat="false" ht="15" hidden="false" customHeight="false" outlineLevel="0" collapsed="false">
      <c r="A12" s="7" t="s">
        <v>550</v>
      </c>
      <c r="B12" s="8"/>
      <c r="C12" s="8"/>
      <c r="D12" s="8"/>
      <c r="E12" s="8"/>
      <c r="F12" s="8"/>
      <c r="G12" s="8"/>
      <c r="H12" s="8"/>
      <c r="I12" s="8"/>
      <c r="J12" s="8"/>
      <c r="K12" s="8"/>
      <c r="L12" s="8"/>
      <c r="M12" s="8"/>
      <c r="N12" s="8"/>
    </row>
    <row r="13" customFormat="false" ht="15" hidden="false" customHeight="false" outlineLevel="0" collapsed="false">
      <c r="A13" s="9" t="s">
        <v>551</v>
      </c>
      <c r="B13" s="18" t="n">
        <f aca="false">c_drag_v_ebitda</f>
        <v>1.171875</v>
      </c>
    </row>
    <row r="14" customFormat="false" ht="15" hidden="false" customHeight="false" outlineLevel="0" collapsed="false">
      <c r="A14" s="9" t="s">
        <v>552</v>
      </c>
      <c r="B14" s="18" t="n">
        <f aca="false">c_drag_v_pat</f>
        <v>1.5625</v>
      </c>
    </row>
    <row r="15" customFormat="false" ht="15" hidden="false" customHeight="false" outlineLevel="0" collapsed="false">
      <c r="A15" s="9" t="s">
        <v>553</v>
      </c>
      <c r="B15" s="17" t="n">
        <f aca="false">c_drag_v_arr</f>
        <v>3.40909090909091</v>
      </c>
    </row>
    <row r="16" customFormat="false" ht="15" hidden="false" customHeight="false" outlineLevel="0" collapsed="false">
      <c r="A16" s="9" t="s">
        <v>554</v>
      </c>
      <c r="B16" s="32" t="n">
        <f aca="false">cf_drag*(1-(1+lv_wacc)^-a_horizon)/lv_wacc</f>
        <v>4069.68260696466</v>
      </c>
    </row>
    <row r="17" customFormat="false" ht="15" hidden="false" customHeight="false" outlineLevel="0" collapsed="false">
      <c r="A17" s="9" t="s">
        <v>555</v>
      </c>
      <c r="B17" s="32" t="n">
        <f aca="false">cf_drag/lv_wacc</f>
        <v>5769.23076923077</v>
      </c>
    </row>
    <row r="18" customFormat="false" ht="15" hidden="false" customHeight="false" outlineLevel="0" collapsed="false">
      <c r="A18" s="9" t="s">
        <v>556</v>
      </c>
      <c r="B18" s="32" t="n">
        <f aca="false">cf_drag/(a_mcap*(1-a_tax))</f>
        <v>4000</v>
      </c>
    </row>
    <row r="19" customFormat="false" ht="15" hidden="false" customHeight="false" outlineLevel="0" collapsed="false">
      <c r="A19" s="9" t="s">
        <v>557</v>
      </c>
      <c r="B19" s="17" t="n">
        <f aca="false">B18/cf_arr</f>
        <v>18.1818181818182</v>
      </c>
    </row>
    <row r="20" customFormat="false" ht="15" hidden="false" customHeight="false" outlineLevel="0" collapsed="false">
      <c r="A20" s="9" t="s">
        <v>558</v>
      </c>
      <c r="B20" s="36" t="n">
        <f aca="false">LN(B18/cf_arr)/LN(1+a_g_base)</f>
        <v>15.908278454574</v>
      </c>
    </row>
    <row r="21" customFormat="false" ht="15" hidden="false" customHeight="false" outlineLevel="0" collapsed="false">
      <c r="A21" s="9" t="s">
        <v>559</v>
      </c>
      <c r="B21" s="36" t="n">
        <f aca="false">LN(B18/cf_arr)/LN(1+a_g_bull)</f>
        <v>11.0549433995385</v>
      </c>
    </row>
    <row r="22" customFormat="false" ht="15" hidden="false" customHeight="false" outlineLevel="0" collapsed="false">
      <c r="A22" s="9" t="s">
        <v>560</v>
      </c>
      <c r="B22" s="36" t="n">
        <f aca="false">(cf_cash-cf_deal_cash-a_min_cash)/cf_drag</f>
        <v>2.4</v>
      </c>
    </row>
    <row r="24" customFormat="false" ht="15" hidden="false" customHeight="false" outlineLevel="0" collapsed="false">
      <c r="A24" s="7" t="s">
        <v>561</v>
      </c>
      <c r="B24" s="8"/>
      <c r="C24" s="8"/>
      <c r="D24" s="8"/>
      <c r="E24" s="8"/>
      <c r="F24" s="8"/>
      <c r="G24" s="8"/>
      <c r="H24" s="8"/>
      <c r="I24" s="8"/>
      <c r="J24" s="8"/>
      <c r="K24" s="8"/>
      <c r="L24" s="8"/>
      <c r="M24" s="8"/>
      <c r="N24" s="8"/>
    </row>
    <row r="25" customFormat="false" ht="15" hidden="false" customHeight="false" outlineLevel="0" collapsed="false">
      <c r="A25" s="9" t="s">
        <v>562</v>
      </c>
      <c r="B25" s="32" t="n">
        <f aca="false">cf_mdr</f>
        <v>115</v>
      </c>
    </row>
    <row r="26" customFormat="false" ht="15" hidden="false" customHeight="false" outlineLevel="0" collapsed="false">
      <c r="A26" s="9" t="s">
        <v>563</v>
      </c>
      <c r="B26" s="18" t="n">
        <f aca="false">cf_mdr/cf_drag</f>
        <v>0.153333333333333</v>
      </c>
    </row>
    <row r="27" customFormat="false" ht="15" hidden="false" customHeight="false" outlineLevel="0" collapsed="false">
      <c r="A27" s="9" t="s">
        <v>564</v>
      </c>
      <c r="B27" s="36" t="n">
        <f aca="false">cf_mdr*a_mdr_flow*(1-a_tax)</f>
        <v>69</v>
      </c>
    </row>
    <row r="28" customFormat="false" ht="15" hidden="false" customHeight="false" outlineLevel="0" collapsed="false">
      <c r="A28" s="9" t="s">
        <v>565</v>
      </c>
      <c r="B28" s="18" t="n">
        <f aca="false">B27/cf_drag</f>
        <v>0.092</v>
      </c>
    </row>
    <row r="29" customFormat="false" ht="15" hidden="false" customHeight="false" outlineLevel="0" collapsed="false">
      <c r="A29" s="9" t="s">
        <v>566</v>
      </c>
      <c r="B29" s="32" t="n">
        <f aca="false">cf_drag-B27</f>
        <v>681</v>
      </c>
    </row>
    <row r="30" customFormat="false" ht="15" hidden="false" customHeight="false" outlineLevel="0" collapsed="false">
      <c r="A30" s="9" t="s">
        <v>567</v>
      </c>
      <c r="B30" s="50" t="n">
        <f aca="false">B27/cf_shares</f>
        <v>1.078125</v>
      </c>
    </row>
    <row r="31" customFormat="false" ht="15" hidden="false" customHeight="false" outlineLevel="0" collapsed="false">
      <c r="A31" s="9" t="s">
        <v>568</v>
      </c>
      <c r="B31" s="50" t="n">
        <f aca="false">cf_eps+B30</f>
        <v>8.578125</v>
      </c>
    </row>
    <row r="32" customFormat="false" ht="15" hidden="false" customHeight="false" outlineLevel="0" collapsed="false">
      <c r="A32" s="49" t="s">
        <v>569</v>
      </c>
    </row>
    <row r="34" customFormat="false" ht="15" hidden="false" customHeight="false" outlineLevel="0" collapsed="false">
      <c r="A34" s="7" t="s">
        <v>570</v>
      </c>
      <c r="B34" s="8"/>
      <c r="C34" s="8"/>
      <c r="D34" s="8"/>
      <c r="E34" s="8"/>
      <c r="F34" s="8"/>
      <c r="G34" s="8"/>
      <c r="H34" s="8"/>
      <c r="I34" s="8"/>
      <c r="J34" s="8"/>
      <c r="K34" s="8"/>
      <c r="L34" s="8"/>
      <c r="M34" s="8"/>
      <c r="N34" s="8"/>
    </row>
    <row r="35" customFormat="false" ht="15" hidden="false" customHeight="false" outlineLevel="0" collapsed="false">
      <c r="A35" s="3" t="s">
        <v>571</v>
      </c>
    </row>
    <row r="36" customFormat="false" ht="42" hidden="false" customHeight="true" outlineLevel="0" collapsed="false">
      <c r="A36" s="19" t="s">
        <v>572</v>
      </c>
      <c r="B36" s="19" t="s">
        <v>573</v>
      </c>
      <c r="C36" s="19" t="s">
        <v>574</v>
      </c>
      <c r="D36" s="19" t="s">
        <v>575</v>
      </c>
      <c r="E36" s="19" t="s">
        <v>576</v>
      </c>
      <c r="F36" s="19" t="s">
        <v>577</v>
      </c>
      <c r="G36" s="19" t="s">
        <v>578</v>
      </c>
      <c r="H36" s="19" t="s">
        <v>579</v>
      </c>
      <c r="I36" s="19" t="s">
        <v>580</v>
      </c>
      <c r="J36" s="19" t="s">
        <v>581</v>
      </c>
      <c r="K36" s="19" t="s">
        <v>582</v>
      </c>
    </row>
    <row r="37" customFormat="false" ht="15" hidden="false" customHeight="false" outlineLevel="0" collapsed="false">
      <c r="A37" s="4" t="s">
        <v>583</v>
      </c>
      <c r="B37" s="13" t="n">
        <v>0</v>
      </c>
      <c r="C37" s="32" t="n">
        <f aca="false">D90</f>
        <v>-295.475</v>
      </c>
      <c r="D37" s="32" t="n">
        <f aca="false">C106</f>
        <v>-4551.5800674048</v>
      </c>
      <c r="E37" s="32" t="n">
        <f aca="false">C111</f>
        <v>0</v>
      </c>
      <c r="F37" s="61" t="n">
        <f aca="false">C114</f>
        <v>-3417.07476988606</v>
      </c>
      <c r="G37" s="46" t="n">
        <f aca="false">C103</f>
        <v>9</v>
      </c>
      <c r="H37" s="46" t="n">
        <f aca="false">C104</f>
        <v>4</v>
      </c>
      <c r="I37" s="46" t="n">
        <f aca="false">C105</f>
        <v>99</v>
      </c>
      <c r="J37" s="17" t="n">
        <f aca="false">C117</f>
        <v>24.2424242424242</v>
      </c>
      <c r="K37" s="50" t="n">
        <f aca="false">C119</f>
        <v>5.25613619586614</v>
      </c>
      <c r="L37" s="32" t="n">
        <f aca="false">C125</f>
        <v>7623.674</v>
      </c>
    </row>
    <row r="38" customFormat="false" ht="15" hidden="false" customHeight="false" outlineLevel="0" collapsed="false">
      <c r="A38" s="4" t="s">
        <v>584</v>
      </c>
      <c r="B38" s="13" t="n">
        <v>500</v>
      </c>
      <c r="C38" s="32" t="n">
        <f aca="false">D169</f>
        <v>-795.475</v>
      </c>
      <c r="D38" s="32" t="n">
        <f aca="false">C185</f>
        <v>-9551.5800674048</v>
      </c>
      <c r="E38" s="32" t="n">
        <f aca="false">C190</f>
        <v>2713.12173797644</v>
      </c>
      <c r="F38" s="61" t="n">
        <f aca="false">C193</f>
        <v>-6130.1965078625</v>
      </c>
      <c r="G38" s="46" t="n">
        <f aca="false">C182</f>
        <v>99</v>
      </c>
      <c r="H38" s="46" t="n">
        <f aca="false">C183</f>
        <v>99</v>
      </c>
      <c r="I38" s="46" t="n">
        <f aca="false">C184</f>
        <v>99</v>
      </c>
      <c r="J38" s="17" t="n">
        <f aca="false">C196</f>
        <v>40.6855862907663</v>
      </c>
      <c r="K38" s="50" t="n">
        <f aca="false">C198</f>
        <v>5.25613619586614</v>
      </c>
      <c r="L38" s="32" t="n">
        <f aca="false">C204</f>
        <v>6123.674</v>
      </c>
    </row>
    <row r="39" customFormat="false" ht="15" hidden="false" customHeight="false" outlineLevel="0" collapsed="false">
      <c r="A39" s="4" t="s">
        <v>585</v>
      </c>
      <c r="B39" s="47" t="n">
        <f aca="false">lv_drag</f>
        <v>750</v>
      </c>
      <c r="C39" s="32" t="n">
        <f aca="false">D248</f>
        <v>-1045.475</v>
      </c>
      <c r="D39" s="32" t="n">
        <f aca="false">C264</f>
        <v>-12051.5800674048</v>
      </c>
      <c r="E39" s="32" t="n">
        <f aca="false">C269</f>
        <v>4069.68260696466</v>
      </c>
      <c r="F39" s="61" t="n">
        <f aca="false">C272</f>
        <v>-7486.75737685072</v>
      </c>
      <c r="G39" s="46" t="n">
        <f aca="false">C261</f>
        <v>99</v>
      </c>
      <c r="H39" s="46" t="n">
        <f aca="false">C262</f>
        <v>99</v>
      </c>
      <c r="I39" s="46" t="n">
        <f aca="false">C263</f>
        <v>99</v>
      </c>
      <c r="J39" s="17" t="n">
        <f aca="false">C275</f>
        <v>48.9071673149374</v>
      </c>
      <c r="K39" s="50" t="n">
        <f aca="false">C277</f>
        <v>5.25613619586614</v>
      </c>
      <c r="L39" s="32" t="n">
        <f aca="false">C283</f>
        <v>5373.674</v>
      </c>
    </row>
    <row r="40" customFormat="false" ht="15" hidden="false" customHeight="false" outlineLevel="0" collapsed="false">
      <c r="A40" s="4" t="s">
        <v>586</v>
      </c>
      <c r="B40" s="13" t="n">
        <v>750</v>
      </c>
      <c r="C40" s="32" t="n">
        <f aca="false">D327</f>
        <v>-1045.475</v>
      </c>
      <c r="D40" s="32" t="n">
        <f aca="false">C343</f>
        <v>-12051.5800674048</v>
      </c>
      <c r="E40" s="32" t="n">
        <f aca="false">C348</f>
        <v>4069.68260696466</v>
      </c>
      <c r="F40" s="61" t="n">
        <f aca="false">C351</f>
        <v>-7486.75737685072</v>
      </c>
      <c r="G40" s="46" t="n">
        <f aca="false">C340</f>
        <v>99</v>
      </c>
      <c r="H40" s="46" t="n">
        <f aca="false">C341</f>
        <v>99</v>
      </c>
      <c r="I40" s="46" t="n">
        <f aca="false">C342</f>
        <v>99</v>
      </c>
      <c r="J40" s="17" t="n">
        <f aca="false">C354</f>
        <v>48.9071673149374</v>
      </c>
      <c r="K40" s="50" t="n">
        <f aca="false">C356</f>
        <v>5.25613619586614</v>
      </c>
      <c r="L40" s="32" t="n">
        <f aca="false">C362</f>
        <v>5373.674</v>
      </c>
    </row>
    <row r="41" customFormat="false" ht="15" hidden="false" customHeight="false" outlineLevel="0" collapsed="false">
      <c r="A41" s="4" t="s">
        <v>587</v>
      </c>
      <c r="B41" s="13" t="n">
        <v>1000</v>
      </c>
      <c r="C41" s="32" t="n">
        <f aca="false">D406</f>
        <v>-1295.475</v>
      </c>
      <c r="D41" s="32" t="n">
        <f aca="false">C422</f>
        <v>-14551.5800674048</v>
      </c>
      <c r="E41" s="32" t="n">
        <f aca="false">C427</f>
        <v>5426.24347595289</v>
      </c>
      <c r="F41" s="61" t="n">
        <f aca="false">C430</f>
        <v>-8843.31824583895</v>
      </c>
      <c r="G41" s="46" t="n">
        <f aca="false">C419</f>
        <v>99</v>
      </c>
      <c r="H41" s="46" t="n">
        <f aca="false">C420</f>
        <v>99</v>
      </c>
      <c r="I41" s="46" t="n">
        <f aca="false">C421</f>
        <v>99</v>
      </c>
      <c r="J41" s="17" t="n">
        <f aca="false">C433</f>
        <v>57.1287483391084</v>
      </c>
      <c r="K41" s="50" t="n">
        <f aca="false">C435</f>
        <v>5.25613619586614</v>
      </c>
      <c r="L41" s="32" t="n">
        <f aca="false">C441</f>
        <v>4623.674</v>
      </c>
    </row>
    <row r="42" customFormat="false" ht="15" hidden="false" customHeight="false" outlineLevel="0" collapsed="false">
      <c r="A42" s="4" t="s">
        <v>588</v>
      </c>
      <c r="B42" s="13" t="n">
        <v>1250</v>
      </c>
      <c r="C42" s="32" t="n">
        <f aca="false">D485</f>
        <v>-1545.475</v>
      </c>
      <c r="D42" s="32" t="n">
        <f aca="false">C501</f>
        <v>-17051.5800674048</v>
      </c>
      <c r="E42" s="32" t="n">
        <f aca="false">C506</f>
        <v>6782.80434494111</v>
      </c>
      <c r="F42" s="61" t="n">
        <f aca="false">C509</f>
        <v>-10199.8791148272</v>
      </c>
      <c r="G42" s="46" t="n">
        <f aca="false">C498</f>
        <v>99</v>
      </c>
      <c r="H42" s="46" t="n">
        <f aca="false">C499</f>
        <v>99</v>
      </c>
      <c r="I42" s="46" t="n">
        <f aca="false">C500</f>
        <v>99</v>
      </c>
      <c r="J42" s="17" t="n">
        <f aca="false">C512</f>
        <v>65.3503293632794</v>
      </c>
      <c r="K42" s="50" t="n">
        <f aca="false">C514</f>
        <v>5.25613619586614</v>
      </c>
      <c r="L42" s="32" t="n">
        <f aca="false">C520</f>
        <v>3873.674</v>
      </c>
    </row>
    <row r="44" customFormat="false" ht="15" hidden="false" customHeight="false" outlineLevel="0" collapsed="false">
      <c r="A44" s="4" t="s">
        <v>589</v>
      </c>
      <c r="B44" s="20" t="n">
        <f aca="false">e_max_drag</f>
        <v>-629.731191574665</v>
      </c>
    </row>
    <row r="45" customFormat="false" ht="15" hidden="false" customHeight="false" outlineLevel="0" collapsed="false">
      <c r="A45" s="4" t="s">
        <v>590</v>
      </c>
      <c r="B45" s="20" t="n">
        <f aca="false">INDEX(Liminal_Ops!D34:M34,a_be_gate)-Deal_CF!C23</f>
        <v>-40.89744</v>
      </c>
    </row>
    <row r="46" customFormat="false" ht="15" hidden="false" customHeight="false" outlineLevel="0" collapsed="false">
      <c r="A46" s="3" t="s">
        <v>591</v>
      </c>
    </row>
    <row r="48" customFormat="false" ht="15" hidden="false" customHeight="false" outlineLevel="0" collapsed="false">
      <c r="A48" s="7" t="s">
        <v>592</v>
      </c>
      <c r="B48" s="8"/>
      <c r="C48" s="8"/>
      <c r="D48" s="8"/>
      <c r="E48" s="8"/>
      <c r="F48" s="8"/>
      <c r="G48" s="8"/>
      <c r="H48" s="8"/>
      <c r="I48" s="8"/>
      <c r="J48" s="8"/>
      <c r="K48" s="8"/>
      <c r="L48" s="8"/>
      <c r="M48" s="8"/>
      <c r="N48" s="8"/>
    </row>
    <row r="49" customFormat="false" ht="15" hidden="false" customHeight="false" outlineLevel="0" collapsed="false">
      <c r="A49" s="4" t="s">
        <v>284</v>
      </c>
      <c r="C49" s="39" t="n">
        <v>0</v>
      </c>
      <c r="D49" s="39" t="n">
        <v>1</v>
      </c>
      <c r="E49" s="39" t="n">
        <v>2</v>
      </c>
      <c r="F49" s="39" t="n">
        <v>3</v>
      </c>
      <c r="G49" s="39" t="n">
        <v>4</v>
      </c>
      <c r="H49" s="39" t="n">
        <v>5</v>
      </c>
      <c r="I49" s="39" t="n">
        <v>6</v>
      </c>
      <c r="J49" s="39" t="n">
        <v>7</v>
      </c>
      <c r="K49" s="39" t="n">
        <v>8</v>
      </c>
      <c r="L49" s="39" t="n">
        <v>9</v>
      </c>
      <c r="M49" s="39" t="n">
        <v>10</v>
      </c>
    </row>
    <row r="50" customFormat="false" ht="15" hidden="false" customHeight="false" outlineLevel="0" collapsed="false">
      <c r="A50" s="9" t="s">
        <v>285</v>
      </c>
      <c r="C50" s="40" t="n">
        <f aca="false">cf_arr</f>
        <v>220</v>
      </c>
      <c r="D50" s="36" t="n">
        <f aca="false">C50*(1+lv_g)</f>
        <v>264</v>
      </c>
      <c r="E50" s="36" t="n">
        <f aca="false">D50*(1+lv_g)</f>
        <v>316.8</v>
      </c>
      <c r="F50" s="36" t="n">
        <f aca="false">E50*(1+lv_g)</f>
        <v>380.16</v>
      </c>
      <c r="G50" s="36" t="n">
        <f aca="false">F50*(1+lv_g)</f>
        <v>456.192</v>
      </c>
      <c r="H50" s="36" t="n">
        <f aca="false">G50*(1+lv_g)</f>
        <v>547.4304</v>
      </c>
      <c r="I50" s="36" t="n">
        <f aca="false">H50*(1+lv_g)</f>
        <v>656.91648</v>
      </c>
      <c r="J50" s="36" t="n">
        <f aca="false">I50*(1+lv_g)</f>
        <v>788.299776</v>
      </c>
      <c r="K50" s="36" t="n">
        <f aca="false">J50*(1+lv_g)</f>
        <v>945.9597312</v>
      </c>
      <c r="L50" s="36" t="n">
        <f aca="false">K50*(1+lv_g)</f>
        <v>1135.15167744</v>
      </c>
      <c r="M50" s="36" t="n">
        <f aca="false">L50*(1+lv_g)</f>
        <v>1362.182012928</v>
      </c>
    </row>
    <row r="51" customFormat="false" ht="15" hidden="false" customHeight="false" outlineLevel="0" collapsed="false">
      <c r="A51" s="9" t="s">
        <v>286</v>
      </c>
      <c r="C51" s="18" t="n">
        <f aca="false">1</f>
        <v>1</v>
      </c>
      <c r="D51" s="18" t="n">
        <f aca="false">IF(D49&gt;=a_churn_year,1-lv_churn,1)</f>
        <v>0.625</v>
      </c>
      <c r="E51" s="18" t="n">
        <f aca="false">IF(E49&gt;=a_churn_year,1-lv_churn,1)</f>
        <v>0.625</v>
      </c>
      <c r="F51" s="18" t="n">
        <f aca="false">IF(F49&gt;=a_churn_year,1-lv_churn,1)</f>
        <v>0.625</v>
      </c>
      <c r="G51" s="18" t="n">
        <f aca="false">IF(G49&gt;=a_churn_year,1-lv_churn,1)</f>
        <v>0.625</v>
      </c>
      <c r="H51" s="18" t="n">
        <f aca="false">IF(H49&gt;=a_churn_year,1-lv_churn,1)</f>
        <v>0.625</v>
      </c>
      <c r="I51" s="18" t="n">
        <f aca="false">IF(I49&gt;=a_churn_year,1-lv_churn,1)</f>
        <v>0.625</v>
      </c>
      <c r="J51" s="18" t="n">
        <f aca="false">IF(J49&gt;=a_churn_year,1-lv_churn,1)</f>
        <v>0.625</v>
      </c>
      <c r="K51" s="18" t="n">
        <f aca="false">IF(K49&gt;=a_churn_year,1-lv_churn,1)</f>
        <v>0.625</v>
      </c>
      <c r="L51" s="18" t="n">
        <f aca="false">IF(L49&gt;=a_churn_year,1-lv_churn,1)</f>
        <v>0.625</v>
      </c>
      <c r="M51" s="18" t="n">
        <f aca="false">IF(M49&gt;=a_churn_year,1-lv_churn,1)</f>
        <v>0.625</v>
      </c>
    </row>
    <row r="52" customFormat="false" ht="15" hidden="false" customHeight="false" outlineLevel="0" collapsed="false">
      <c r="A52" s="4" t="s">
        <v>287</v>
      </c>
      <c r="C52" s="41" t="n">
        <f aca="false">C50*C51</f>
        <v>220</v>
      </c>
      <c r="D52" s="41" t="n">
        <f aca="false">D50*D51</f>
        <v>165</v>
      </c>
      <c r="E52" s="41" t="n">
        <f aca="false">E50*E51</f>
        <v>198</v>
      </c>
      <c r="F52" s="41" t="n">
        <f aca="false">F50*F51</f>
        <v>237.6</v>
      </c>
      <c r="G52" s="41" t="n">
        <f aca="false">G50*G51</f>
        <v>285.12</v>
      </c>
      <c r="H52" s="41" t="n">
        <f aca="false">H50*H51</f>
        <v>342.144</v>
      </c>
      <c r="I52" s="41" t="n">
        <f aca="false">I50*I51</f>
        <v>410.5728</v>
      </c>
      <c r="J52" s="41" t="n">
        <f aca="false">J50*J51</f>
        <v>492.68736</v>
      </c>
      <c r="K52" s="41" t="n">
        <f aca="false">K50*K51</f>
        <v>591.224832</v>
      </c>
      <c r="L52" s="41" t="n">
        <f aca="false">L50*L51</f>
        <v>709.4697984</v>
      </c>
      <c r="M52" s="41" t="n">
        <f aca="false">M50*M51</f>
        <v>851.36375808</v>
      </c>
    </row>
    <row r="53" customFormat="false" ht="15" hidden="false" customHeight="false" outlineLevel="0" collapsed="false">
      <c r="A53" s="9" t="s">
        <v>288</v>
      </c>
      <c r="C53" s="18" t="n">
        <f aca="false">MIN(a_m0+a_mstep*C49,a_mcap)</f>
        <v>0</v>
      </c>
      <c r="D53" s="18" t="n">
        <f aca="false">MIN(a_m0+a_mstep*D49,a_mcap)</f>
        <v>0.05</v>
      </c>
      <c r="E53" s="18" t="n">
        <f aca="false">MIN(a_m0+a_mstep*E49,a_mcap)</f>
        <v>0.1</v>
      </c>
      <c r="F53" s="18" t="n">
        <f aca="false">MIN(a_m0+a_mstep*F49,a_mcap)</f>
        <v>0.15</v>
      </c>
      <c r="G53" s="18" t="n">
        <f aca="false">MIN(a_m0+a_mstep*G49,a_mcap)</f>
        <v>0.2</v>
      </c>
      <c r="H53" s="18" t="n">
        <f aca="false">MIN(a_m0+a_mstep*H49,a_mcap)</f>
        <v>0.25</v>
      </c>
      <c r="I53" s="18" t="n">
        <f aca="false">MIN(a_m0+a_mstep*I49,a_mcap)</f>
        <v>0.25</v>
      </c>
      <c r="J53" s="18" t="n">
        <f aca="false">MIN(a_m0+a_mstep*J49,a_mcap)</f>
        <v>0.25</v>
      </c>
      <c r="K53" s="18" t="n">
        <f aca="false">MIN(a_m0+a_mstep*K49,a_mcap)</f>
        <v>0.25</v>
      </c>
      <c r="L53" s="18" t="n">
        <f aca="false">MIN(a_m0+a_mstep*L49,a_mcap)</f>
        <v>0.25</v>
      </c>
      <c r="M53" s="18" t="n">
        <f aca="false">MIN(a_m0+a_mstep*M49,a_mcap)</f>
        <v>0.25</v>
      </c>
    </row>
    <row r="54" customFormat="false" ht="15" hidden="false" customHeight="false" outlineLevel="0" collapsed="false">
      <c r="A54" s="9" t="s">
        <v>289</v>
      </c>
      <c r="C54" s="36" t="n">
        <f aca="false">IF(C49=a_churn_year,a_sticky*(C50-C52)*(1-C53),0)</f>
        <v>0</v>
      </c>
      <c r="D54" s="36" t="n">
        <f aca="false">IF(D49=a_churn_year,a_sticky*(D50-D52)*(1-D53),0)</f>
        <v>47.025</v>
      </c>
      <c r="E54" s="36" t="n">
        <f aca="false">IF(E49=a_churn_year,a_sticky*(E50-E52)*(1-E53),0)</f>
        <v>0</v>
      </c>
      <c r="F54" s="36" t="n">
        <f aca="false">IF(F49=a_churn_year,a_sticky*(F50-F52)*(1-F53),0)</f>
        <v>0</v>
      </c>
      <c r="G54" s="36" t="n">
        <f aca="false">IF(G49=a_churn_year,a_sticky*(G50-G52)*(1-G53),0)</f>
        <v>0</v>
      </c>
      <c r="H54" s="36" t="n">
        <f aca="false">IF(H49=a_churn_year,a_sticky*(H50-H52)*(1-H53),0)</f>
        <v>0</v>
      </c>
      <c r="I54" s="36" t="n">
        <f aca="false">IF(I49=a_churn_year,a_sticky*(I50-I52)*(1-I53),0)</f>
        <v>0</v>
      </c>
      <c r="J54" s="36" t="n">
        <f aca="false">IF(J49=a_churn_year,a_sticky*(J50-J52)*(1-J53),0)</f>
        <v>0</v>
      </c>
      <c r="K54" s="36" t="n">
        <f aca="false">IF(K49=a_churn_year,a_sticky*(K50-K52)*(1-K53),0)</f>
        <v>0</v>
      </c>
      <c r="L54" s="36" t="n">
        <f aca="false">IF(L49=a_churn_year,a_sticky*(L50-L52)*(1-L53),0)</f>
        <v>0</v>
      </c>
      <c r="M54" s="36" t="n">
        <f aca="false">IF(M49=a_churn_year,a_sticky*(M50-M52)*(1-M53),0)</f>
        <v>0</v>
      </c>
    </row>
    <row r="55" customFormat="false" ht="15" hidden="false" customHeight="false" outlineLevel="0" collapsed="false">
      <c r="A55" s="4" t="s">
        <v>290</v>
      </c>
      <c r="C55" s="41" t="n">
        <f aca="false">C52*C53-C54</f>
        <v>0</v>
      </c>
      <c r="D55" s="41" t="n">
        <f aca="false">D52*D53-D54</f>
        <v>-38.775</v>
      </c>
      <c r="E55" s="41" t="n">
        <f aca="false">E52*E53-E54</f>
        <v>19.8</v>
      </c>
      <c r="F55" s="41" t="n">
        <f aca="false">F52*F53-F54</f>
        <v>35.64</v>
      </c>
      <c r="G55" s="41" t="n">
        <f aca="false">G52*G53-G54</f>
        <v>57.024</v>
      </c>
      <c r="H55" s="41" t="n">
        <f aca="false">H52*H53-H54</f>
        <v>85.536</v>
      </c>
      <c r="I55" s="41" t="n">
        <f aca="false">I52*I53-I54</f>
        <v>102.6432</v>
      </c>
      <c r="J55" s="41" t="n">
        <f aca="false">J52*J53-J54</f>
        <v>123.17184</v>
      </c>
      <c r="K55" s="41" t="n">
        <f aca="false">K52*K53-K54</f>
        <v>147.806208</v>
      </c>
      <c r="L55" s="41" t="n">
        <f aca="false">L52*L53-L54</f>
        <v>177.3674496</v>
      </c>
      <c r="M55" s="41" t="n">
        <f aca="false">M52*M53-M54</f>
        <v>212.84093952</v>
      </c>
    </row>
    <row r="56" customFormat="false" ht="15" hidden="false" customHeight="false" outlineLevel="0" collapsed="false">
      <c r="A56" s="9" t="s">
        <v>291</v>
      </c>
      <c r="C56" s="36" t="n">
        <f aca="false">C52*a_da</f>
        <v>6.6</v>
      </c>
      <c r="D56" s="36" t="n">
        <f aca="false">D52*a_da</f>
        <v>4.95</v>
      </c>
      <c r="E56" s="36" t="n">
        <f aca="false">E52*a_da</f>
        <v>5.94</v>
      </c>
      <c r="F56" s="36" t="n">
        <f aca="false">F52*a_da</f>
        <v>7.128</v>
      </c>
      <c r="G56" s="36" t="n">
        <f aca="false">G52*a_da</f>
        <v>8.5536</v>
      </c>
      <c r="H56" s="36" t="n">
        <f aca="false">H52*a_da</f>
        <v>10.26432</v>
      </c>
      <c r="I56" s="36" t="n">
        <f aca="false">I52*a_da</f>
        <v>12.317184</v>
      </c>
      <c r="J56" s="36" t="n">
        <f aca="false">J52*a_da</f>
        <v>14.7806208</v>
      </c>
      <c r="K56" s="36" t="n">
        <f aca="false">K52*a_da</f>
        <v>17.73674496</v>
      </c>
      <c r="L56" s="36" t="n">
        <f aca="false">L52*a_da</f>
        <v>21.284093952</v>
      </c>
      <c r="M56" s="36" t="n">
        <f aca="false">M52*a_da</f>
        <v>25.5409127424</v>
      </c>
    </row>
    <row r="57" customFormat="false" ht="15" hidden="false" customHeight="false" outlineLevel="0" collapsed="false">
      <c r="A57" s="9" t="s">
        <v>292</v>
      </c>
      <c r="C57" s="36" t="n">
        <f aca="false">C55-C56</f>
        <v>-6.6</v>
      </c>
      <c r="D57" s="36" t="n">
        <f aca="false">D55-D56</f>
        <v>-43.725</v>
      </c>
      <c r="E57" s="36" t="n">
        <f aca="false">E55-E56</f>
        <v>13.86</v>
      </c>
      <c r="F57" s="36" t="n">
        <f aca="false">F55-F56</f>
        <v>28.512</v>
      </c>
      <c r="G57" s="36" t="n">
        <f aca="false">G55-G56</f>
        <v>48.4704</v>
      </c>
      <c r="H57" s="36" t="n">
        <f aca="false">H55-H56</f>
        <v>75.27168</v>
      </c>
      <c r="I57" s="36" t="n">
        <f aca="false">I55-I56</f>
        <v>90.326016</v>
      </c>
      <c r="J57" s="36" t="n">
        <f aca="false">J55-J56</f>
        <v>108.3912192</v>
      </c>
      <c r="K57" s="36" t="n">
        <f aca="false">K55-K56</f>
        <v>130.06946304</v>
      </c>
      <c r="L57" s="36" t="n">
        <f aca="false">L55-L56</f>
        <v>156.083355648</v>
      </c>
      <c r="M57" s="36" t="n">
        <f aca="false">M55-M56</f>
        <v>187.3000267776</v>
      </c>
    </row>
    <row r="58" customFormat="false" ht="15" hidden="false" customHeight="false" outlineLevel="0" collapsed="false">
      <c r="A58" s="9" t="s">
        <v>293</v>
      </c>
      <c r="C58" s="36" t="n">
        <f aca="false">MAX(0,C57)*a_tax</f>
        <v>0</v>
      </c>
      <c r="D58" s="36" t="n">
        <f aca="false">MAX(0,D57)*a_tax</f>
        <v>0</v>
      </c>
      <c r="E58" s="36" t="n">
        <f aca="false">MAX(0,E57)*a_tax</f>
        <v>3.465</v>
      </c>
      <c r="F58" s="36" t="n">
        <f aca="false">MAX(0,F57)*a_tax</f>
        <v>7.128</v>
      </c>
      <c r="G58" s="36" t="n">
        <f aca="false">MAX(0,G57)*a_tax</f>
        <v>12.1176</v>
      </c>
      <c r="H58" s="36" t="n">
        <f aca="false">MAX(0,H57)*a_tax</f>
        <v>18.81792</v>
      </c>
      <c r="I58" s="36" t="n">
        <f aca="false">MAX(0,I57)*a_tax</f>
        <v>22.581504</v>
      </c>
      <c r="J58" s="36" t="n">
        <f aca="false">MAX(0,J57)*a_tax</f>
        <v>27.0978048</v>
      </c>
      <c r="K58" s="36" t="n">
        <f aca="false">MAX(0,K57)*a_tax</f>
        <v>32.51736576</v>
      </c>
      <c r="L58" s="36" t="n">
        <f aca="false">MAX(0,L57)*a_tax</f>
        <v>39.020838912</v>
      </c>
      <c r="M58" s="36" t="n">
        <f aca="false">MAX(0,M57)*a_tax</f>
        <v>46.8250066944</v>
      </c>
    </row>
    <row r="59" customFormat="false" ht="15" hidden="false" customHeight="false" outlineLevel="0" collapsed="false">
      <c r="A59" s="4" t="s">
        <v>294</v>
      </c>
      <c r="C59" s="42" t="n">
        <f aca="false">cf_lim_pat</f>
        <v>0</v>
      </c>
      <c r="D59" s="41" t="n">
        <f aca="false">D57-D58</f>
        <v>-43.725</v>
      </c>
      <c r="E59" s="41" t="n">
        <f aca="false">E57-E58</f>
        <v>10.395</v>
      </c>
      <c r="F59" s="41" t="n">
        <f aca="false">F57-F58</f>
        <v>21.384</v>
      </c>
      <c r="G59" s="41" t="n">
        <f aca="false">G57-G58</f>
        <v>36.3528</v>
      </c>
      <c r="H59" s="41" t="n">
        <f aca="false">H57-H58</f>
        <v>56.45376</v>
      </c>
      <c r="I59" s="41" t="n">
        <f aca="false">I57-I58</f>
        <v>67.744512</v>
      </c>
      <c r="J59" s="41" t="n">
        <f aca="false">J57-J58</f>
        <v>81.2934144</v>
      </c>
      <c r="K59" s="41" t="n">
        <f aca="false">K57-K58</f>
        <v>97.55209728</v>
      </c>
      <c r="L59" s="41" t="n">
        <f aca="false">L57-L58</f>
        <v>117.062516736</v>
      </c>
      <c r="M59" s="41" t="n">
        <f aca="false">M57-M58</f>
        <v>140.4750200832</v>
      </c>
    </row>
    <row r="60" customFormat="false" ht="15" hidden="false" customHeight="false" outlineLevel="0" collapsed="false">
      <c r="A60" s="9" t="s">
        <v>295</v>
      </c>
      <c r="C60" s="36" t="n">
        <f aca="false">C52*a_capex</f>
        <v>6.6</v>
      </c>
      <c r="D60" s="36" t="n">
        <f aca="false">D52*a_capex</f>
        <v>4.95</v>
      </c>
      <c r="E60" s="36" t="n">
        <f aca="false">E52*a_capex</f>
        <v>5.94</v>
      </c>
      <c r="F60" s="36" t="n">
        <f aca="false">F52*a_capex</f>
        <v>7.128</v>
      </c>
      <c r="G60" s="36" t="n">
        <f aca="false">G52*a_capex</f>
        <v>8.5536</v>
      </c>
      <c r="H60" s="36" t="n">
        <f aca="false">H52*a_capex</f>
        <v>10.26432</v>
      </c>
      <c r="I60" s="36" t="n">
        <f aca="false">I52*a_capex</f>
        <v>12.317184</v>
      </c>
      <c r="J60" s="36" t="n">
        <f aca="false">J52*a_capex</f>
        <v>14.7806208</v>
      </c>
      <c r="K60" s="36" t="n">
        <f aca="false">K52*a_capex</f>
        <v>17.73674496</v>
      </c>
      <c r="L60" s="36" t="n">
        <f aca="false">L52*a_capex</f>
        <v>21.284093952</v>
      </c>
      <c r="M60" s="36" t="n">
        <f aca="false">M52*a_capex</f>
        <v>25.5409127424</v>
      </c>
    </row>
    <row r="61" customFormat="false" ht="15" hidden="false" customHeight="false" outlineLevel="0" collapsed="false">
      <c r="A61" s="9" t="s">
        <v>296</v>
      </c>
      <c r="C61" s="36" t="n">
        <f aca="false">0</f>
        <v>0</v>
      </c>
      <c r="D61" s="36" t="n">
        <f aca="false">a_wc*(D52-C52)</f>
        <v>-2.75</v>
      </c>
      <c r="E61" s="36" t="n">
        <f aca="false">a_wc*(E52-D52)</f>
        <v>1.65</v>
      </c>
      <c r="F61" s="36" t="n">
        <f aca="false">a_wc*(F52-E52)</f>
        <v>1.98</v>
      </c>
      <c r="G61" s="36" t="n">
        <f aca="false">a_wc*(G52-F52)</f>
        <v>2.376</v>
      </c>
      <c r="H61" s="36" t="n">
        <f aca="false">a_wc*(H52-G52)</f>
        <v>2.8512</v>
      </c>
      <c r="I61" s="36" t="n">
        <f aca="false">a_wc*(I52-H52)</f>
        <v>3.42144</v>
      </c>
      <c r="J61" s="36" t="n">
        <f aca="false">a_wc*(J52-I52)</f>
        <v>4.105728</v>
      </c>
      <c r="K61" s="36" t="n">
        <f aca="false">a_wc*(K52-J52)</f>
        <v>4.9268736</v>
      </c>
      <c r="L61" s="36" t="n">
        <f aca="false">a_wc*(L52-K52)</f>
        <v>5.91224832</v>
      </c>
      <c r="M61" s="36" t="n">
        <f aca="false">a_wc*(M52-L52)</f>
        <v>7.094697984</v>
      </c>
    </row>
    <row r="62" customFormat="false" ht="15" hidden="false" customHeight="false" outlineLevel="0" collapsed="false">
      <c r="A62" s="4" t="s">
        <v>297</v>
      </c>
      <c r="C62" s="36" t="n">
        <f aca="false">0</f>
        <v>0</v>
      </c>
      <c r="D62" s="41" t="n">
        <f aca="false">D59+D56-D60-D61</f>
        <v>-40.975</v>
      </c>
      <c r="E62" s="41" t="n">
        <f aca="false">E59+E56-E60-E61</f>
        <v>8.745</v>
      </c>
      <c r="F62" s="41" t="n">
        <f aca="false">F59+F56-F60-F61</f>
        <v>19.404</v>
      </c>
      <c r="G62" s="41" t="n">
        <f aca="false">G59+G56-G60-G61</f>
        <v>33.9768</v>
      </c>
      <c r="H62" s="41" t="n">
        <f aca="false">H59+H56-H60-H61</f>
        <v>53.60256</v>
      </c>
      <c r="I62" s="41" t="n">
        <f aca="false">I59+I56-I60-I61</f>
        <v>64.323072</v>
      </c>
      <c r="J62" s="41" t="n">
        <f aca="false">J59+J56-J60-J61</f>
        <v>77.1876864</v>
      </c>
      <c r="K62" s="41" t="n">
        <f aca="false">K59+K56-K60-K61</f>
        <v>92.62522368</v>
      </c>
      <c r="L62" s="41" t="n">
        <f aca="false">L59+L56-L60-L61</f>
        <v>111.150268416</v>
      </c>
      <c r="M62" s="41" t="n">
        <f aca="false">M59+M56-M60-M61</f>
        <v>133.3803220992</v>
      </c>
    </row>
    <row r="64" customFormat="false" ht="15" hidden="false" customHeight="false" outlineLevel="0" collapsed="false">
      <c r="A64" s="7" t="s">
        <v>593</v>
      </c>
      <c r="B64" s="8"/>
      <c r="C64" s="8"/>
      <c r="D64" s="8"/>
      <c r="E64" s="8"/>
      <c r="F64" s="8"/>
      <c r="G64" s="8"/>
      <c r="H64" s="8"/>
      <c r="I64" s="8"/>
      <c r="J64" s="8"/>
      <c r="K64" s="8"/>
      <c r="L64" s="8"/>
      <c r="M64" s="8"/>
      <c r="N64" s="8"/>
    </row>
    <row r="65" customFormat="false" ht="15" hidden="false" customHeight="false" outlineLevel="0" collapsed="false">
      <c r="A65" s="9" t="s">
        <v>482</v>
      </c>
      <c r="C65" s="35" t="n">
        <f aca="false">lv_mix_eq/(c_price*(1-a_issue_disc))</f>
        <v>1.024</v>
      </c>
    </row>
    <row r="66" customFormat="false" ht="15" hidden="false" customHeight="false" outlineLevel="0" collapsed="false">
      <c r="A66" s="9" t="s">
        <v>449</v>
      </c>
      <c r="C66" s="35" t="n">
        <f aca="false">cf_shares+C65</f>
        <v>65.024</v>
      </c>
    </row>
    <row r="67" customFormat="false" ht="15" hidden="false" customHeight="false" outlineLevel="0" collapsed="false">
      <c r="A67" s="9" t="s">
        <v>483</v>
      </c>
      <c r="C67" s="36" t="n">
        <f aca="false">lv_mix_cash*a_yield*(1-a_tax)+lv_mix_debt*a_kd*(1-a_tax)</f>
        <v>94.5</v>
      </c>
    </row>
    <row r="68" customFormat="false" ht="15" hidden="false" customHeight="false" outlineLevel="0" collapsed="false">
      <c r="A68" s="9" t="s">
        <v>484</v>
      </c>
      <c r="C68" s="36" t="n">
        <f aca="false">lv_price*a_ppa_share/a_ppa_life*(1-a_tax)</f>
        <v>93.75</v>
      </c>
    </row>
    <row r="69" customFormat="false" ht="15" hidden="false" customHeight="false" outlineLevel="0" collapsed="false">
      <c r="A69" s="9" t="s">
        <v>485</v>
      </c>
      <c r="C69" s="36" t="n">
        <f aca="false">a_ppa_on*C68</f>
        <v>0</v>
      </c>
    </row>
    <row r="70" customFormat="false" ht="15" hidden="false" customHeight="false" outlineLevel="0" collapsed="false">
      <c r="A70" s="9" t="s">
        <v>486</v>
      </c>
      <c r="C70" s="36" t="n">
        <f aca="false">lv_price*a_fees_pct+a_integ_full</f>
        <v>160</v>
      </c>
    </row>
    <row r="71" customFormat="false" ht="15" hidden="false" customHeight="false" outlineLevel="0" collapsed="false">
      <c r="A71" s="9" t="s">
        <v>487</v>
      </c>
      <c r="C71" s="36" t="n">
        <f aca="false">0</f>
        <v>0</v>
      </c>
      <c r="D71" s="36" t="n">
        <f aca="false">a_syn_on*(a_syn_partner_rev_y3+a_syn_xsell_y3)*a_mcap*IF(D49=1,a_syn_ramp1,IF(D49=2,a_syn_ramp2,1))+a_syn_on*IF(D49&gt;=2,a_syn_cost,0)</f>
        <v>0</v>
      </c>
      <c r="E71" s="36" t="n">
        <f aca="false">a_syn_on*(a_syn_partner_rev_y3+a_syn_xsell_y3)*a_mcap*IF(E49=1,a_syn_ramp1,IF(E49=2,a_syn_ramp2,1))+a_syn_on*IF(E49&gt;=2,a_syn_cost,0)</f>
        <v>0</v>
      </c>
      <c r="F71" s="36" t="n">
        <f aca="false">a_syn_on*(a_syn_partner_rev_y3+a_syn_xsell_y3)*a_mcap*IF(F49=1,a_syn_ramp1,IF(F49=2,a_syn_ramp2,1))+a_syn_on*IF(F49&gt;=2,a_syn_cost,0)</f>
        <v>0</v>
      </c>
      <c r="G71" s="36" t="n">
        <f aca="false">a_syn_on*(a_syn_partner_rev_y3+a_syn_xsell_y3)*a_mcap*IF(G49=1,a_syn_ramp1,IF(G49=2,a_syn_ramp2,1))+a_syn_on*IF(G49&gt;=2,a_syn_cost,0)</f>
        <v>0</v>
      </c>
      <c r="H71" s="36" t="n">
        <f aca="false">a_syn_on*(a_syn_partner_rev_y3+a_syn_xsell_y3)*a_mcap*IF(H49=1,a_syn_ramp1,IF(H49=2,a_syn_ramp2,1))+a_syn_on*IF(H49&gt;=2,a_syn_cost,0)</f>
        <v>0</v>
      </c>
      <c r="I71" s="36" t="n">
        <f aca="false">a_syn_on*(a_syn_partner_rev_y3+a_syn_xsell_y3)*a_mcap*IF(I49=1,a_syn_ramp1,IF(I49=2,a_syn_ramp2,1))+a_syn_on*IF(I49&gt;=2,a_syn_cost,0)</f>
        <v>0</v>
      </c>
      <c r="J71" s="36" t="n">
        <f aca="false">a_syn_on*(a_syn_partner_rev_y3+a_syn_xsell_y3)*a_mcap*IF(J49=1,a_syn_ramp1,IF(J49=2,a_syn_ramp2,1))+a_syn_on*IF(J49&gt;=2,a_syn_cost,0)</f>
        <v>0</v>
      </c>
      <c r="K71" s="36" t="n">
        <f aca="false">a_syn_on*(a_syn_partner_rev_y3+a_syn_xsell_y3)*a_mcap*IF(K49=1,a_syn_ramp1,IF(K49=2,a_syn_ramp2,1))+a_syn_on*IF(K49&gt;=2,a_syn_cost,0)</f>
        <v>0</v>
      </c>
      <c r="L71" s="36" t="n">
        <f aca="false">a_syn_on*(a_syn_partner_rev_y3+a_syn_xsell_y3)*a_mcap*IF(L49=1,a_syn_ramp1,IF(L49=2,a_syn_ramp2,1))+a_syn_on*IF(L49&gt;=2,a_syn_cost,0)</f>
        <v>0</v>
      </c>
      <c r="M71" s="36" t="n">
        <f aca="false">a_syn_on*(a_syn_partner_rev_y3+a_syn_xsell_y3)*a_mcap*IF(M49=1,a_syn_ramp1,IF(M49=2,a_syn_ramp2,1))+a_syn_on*IF(M49&gt;=2,a_syn_cost,0)</f>
        <v>0</v>
      </c>
    </row>
    <row r="72" customFormat="false" ht="15" hidden="false" customHeight="false" outlineLevel="0" collapsed="false">
      <c r="A72" s="9" t="s">
        <v>488</v>
      </c>
      <c r="C72" s="36" t="n">
        <f aca="false">0</f>
        <v>0</v>
      </c>
      <c r="D72" s="36" t="n">
        <f aca="false">CHOOSE(lv_drag_mode,Capital_Drag!$B$37,Capital_Drag!$B$37*D52/cf_arr,Capital_Drag!$B$37*(1-a_tax))</f>
        <v>0</v>
      </c>
      <c r="E72" s="36" t="n">
        <f aca="false">CHOOSE(lv_drag_mode,Capital_Drag!$B$37,Capital_Drag!$B$37*E52/cf_arr,Capital_Drag!$B$37*(1-a_tax))</f>
        <v>0</v>
      </c>
      <c r="F72" s="36" t="n">
        <f aca="false">CHOOSE(lv_drag_mode,Capital_Drag!$B$37,Capital_Drag!$B$37*F52/cf_arr,Capital_Drag!$B$37*(1-a_tax))</f>
        <v>0</v>
      </c>
      <c r="G72" s="36" t="n">
        <f aca="false">CHOOSE(lv_drag_mode,Capital_Drag!$B$37,Capital_Drag!$B$37*G52/cf_arr,Capital_Drag!$B$37*(1-a_tax))</f>
        <v>0</v>
      </c>
      <c r="H72" s="36" t="n">
        <f aca="false">CHOOSE(lv_drag_mode,Capital_Drag!$B$37,Capital_Drag!$B$37*H52/cf_arr,Capital_Drag!$B$37*(1-a_tax))</f>
        <v>0</v>
      </c>
      <c r="I72" s="36" t="n">
        <f aca="false">CHOOSE(lv_drag_mode,Capital_Drag!$B$37,Capital_Drag!$B$37*I52/cf_arr,Capital_Drag!$B$37*(1-a_tax))</f>
        <v>0</v>
      </c>
      <c r="J72" s="36" t="n">
        <f aca="false">CHOOSE(lv_drag_mode,Capital_Drag!$B$37,Capital_Drag!$B$37*J52/cf_arr,Capital_Drag!$B$37*(1-a_tax))</f>
        <v>0</v>
      </c>
      <c r="K72" s="36" t="n">
        <f aca="false">CHOOSE(lv_drag_mode,Capital_Drag!$B$37,Capital_Drag!$B$37*K52/cf_arr,Capital_Drag!$B$37*(1-a_tax))</f>
        <v>0</v>
      </c>
      <c r="L72" s="36" t="n">
        <f aca="false">CHOOSE(lv_drag_mode,Capital_Drag!$B$37,Capital_Drag!$B$37*L52/cf_arr,Capital_Drag!$B$37*(1-a_tax))</f>
        <v>0</v>
      </c>
      <c r="M72" s="36" t="n">
        <f aca="false">CHOOSE(lv_drag_mode,Capital_Drag!$B$37,Capital_Drag!$B$37*M52/cf_arr,Capital_Drag!$B$37*(1-a_tax))</f>
        <v>0</v>
      </c>
    </row>
    <row r="73" customFormat="false" ht="15" hidden="false" customHeight="false" outlineLevel="0" collapsed="false">
      <c r="A73" s="9" t="s">
        <v>489</v>
      </c>
      <c r="C73" s="36" t="n">
        <f aca="false">0</f>
        <v>0</v>
      </c>
      <c r="D73" s="36" t="n">
        <f aca="false">IF(lv_drag_mode=3,Capital_Drag!$B$37*(1-a_tax),0)</f>
        <v>0</v>
      </c>
      <c r="E73" s="36" t="n">
        <f aca="false">IF(lv_drag_mode=3,Capital_Drag!$B$37*(1-a_tax),0)</f>
        <v>0</v>
      </c>
      <c r="F73" s="36" t="n">
        <f aca="false">IF(lv_drag_mode=3,Capital_Drag!$B$37*(1-a_tax),0)</f>
        <v>0</v>
      </c>
      <c r="G73" s="36" t="n">
        <f aca="false">IF(lv_drag_mode=3,Capital_Drag!$B$37*(1-a_tax),0)</f>
        <v>0</v>
      </c>
      <c r="H73" s="36" t="n">
        <f aca="false">IF(lv_drag_mode=3,Capital_Drag!$B$37*(1-a_tax),0)</f>
        <v>0</v>
      </c>
      <c r="I73" s="36" t="n">
        <f aca="false">IF(lv_drag_mode=3,Capital_Drag!$B$37*(1-a_tax),0)</f>
        <v>0</v>
      </c>
      <c r="J73" s="36" t="n">
        <f aca="false">IF(lv_drag_mode=3,Capital_Drag!$B$37*(1-a_tax),0)</f>
        <v>0</v>
      </c>
      <c r="K73" s="36" t="n">
        <f aca="false">IF(lv_drag_mode=3,Capital_Drag!$B$37*(1-a_tax),0)</f>
        <v>0</v>
      </c>
      <c r="L73" s="36" t="n">
        <f aca="false">IF(lv_drag_mode=3,Capital_Drag!$B$37*(1-a_tax),0)</f>
        <v>0</v>
      </c>
      <c r="M73" s="36" t="n">
        <f aca="false">IF(lv_drag_mode=3,Capital_Drag!$B$37*(1-a_tax),0)</f>
        <v>0</v>
      </c>
    </row>
    <row r="74" customFormat="false" ht="15" hidden="false" customHeight="false" outlineLevel="0" collapsed="false">
      <c r="A74" s="9" t="s">
        <v>490</v>
      </c>
      <c r="C74" s="36" t="n">
        <f aca="false">0</f>
        <v>0</v>
      </c>
      <c r="D74" s="36" t="n">
        <f aca="false">IF(lv_drag_mode=3,0,C74+D72)</f>
        <v>0</v>
      </c>
      <c r="E74" s="36" t="n">
        <f aca="false">IF(lv_drag_mode=3,0,D74+E72)</f>
        <v>0</v>
      </c>
      <c r="F74" s="36" t="n">
        <f aca="false">IF(lv_drag_mode=3,0,E74+F72)</f>
        <v>0</v>
      </c>
      <c r="G74" s="36" t="n">
        <f aca="false">IF(lv_drag_mode=3,0,F74+G72)</f>
        <v>0</v>
      </c>
      <c r="H74" s="36" t="n">
        <f aca="false">IF(lv_drag_mode=3,0,G74+H72)</f>
        <v>0</v>
      </c>
      <c r="I74" s="36" t="n">
        <f aca="false">IF(lv_drag_mode=3,0,H74+I72)</f>
        <v>0</v>
      </c>
      <c r="J74" s="36" t="n">
        <f aca="false">IF(lv_drag_mode=3,0,I74+J72)</f>
        <v>0</v>
      </c>
      <c r="K74" s="36" t="n">
        <f aca="false">IF(lv_drag_mode=3,0,J74+K72)</f>
        <v>0</v>
      </c>
      <c r="L74" s="36" t="n">
        <f aca="false">IF(lv_drag_mode=3,0,K74+L72)</f>
        <v>0</v>
      </c>
      <c r="M74" s="36" t="n">
        <f aca="false">IF(lv_drag_mode=3,0,L74+M72)</f>
        <v>0</v>
      </c>
    </row>
    <row r="75" customFormat="false" ht="15" hidden="false" customHeight="false" outlineLevel="0" collapsed="false">
      <c r="A75" s="9" t="s">
        <v>491</v>
      </c>
      <c r="C75" s="36" t="n">
        <f aca="false">0</f>
        <v>0</v>
      </c>
      <c r="D75" s="36" t="n">
        <f aca="false">C74*a_yield*(1-a_tax)</f>
        <v>0</v>
      </c>
      <c r="E75" s="36" t="n">
        <f aca="false">D74*a_yield*(1-a_tax)</f>
        <v>0</v>
      </c>
      <c r="F75" s="36" t="n">
        <f aca="false">E74*a_yield*(1-a_tax)</f>
        <v>0</v>
      </c>
      <c r="G75" s="36" t="n">
        <f aca="false">F74*a_yield*(1-a_tax)</f>
        <v>0</v>
      </c>
      <c r="H75" s="36" t="n">
        <f aca="false">G74*a_yield*(1-a_tax)</f>
        <v>0</v>
      </c>
      <c r="I75" s="36" t="n">
        <f aca="false">H74*a_yield*(1-a_tax)</f>
        <v>0</v>
      </c>
      <c r="J75" s="36" t="n">
        <f aca="false">I74*a_yield*(1-a_tax)</f>
        <v>0</v>
      </c>
      <c r="K75" s="36" t="n">
        <f aca="false">J74*a_yield*(1-a_tax)</f>
        <v>0</v>
      </c>
      <c r="L75" s="36" t="n">
        <f aca="false">K74*a_yield*(1-a_tax)</f>
        <v>0</v>
      </c>
      <c r="M75" s="36" t="n">
        <f aca="false">L74*a_yield*(1-a_tax)</f>
        <v>0</v>
      </c>
    </row>
    <row r="76" customFormat="false" ht="15" hidden="false" customHeight="false" outlineLevel="0" collapsed="false">
      <c r="A76" s="9" t="s">
        <v>492</v>
      </c>
      <c r="C76" s="36" t="n">
        <f aca="false">cf_pat</f>
        <v>480</v>
      </c>
      <c r="D76" s="36" t="n">
        <f aca="false">cf_pat*(1+a_pat_growth)^D49</f>
        <v>480</v>
      </c>
      <c r="E76" s="36" t="n">
        <f aca="false">cf_pat*(1+a_pat_growth)^E49</f>
        <v>480</v>
      </c>
      <c r="F76" s="36" t="n">
        <f aca="false">cf_pat*(1+a_pat_growth)^F49</f>
        <v>480</v>
      </c>
      <c r="G76" s="36" t="n">
        <f aca="false">cf_pat*(1+a_pat_growth)^G49</f>
        <v>480</v>
      </c>
      <c r="H76" s="36" t="n">
        <f aca="false">cf_pat*(1+a_pat_growth)^H49</f>
        <v>480</v>
      </c>
      <c r="I76" s="36" t="n">
        <f aca="false">cf_pat*(1+a_pat_growth)^I49</f>
        <v>480</v>
      </c>
      <c r="J76" s="36" t="n">
        <f aca="false">cf_pat*(1+a_pat_growth)^J49</f>
        <v>480</v>
      </c>
      <c r="K76" s="36" t="n">
        <f aca="false">cf_pat*(1+a_pat_growth)^K49</f>
        <v>480</v>
      </c>
      <c r="L76" s="36" t="n">
        <f aca="false">cf_pat*(1+a_pat_growth)^L49</f>
        <v>480</v>
      </c>
      <c r="M76" s="36" t="n">
        <f aca="false">cf_pat*(1+a_pat_growth)^M49</f>
        <v>480</v>
      </c>
    </row>
    <row r="77" customFormat="false" ht="15" hidden="false" customHeight="false" outlineLevel="0" collapsed="false">
      <c r="A77" s="9" t="s">
        <v>493</v>
      </c>
      <c r="C77" s="36" t="n">
        <f aca="false">0</f>
        <v>0</v>
      </c>
      <c r="D77" s="36" t="n">
        <f aca="false">cf_mdr*a_mdr_flow*(1-a_tax)</f>
        <v>69</v>
      </c>
      <c r="E77" s="36" t="n">
        <f aca="false">cf_mdr*a_mdr_flow*(1-a_tax)</f>
        <v>69</v>
      </c>
      <c r="F77" s="36" t="n">
        <f aca="false">cf_mdr*a_mdr_flow*(1-a_tax)</f>
        <v>69</v>
      </c>
      <c r="G77" s="36" t="n">
        <f aca="false">cf_mdr*a_mdr_flow*(1-a_tax)</f>
        <v>69</v>
      </c>
      <c r="H77" s="36" t="n">
        <f aca="false">cf_mdr*a_mdr_flow*(1-a_tax)</f>
        <v>69</v>
      </c>
      <c r="I77" s="36" t="n">
        <f aca="false">cf_mdr*a_mdr_flow*(1-a_tax)</f>
        <v>69</v>
      </c>
      <c r="J77" s="36" t="n">
        <f aca="false">cf_mdr*a_mdr_flow*(1-a_tax)</f>
        <v>69</v>
      </c>
      <c r="K77" s="36" t="n">
        <f aca="false">cf_mdr*a_mdr_flow*(1-a_tax)</f>
        <v>69</v>
      </c>
      <c r="L77" s="36" t="n">
        <f aca="false">cf_mdr*a_mdr_flow*(1-a_tax)</f>
        <v>69</v>
      </c>
      <c r="M77" s="36" t="n">
        <f aca="false">cf_mdr*a_mdr_flow*(1-a_tax)</f>
        <v>69</v>
      </c>
    </row>
    <row r="78" customFormat="false" ht="15" hidden="false" customHeight="false" outlineLevel="0" collapsed="false">
      <c r="A78" s="9" t="s">
        <v>494</v>
      </c>
      <c r="C78" s="50" t="n">
        <f aca="false">cf_eps</f>
        <v>7.5</v>
      </c>
      <c r="D78" s="50" t="n">
        <f aca="false">D76/cf_shares</f>
        <v>7.5</v>
      </c>
      <c r="E78" s="50" t="n">
        <f aca="false">E76/cf_shares</f>
        <v>7.5</v>
      </c>
      <c r="F78" s="50" t="n">
        <f aca="false">F76/cf_shares</f>
        <v>7.5</v>
      </c>
      <c r="G78" s="50" t="n">
        <f aca="false">G76/cf_shares</f>
        <v>7.5</v>
      </c>
      <c r="H78" s="50" t="n">
        <f aca="false">H76/cf_shares</f>
        <v>7.5</v>
      </c>
      <c r="I78" s="50" t="n">
        <f aca="false">I76/cf_shares</f>
        <v>7.5</v>
      </c>
      <c r="J78" s="50" t="n">
        <f aca="false">J76/cf_shares</f>
        <v>7.5</v>
      </c>
      <c r="K78" s="50" t="n">
        <f aca="false">K76/cf_shares</f>
        <v>7.5</v>
      </c>
      <c r="L78" s="50" t="n">
        <f aca="false">L76/cf_shares</f>
        <v>7.5</v>
      </c>
      <c r="M78" s="50" t="n">
        <f aca="false">M76/cf_shares</f>
        <v>7.5</v>
      </c>
    </row>
    <row r="79" customFormat="false" ht="15" hidden="false" customHeight="false" outlineLevel="0" collapsed="false">
      <c r="A79" s="9" t="s">
        <v>495</v>
      </c>
      <c r="C79" s="50" t="n">
        <f aca="false">cf_eps</f>
        <v>7.5</v>
      </c>
      <c r="D79" s="50" t="n">
        <f aca="false">(D76+D77)/cf_shares</f>
        <v>8.578125</v>
      </c>
      <c r="E79" s="50" t="n">
        <f aca="false">(E76+E77)/cf_shares</f>
        <v>8.578125</v>
      </c>
      <c r="F79" s="50" t="n">
        <f aca="false">(F76+F77)/cf_shares</f>
        <v>8.578125</v>
      </c>
      <c r="G79" s="50" t="n">
        <f aca="false">(G76+G77)/cf_shares</f>
        <v>8.578125</v>
      </c>
      <c r="H79" s="50" t="n">
        <f aca="false">(H76+H77)/cf_shares</f>
        <v>8.578125</v>
      </c>
      <c r="I79" s="50" t="n">
        <f aca="false">(I76+I77)/cf_shares</f>
        <v>8.578125</v>
      </c>
      <c r="J79" s="50" t="n">
        <f aca="false">(J76+J77)/cf_shares</f>
        <v>8.578125</v>
      </c>
      <c r="K79" s="50" t="n">
        <f aca="false">(K76+K77)/cf_shares</f>
        <v>8.578125</v>
      </c>
      <c r="L79" s="50" t="n">
        <f aca="false">(L76+L77)/cf_shares</f>
        <v>8.578125</v>
      </c>
      <c r="M79" s="50" t="n">
        <f aca="false">(M76+M77)/cf_shares</f>
        <v>8.578125</v>
      </c>
    </row>
    <row r="80" customFormat="false" ht="15" hidden="false" customHeight="false" outlineLevel="0" collapsed="false">
      <c r="A80" s="4" t="s">
        <v>496</v>
      </c>
      <c r="C80" s="41" t="n">
        <f aca="false">-C67-C69</f>
        <v>-94.5</v>
      </c>
      <c r="D80" s="41" t="n">
        <f aca="false">D59+D71*(1-a_tax)-C67-C69-D73-D75</f>
        <v>-138.225</v>
      </c>
      <c r="E80" s="41" t="n">
        <f aca="false">E59+E71*(1-a_tax)-C67-C69-E73-E75</f>
        <v>-84.105</v>
      </c>
      <c r="F80" s="41" t="n">
        <f aca="false">F59+F71*(1-a_tax)-C67-C69-F73-F75</f>
        <v>-73.116</v>
      </c>
      <c r="G80" s="41" t="n">
        <f aca="false">G59+G71*(1-a_tax)-C67-C69-G73-G75</f>
        <v>-58.1472</v>
      </c>
      <c r="H80" s="41" t="n">
        <f aca="false">H59+H71*(1-a_tax)-C67-C69-H73-H75</f>
        <v>-38.04624</v>
      </c>
      <c r="I80" s="41" t="n">
        <f aca="false">I59+I71*(1-a_tax)-C67-C69-I73-I75</f>
        <v>-26.755488</v>
      </c>
      <c r="J80" s="41" t="n">
        <f aca="false">J59+J71*(1-a_tax)-C67-C69-J73-J75</f>
        <v>-13.2065856</v>
      </c>
      <c r="K80" s="41" t="n">
        <f aca="false">K59+K71*(1-a_tax)-C67-C69-K73-K75</f>
        <v>3.05209727999997</v>
      </c>
      <c r="L80" s="41" t="n">
        <f aca="false">L59+L71*(1-a_tax)-C67-C69-L73-L75</f>
        <v>22.562516736</v>
      </c>
      <c r="M80" s="41" t="n">
        <f aca="false">M59+M71*(1-a_tax)-C67-C69-M73-M75</f>
        <v>45.9750200832</v>
      </c>
    </row>
    <row r="81" customFormat="false" ht="15" hidden="false" customHeight="false" outlineLevel="0" collapsed="false">
      <c r="A81" s="9" t="s">
        <v>497</v>
      </c>
      <c r="C81" s="36" t="n">
        <f aca="false">C76+C80</f>
        <v>385.5</v>
      </c>
      <c r="D81" s="36" t="n">
        <f aca="false">D76+D80</f>
        <v>341.775</v>
      </c>
      <c r="E81" s="36" t="n">
        <f aca="false">E76+E80</f>
        <v>395.895</v>
      </c>
      <c r="F81" s="36" t="n">
        <f aca="false">F76+F80</f>
        <v>406.884</v>
      </c>
      <c r="G81" s="36" t="n">
        <f aca="false">G76+G80</f>
        <v>421.8528</v>
      </c>
      <c r="H81" s="36" t="n">
        <f aca="false">H76+H80</f>
        <v>441.95376</v>
      </c>
      <c r="I81" s="36" t="n">
        <f aca="false">I76+I80</f>
        <v>453.244512</v>
      </c>
      <c r="J81" s="36" t="n">
        <f aca="false">J76+J80</f>
        <v>466.7934144</v>
      </c>
      <c r="K81" s="36" t="n">
        <f aca="false">K76+K80</f>
        <v>483.05209728</v>
      </c>
      <c r="L81" s="36" t="n">
        <f aca="false">L76+L80</f>
        <v>502.562516736</v>
      </c>
      <c r="M81" s="36" t="n">
        <f aca="false">M76+M80</f>
        <v>525.9750200832</v>
      </c>
    </row>
    <row r="82" customFormat="false" ht="15" hidden="false" customHeight="false" outlineLevel="0" collapsed="false">
      <c r="A82" s="4" t="s">
        <v>498</v>
      </c>
      <c r="C82" s="48" t="n">
        <f aca="false">C81/C66</f>
        <v>5.92858021653543</v>
      </c>
      <c r="D82" s="48" t="n">
        <f aca="false">D81/C66</f>
        <v>5.25613619586614</v>
      </c>
      <c r="E82" s="48" t="n">
        <f aca="false">E81/C66</f>
        <v>6.08844426673228</v>
      </c>
      <c r="F82" s="48" t="n">
        <f aca="false">F81/C66</f>
        <v>6.25744340551181</v>
      </c>
      <c r="G82" s="48" t="n">
        <f aca="false">G81/C66</f>
        <v>6.48764763779528</v>
      </c>
      <c r="H82" s="48" t="n">
        <f aca="false">H81/C66</f>
        <v>6.79677903543307</v>
      </c>
      <c r="I82" s="48" t="n">
        <f aca="false">I81/C66</f>
        <v>6.9704187992126</v>
      </c>
      <c r="J82" s="48" t="n">
        <f aca="false">J81/C66</f>
        <v>7.17878651574803</v>
      </c>
      <c r="K82" s="48" t="n">
        <f aca="false">K81/C66</f>
        <v>7.42882777559055</v>
      </c>
      <c r="L82" s="48" t="n">
        <f aca="false">L81/C66</f>
        <v>7.72887728740157</v>
      </c>
      <c r="M82" s="48" t="n">
        <f aca="false">M81/C66</f>
        <v>8.0889367015748</v>
      </c>
    </row>
    <row r="83" customFormat="false" ht="15" hidden="false" customHeight="false" outlineLevel="0" collapsed="false">
      <c r="A83" s="4" t="s">
        <v>499</v>
      </c>
      <c r="C83" s="14" t="n">
        <f aca="false">C82/cf_eps-1</f>
        <v>-0.209522637795276</v>
      </c>
      <c r="D83" s="14" t="n">
        <f aca="false">D82/cf_eps-1</f>
        <v>-0.299181840551181</v>
      </c>
      <c r="E83" s="14" t="n">
        <f aca="false">E82/cf_eps-1</f>
        <v>-0.188207431102362</v>
      </c>
      <c r="F83" s="14" t="n">
        <f aca="false">F82/cf_eps-1</f>
        <v>-0.165674212598425</v>
      </c>
      <c r="G83" s="14" t="n">
        <f aca="false">G82/cf_eps-1</f>
        <v>-0.13498031496063</v>
      </c>
      <c r="H83" s="14" t="n">
        <f aca="false">H82/cf_eps-1</f>
        <v>-0.0937627952755906</v>
      </c>
      <c r="I83" s="14" t="n">
        <f aca="false">I82/cf_eps-1</f>
        <v>-0.0706108267716537</v>
      </c>
      <c r="J83" s="14" t="n">
        <f aca="false">J82/cf_eps-1</f>
        <v>-0.0428284645669292</v>
      </c>
      <c r="K83" s="14" t="n">
        <f aca="false">K82/cf_eps-1</f>
        <v>-0.0094896299212599</v>
      </c>
      <c r="L83" s="14" t="n">
        <f aca="false">L82/cf_eps-1</f>
        <v>0.0305169716535432</v>
      </c>
      <c r="M83" s="14" t="n">
        <f aca="false">M82/cf_eps-1</f>
        <v>0.0785248935433069</v>
      </c>
    </row>
    <row r="84" customFormat="false" ht="15" hidden="false" customHeight="false" outlineLevel="0" collapsed="false">
      <c r="A84" s="9" t="s">
        <v>500</v>
      </c>
      <c r="C84" s="50" t="n">
        <f aca="false">C82</f>
        <v>5.92858021653543</v>
      </c>
      <c r="D84" s="50" t="n">
        <f aca="false">(D81+D77)/C66</f>
        <v>6.31728284940945</v>
      </c>
      <c r="E84" s="50" t="n">
        <f aca="false">(E81+E77)/C66</f>
        <v>7.14959092027559</v>
      </c>
      <c r="F84" s="50" t="n">
        <f aca="false">(F81+F77)/C66</f>
        <v>7.31859005905512</v>
      </c>
      <c r="G84" s="50" t="n">
        <f aca="false">(G81+G77)/C66</f>
        <v>7.54879429133858</v>
      </c>
      <c r="H84" s="50" t="n">
        <f aca="false">(H81+H77)/C66</f>
        <v>7.85792568897638</v>
      </c>
      <c r="I84" s="50" t="n">
        <f aca="false">(I81+I77)/C66</f>
        <v>8.0315654527559</v>
      </c>
      <c r="J84" s="50" t="n">
        <f aca="false">(J81+J77)/C66</f>
        <v>8.23993316929134</v>
      </c>
      <c r="K84" s="50" t="n">
        <f aca="false">(K81+K77)/C66</f>
        <v>8.48997442913386</v>
      </c>
      <c r="L84" s="50" t="n">
        <f aca="false">(L81+L77)/C66</f>
        <v>8.79002394094488</v>
      </c>
      <c r="M84" s="50" t="n">
        <f aca="false">(M81+M77)/C66</f>
        <v>9.15008335511811</v>
      </c>
    </row>
    <row r="85" customFormat="false" ht="15" hidden="false" customHeight="false" outlineLevel="0" collapsed="false">
      <c r="A85" s="9" t="s">
        <v>501</v>
      </c>
      <c r="C85" s="18" t="n">
        <f aca="false">C83</f>
        <v>-0.209522637795276</v>
      </c>
      <c r="D85" s="18" t="n">
        <f aca="false">D84/D79-1</f>
        <v>-0.263559012090702</v>
      </c>
      <c r="E85" s="18" t="n">
        <f aca="false">E84/E79-1</f>
        <v>-0.166532206015232</v>
      </c>
      <c r="F85" s="18" t="n">
        <f aca="false">F84/F79-1</f>
        <v>-0.146831031366981</v>
      </c>
      <c r="G85" s="18" t="n">
        <f aca="false">G84/G79-1</f>
        <v>-0.119994836710985</v>
      </c>
      <c r="H85" s="18" t="n">
        <f aca="false">H84/H79-1</f>
        <v>-0.0839576610300762</v>
      </c>
      <c r="I85" s="18" t="n">
        <f aca="false">I84/I79-1</f>
        <v>-0.0637155027752679</v>
      </c>
      <c r="J85" s="18" t="n">
        <f aca="false">J84/J79-1</f>
        <v>-0.039424912869498</v>
      </c>
      <c r="K85" s="18" t="n">
        <f aca="false">K84/K79-1</f>
        <v>-0.010276204982574</v>
      </c>
      <c r="L85" s="18" t="n">
        <f aca="false">L84/L79-1</f>
        <v>0.0247022444817346</v>
      </c>
      <c r="M85" s="18" t="n">
        <f aca="false">M84/M79-1</f>
        <v>0.0666763838389053</v>
      </c>
    </row>
    <row r="86" customFormat="false" ht="15" hidden="false" customHeight="false" outlineLevel="0" collapsed="false">
      <c r="A86" s="9" t="s">
        <v>502</v>
      </c>
      <c r="C86" s="50" t="n">
        <f aca="false">(C81+C69)/C66</f>
        <v>5.92858021653543</v>
      </c>
      <c r="D86" s="50" t="n">
        <f aca="false">(D81+C69)/C66</f>
        <v>5.25613619586614</v>
      </c>
      <c r="E86" s="50" t="n">
        <f aca="false">(E81+C69)/C66</f>
        <v>6.08844426673228</v>
      </c>
      <c r="F86" s="50" t="n">
        <f aca="false">(F81+C69)/C66</f>
        <v>6.25744340551181</v>
      </c>
      <c r="G86" s="50" t="n">
        <f aca="false">(G81+C69)/C66</f>
        <v>6.48764763779528</v>
      </c>
      <c r="H86" s="50" t="n">
        <f aca="false">(H81+C69)/C66</f>
        <v>6.79677903543307</v>
      </c>
      <c r="I86" s="50" t="n">
        <f aca="false">(I81+C69)/C66</f>
        <v>6.9704187992126</v>
      </c>
      <c r="J86" s="50" t="n">
        <f aca="false">(J81+C69)/C66</f>
        <v>7.17878651574803</v>
      </c>
      <c r="K86" s="50" t="n">
        <f aca="false">(K81+C69)/C66</f>
        <v>7.42882777559055</v>
      </c>
      <c r="L86" s="50" t="n">
        <f aca="false">(L81+C69)/C66</f>
        <v>7.72887728740157</v>
      </c>
      <c r="M86" s="50" t="n">
        <f aca="false">(M81+C69)/C66</f>
        <v>8.0889367015748</v>
      </c>
    </row>
    <row r="87" customFormat="false" ht="15" hidden="false" customHeight="false" outlineLevel="0" collapsed="false">
      <c r="A87" s="9" t="s">
        <v>503</v>
      </c>
      <c r="C87" s="50" t="n">
        <f aca="false">(C81-C68+C69)/C66</f>
        <v>4.48680487204724</v>
      </c>
      <c r="D87" s="50" t="n">
        <f aca="false">(D81-C68+C69)/C66</f>
        <v>3.81436085137795</v>
      </c>
      <c r="E87" s="50" t="n">
        <f aca="false">(E81-C68+C69)/C66</f>
        <v>4.64666892224409</v>
      </c>
      <c r="F87" s="50" t="n">
        <f aca="false">(F81-C68+C69)/C66</f>
        <v>4.81566806102362</v>
      </c>
      <c r="G87" s="50" t="n">
        <f aca="false">(G81-C68+C69)/C66</f>
        <v>5.04587229330709</v>
      </c>
      <c r="H87" s="50" t="n">
        <f aca="false">(H81-C68+C69)/C66</f>
        <v>5.35500369094488</v>
      </c>
      <c r="I87" s="50" t="n">
        <f aca="false">(I81-C68+C69)/C66</f>
        <v>5.52864345472441</v>
      </c>
      <c r="J87" s="50" t="n">
        <f aca="false">(J81-C68+C69)/C66</f>
        <v>5.73701117125984</v>
      </c>
      <c r="K87" s="50" t="n">
        <f aca="false">(K81-C68+C69)/C66</f>
        <v>5.98705243110236</v>
      </c>
      <c r="L87" s="50" t="n">
        <f aca="false">(L81-C68+C69)/C66</f>
        <v>6.28710194291339</v>
      </c>
      <c r="M87" s="50" t="n">
        <f aca="false">(M81-C68+C69)/C66</f>
        <v>6.64716135708661</v>
      </c>
    </row>
    <row r="88" customFormat="false" ht="15" hidden="false" customHeight="false" outlineLevel="0" collapsed="false">
      <c r="A88" s="9" t="s">
        <v>504</v>
      </c>
      <c r="C88" s="50" t="n">
        <f aca="false">C76/C66</f>
        <v>7.38188976377953</v>
      </c>
      <c r="D88" s="50" t="n">
        <f aca="false">D76/C66</f>
        <v>7.38188976377953</v>
      </c>
      <c r="E88" s="50" t="n">
        <f aca="false">E76/C66</f>
        <v>7.38188976377953</v>
      </c>
      <c r="F88" s="50" t="n">
        <f aca="false">F76/C66</f>
        <v>7.38188976377953</v>
      </c>
      <c r="G88" s="50" t="n">
        <f aca="false">G76/C66</f>
        <v>7.38188976377953</v>
      </c>
      <c r="H88" s="50" t="n">
        <f aca="false">H76/C66</f>
        <v>7.38188976377953</v>
      </c>
      <c r="I88" s="50" t="n">
        <f aca="false">I76/C66</f>
        <v>7.38188976377953</v>
      </c>
      <c r="J88" s="50" t="n">
        <f aca="false">J76/C66</f>
        <v>7.38188976377953</v>
      </c>
      <c r="K88" s="50" t="n">
        <f aca="false">K76/C66</f>
        <v>7.38188976377953</v>
      </c>
      <c r="L88" s="50" t="n">
        <f aca="false">L76/C66</f>
        <v>7.38188976377953</v>
      </c>
      <c r="M88" s="50" t="n">
        <f aca="false">M76/C66</f>
        <v>7.38188976377953</v>
      </c>
    </row>
    <row r="89" customFormat="false" ht="15" hidden="false" customHeight="false" outlineLevel="0" collapsed="false">
      <c r="A89" s="9" t="s">
        <v>505</v>
      </c>
      <c r="D89" s="36" t="n">
        <f aca="false">D62+D71*(1-a_tax)-D72-IF(D49=1,C70,0)</f>
        <v>-200.975</v>
      </c>
      <c r="E89" s="36" t="n">
        <f aca="false">E62+E71*(1-a_tax)-E72-IF(E49=1,C70,0)</f>
        <v>8.745</v>
      </c>
      <c r="F89" s="36" t="n">
        <f aca="false">F62+F71*(1-a_tax)-F72-IF(F49=1,C70,0)</f>
        <v>19.404</v>
      </c>
      <c r="G89" s="36" t="n">
        <f aca="false">G62+G71*(1-a_tax)-G72-IF(G49=1,C70,0)</f>
        <v>33.9768</v>
      </c>
      <c r="H89" s="36" t="n">
        <f aca="false">H62+H71*(1-a_tax)-H72-IF(H49=1,C70,0)</f>
        <v>53.60256</v>
      </c>
      <c r="I89" s="36" t="n">
        <f aca="false">I62+I71*(1-a_tax)-I72-IF(I49=1,C70,0)</f>
        <v>64.323072</v>
      </c>
      <c r="J89" s="36" t="n">
        <f aca="false">J62+J71*(1-a_tax)-J72-IF(J49=1,C70,0)</f>
        <v>77.1876864</v>
      </c>
      <c r="K89" s="36" t="n">
        <f aca="false">K62+K71*(1-a_tax)-K72-IF(K49=1,C70,0)</f>
        <v>92.62522368</v>
      </c>
      <c r="L89" s="36" t="n">
        <f aca="false">L62+L71*(1-a_tax)-L72-IF(L49=1,C70,0)</f>
        <v>111.150268416</v>
      </c>
      <c r="M89" s="36" t="n">
        <f aca="false">M62+M71*(1-a_tax)-M72-IF(M49=1,C70,0)</f>
        <v>133.3803220992</v>
      </c>
    </row>
    <row r="90" customFormat="false" ht="15" hidden="false" customHeight="false" outlineLevel="0" collapsed="false">
      <c r="A90" s="4" t="s">
        <v>506</v>
      </c>
      <c r="D90" s="41" t="n">
        <f aca="false">D89-C67</f>
        <v>-295.475</v>
      </c>
      <c r="E90" s="41" t="n">
        <f aca="false">E89-C67</f>
        <v>-85.755</v>
      </c>
      <c r="F90" s="41" t="n">
        <f aca="false">F89-C67</f>
        <v>-75.096</v>
      </c>
      <c r="G90" s="41" t="n">
        <f aca="false">G89-C67</f>
        <v>-60.5232</v>
      </c>
      <c r="H90" s="41" t="n">
        <f aca="false">H89-C67</f>
        <v>-40.89744</v>
      </c>
      <c r="I90" s="41" t="n">
        <f aca="false">I89-C67</f>
        <v>-30.176928</v>
      </c>
      <c r="J90" s="41" t="n">
        <f aca="false">J89-C67</f>
        <v>-17.3123136</v>
      </c>
      <c r="K90" s="41" t="n">
        <f aca="false">K89-C67</f>
        <v>-1.87477632000002</v>
      </c>
      <c r="L90" s="41" t="n">
        <f aca="false">L89-C67</f>
        <v>16.650268416</v>
      </c>
      <c r="M90" s="41" t="n">
        <f aca="false">M89-C67</f>
        <v>38.8803220992</v>
      </c>
    </row>
    <row r="91" customFormat="false" ht="15" hidden="false" customHeight="false" outlineLevel="0" collapsed="false">
      <c r="A91" s="9" t="s">
        <v>507</v>
      </c>
      <c r="C91" s="36" t="n">
        <f aca="false">0</f>
        <v>0</v>
      </c>
      <c r="D91" s="36" t="n">
        <f aca="false">D77</f>
        <v>69</v>
      </c>
      <c r="E91" s="36" t="n">
        <f aca="false">E77</f>
        <v>69</v>
      </c>
      <c r="F91" s="36" t="n">
        <f aca="false">F77</f>
        <v>69</v>
      </c>
      <c r="G91" s="36" t="n">
        <f aca="false">G77</f>
        <v>69</v>
      </c>
      <c r="H91" s="36" t="n">
        <f aca="false">H77</f>
        <v>69</v>
      </c>
      <c r="I91" s="36" t="n">
        <f aca="false">I77</f>
        <v>69</v>
      </c>
      <c r="J91" s="36" t="n">
        <f aca="false">J77</f>
        <v>69</v>
      </c>
      <c r="K91" s="36" t="n">
        <f aca="false">K77</f>
        <v>69</v>
      </c>
      <c r="L91" s="36" t="n">
        <f aca="false">L77</f>
        <v>69</v>
      </c>
      <c r="M91" s="36" t="n">
        <f aca="false">M77</f>
        <v>69</v>
      </c>
    </row>
    <row r="92" customFormat="false" ht="15" hidden="false" customHeight="false" outlineLevel="0" collapsed="false">
      <c r="A92" s="9" t="s">
        <v>508</v>
      </c>
      <c r="D92" s="36" t="n">
        <f aca="false">D90+D91</f>
        <v>-226.475</v>
      </c>
      <c r="E92" s="36" t="n">
        <f aca="false">E90+E91</f>
        <v>-16.755</v>
      </c>
      <c r="F92" s="36" t="n">
        <f aca="false">F90+F91</f>
        <v>-6.09599999999999</v>
      </c>
      <c r="G92" s="36" t="n">
        <f aca="false">G90+G91</f>
        <v>8.4768</v>
      </c>
      <c r="H92" s="36" t="n">
        <f aca="false">H90+H91</f>
        <v>28.10256</v>
      </c>
      <c r="I92" s="36" t="n">
        <f aca="false">I90+I91</f>
        <v>38.823072</v>
      </c>
      <c r="J92" s="36" t="n">
        <f aca="false">J90+J91</f>
        <v>51.6876864</v>
      </c>
      <c r="K92" s="36" t="n">
        <f aca="false">K90+K91</f>
        <v>67.12522368</v>
      </c>
      <c r="L92" s="36" t="n">
        <f aca="false">L90+L91</f>
        <v>85.650268416</v>
      </c>
      <c r="M92" s="36" t="n">
        <f aca="false">M90+M91</f>
        <v>107.8803220992</v>
      </c>
    </row>
    <row r="93" customFormat="false" ht="15" hidden="false" customHeight="false" outlineLevel="0" collapsed="false">
      <c r="A93" s="9" t="s">
        <v>509</v>
      </c>
      <c r="D93" s="36" t="n">
        <f aca="false">IF(lv_mdr_in_deal=1,D92,D90)</f>
        <v>-295.475</v>
      </c>
      <c r="E93" s="36" t="n">
        <f aca="false">IF(lv_mdr_in_deal=1,E92,E90)</f>
        <v>-85.755</v>
      </c>
      <c r="F93" s="36" t="n">
        <f aca="false">IF(lv_mdr_in_deal=1,F92,F90)</f>
        <v>-75.096</v>
      </c>
      <c r="G93" s="36" t="n">
        <f aca="false">IF(lv_mdr_in_deal=1,G92,G90)</f>
        <v>-60.5232</v>
      </c>
      <c r="H93" s="36" t="n">
        <f aca="false">IF(lv_mdr_in_deal=1,H92,H90)</f>
        <v>-40.89744</v>
      </c>
      <c r="I93" s="36" t="n">
        <f aca="false">IF(lv_mdr_in_deal=1,I92,I90)</f>
        <v>-30.176928</v>
      </c>
      <c r="J93" s="36" t="n">
        <f aca="false">IF(lv_mdr_in_deal=1,J92,J90)</f>
        <v>-17.3123136</v>
      </c>
      <c r="K93" s="36" t="n">
        <f aca="false">IF(lv_mdr_in_deal=1,K92,K90)</f>
        <v>-1.87477632000002</v>
      </c>
      <c r="L93" s="36" t="n">
        <f aca="false">IF(lv_mdr_in_deal=1,L92,L90)</f>
        <v>16.650268416</v>
      </c>
      <c r="M93" s="36" t="n">
        <f aca="false">IF(lv_mdr_in_deal=1,M92,M90)</f>
        <v>38.8803220992</v>
      </c>
    </row>
    <row r="94" customFormat="false" ht="15" hidden="false" customHeight="false" outlineLevel="0" collapsed="false">
      <c r="A94" s="9" t="s">
        <v>510</v>
      </c>
      <c r="C94" s="36" t="n">
        <f aca="false">-lv_price</f>
        <v>-4000</v>
      </c>
      <c r="D94" s="36" t="n">
        <f aca="false">C94+D93</f>
        <v>-4295.475</v>
      </c>
      <c r="E94" s="36" t="n">
        <f aca="false">D94+E93</f>
        <v>-4381.23</v>
      </c>
      <c r="F94" s="36" t="n">
        <f aca="false">E94+F93</f>
        <v>-4456.326</v>
      </c>
      <c r="G94" s="36" t="n">
        <f aca="false">F94+G93</f>
        <v>-4516.8492</v>
      </c>
      <c r="H94" s="36" t="n">
        <f aca="false">G94+H93</f>
        <v>-4557.74664</v>
      </c>
      <c r="I94" s="36" t="n">
        <f aca="false">H94+I93</f>
        <v>-4587.923568</v>
      </c>
      <c r="J94" s="36" t="n">
        <f aca="false">I94+J93</f>
        <v>-4605.2358816</v>
      </c>
      <c r="K94" s="36" t="n">
        <f aca="false">J94+K93</f>
        <v>-4607.11065792</v>
      </c>
      <c r="L94" s="36" t="n">
        <f aca="false">K94+L93</f>
        <v>-4590.460389504</v>
      </c>
      <c r="M94" s="36" t="n">
        <f aca="false">L94+M93</f>
        <v>-4551.5800674048</v>
      </c>
    </row>
    <row r="95" customFormat="false" ht="15" hidden="false" customHeight="false" outlineLevel="0" collapsed="false">
      <c r="A95" s="9" t="s">
        <v>511</v>
      </c>
      <c r="C95" s="43" t="n">
        <f aca="false">1</f>
        <v>1</v>
      </c>
      <c r="D95" s="43" t="n">
        <f aca="false">1/(1+lv_wacc)^D49</f>
        <v>0.884955752212389</v>
      </c>
      <c r="E95" s="43" t="n">
        <f aca="false">1/(1+lv_wacc)^E49</f>
        <v>0.783146683373796</v>
      </c>
      <c r="F95" s="43" t="n">
        <f aca="false">1/(1+lv_wacc)^F49</f>
        <v>0.693050162277696</v>
      </c>
      <c r="G95" s="43" t="n">
        <f aca="false">1/(1+lv_wacc)^G49</f>
        <v>0.613318727679377</v>
      </c>
      <c r="H95" s="43" t="n">
        <f aca="false">1/(1+lv_wacc)^H49</f>
        <v>0.542759935999449</v>
      </c>
      <c r="I95" s="43" t="n">
        <f aca="false">1/(1+lv_wacc)^I49</f>
        <v>0.48031852743314</v>
      </c>
      <c r="J95" s="43" t="n">
        <f aca="false">1/(1+lv_wacc)^J49</f>
        <v>0.425060643746142</v>
      </c>
      <c r="K95" s="43" t="n">
        <f aca="false">1/(1+lv_wacc)^K49</f>
        <v>0.37615986172225</v>
      </c>
      <c r="L95" s="43" t="n">
        <f aca="false">1/(1+lv_wacc)^L49</f>
        <v>0.332884833382522</v>
      </c>
      <c r="M95" s="43" t="n">
        <f aca="false">1/(1+lv_wacc)^M49</f>
        <v>0.294588348126126</v>
      </c>
    </row>
    <row r="96" customFormat="false" ht="15" hidden="false" customHeight="false" outlineLevel="0" collapsed="false">
      <c r="A96" s="9" t="s">
        <v>512</v>
      </c>
      <c r="C96" s="46" t="n">
        <f aca="false">99</f>
        <v>99</v>
      </c>
      <c r="D96" s="46" t="n">
        <f aca="false">IF(D80&gt;=0,D49,99)</f>
        <v>99</v>
      </c>
      <c r="E96" s="46" t="n">
        <f aca="false">IF(E80&gt;=0,E49,99)</f>
        <v>99</v>
      </c>
      <c r="F96" s="46" t="n">
        <f aca="false">IF(F80&gt;=0,F49,99)</f>
        <v>99</v>
      </c>
      <c r="G96" s="46" t="n">
        <f aca="false">IF(G80&gt;=0,G49,99)</f>
        <v>99</v>
      </c>
      <c r="H96" s="46" t="n">
        <f aca="false">IF(H80&gt;=0,H49,99)</f>
        <v>99</v>
      </c>
      <c r="I96" s="46" t="n">
        <f aca="false">IF(I80&gt;=0,I49,99)</f>
        <v>99</v>
      </c>
      <c r="J96" s="46" t="n">
        <f aca="false">IF(J80&gt;=0,J49,99)</f>
        <v>99</v>
      </c>
      <c r="K96" s="46" t="n">
        <f aca="false">IF(K80&gt;=0,K49,99)</f>
        <v>8</v>
      </c>
      <c r="L96" s="46" t="n">
        <f aca="false">IF(L80&gt;=0,L49,99)</f>
        <v>9</v>
      </c>
      <c r="M96" s="46" t="n">
        <f aca="false">IF(M80&gt;=0,M49,99)</f>
        <v>10</v>
      </c>
    </row>
    <row r="97" customFormat="false" ht="15" hidden="false" customHeight="false" outlineLevel="0" collapsed="false">
      <c r="A97" s="9" t="s">
        <v>513</v>
      </c>
      <c r="C97" s="46" t="n">
        <f aca="false">99</f>
        <v>99</v>
      </c>
      <c r="D97" s="46" t="n">
        <f aca="false">IF(D80+D77&gt;=0,D49,99)</f>
        <v>99</v>
      </c>
      <c r="E97" s="46" t="n">
        <f aca="false">IF(E80+E77&gt;=0,E49,99)</f>
        <v>99</v>
      </c>
      <c r="F97" s="46" t="n">
        <f aca="false">IF(F80+F77&gt;=0,F49,99)</f>
        <v>99</v>
      </c>
      <c r="G97" s="46" t="n">
        <f aca="false">IF(G80+G77&gt;=0,G49,99)</f>
        <v>4</v>
      </c>
      <c r="H97" s="46" t="n">
        <f aca="false">IF(H80+H77&gt;=0,H49,99)</f>
        <v>5</v>
      </c>
      <c r="I97" s="46" t="n">
        <f aca="false">IF(I80+I77&gt;=0,I49,99)</f>
        <v>6</v>
      </c>
      <c r="J97" s="46" t="n">
        <f aca="false">IF(J80+J77&gt;=0,J49,99)</f>
        <v>7</v>
      </c>
      <c r="K97" s="46" t="n">
        <f aca="false">IF(K80+K77&gt;=0,K49,99)</f>
        <v>8</v>
      </c>
      <c r="L97" s="46" t="n">
        <f aca="false">IF(L80+L77&gt;=0,L49,99)</f>
        <v>9</v>
      </c>
      <c r="M97" s="46" t="n">
        <f aca="false">IF(M80+M77&gt;=0,M49,99)</f>
        <v>10</v>
      </c>
    </row>
    <row r="98" customFormat="false" ht="15" hidden="false" customHeight="false" outlineLevel="0" collapsed="false">
      <c r="A98" s="9" t="s">
        <v>514</v>
      </c>
      <c r="C98" s="46" t="n">
        <f aca="false">99</f>
        <v>99</v>
      </c>
      <c r="D98" s="46" t="n">
        <f aca="false">IF(D90&gt;=0,D49,99)</f>
        <v>99</v>
      </c>
      <c r="E98" s="46" t="n">
        <f aca="false">IF(E90&gt;=0,E49,99)</f>
        <v>99</v>
      </c>
      <c r="F98" s="46" t="n">
        <f aca="false">IF(F90&gt;=0,F49,99)</f>
        <v>99</v>
      </c>
      <c r="G98" s="46" t="n">
        <f aca="false">IF(G90&gt;=0,G49,99)</f>
        <v>99</v>
      </c>
      <c r="H98" s="46" t="n">
        <f aca="false">IF(H90&gt;=0,H49,99)</f>
        <v>99</v>
      </c>
      <c r="I98" s="46" t="n">
        <f aca="false">IF(I90&gt;=0,I49,99)</f>
        <v>99</v>
      </c>
      <c r="J98" s="46" t="n">
        <f aca="false">IF(J90&gt;=0,J49,99)</f>
        <v>99</v>
      </c>
      <c r="K98" s="46" t="n">
        <f aca="false">IF(K90&gt;=0,K49,99)</f>
        <v>99</v>
      </c>
      <c r="L98" s="46" t="n">
        <f aca="false">IF(L90&gt;=0,L49,99)</f>
        <v>9</v>
      </c>
      <c r="M98" s="46" t="n">
        <f aca="false">IF(M90&gt;=0,M49,99)</f>
        <v>10</v>
      </c>
    </row>
    <row r="99" customFormat="false" ht="15" hidden="false" customHeight="false" outlineLevel="0" collapsed="false">
      <c r="A99" s="9" t="s">
        <v>515</v>
      </c>
      <c r="C99" s="46" t="n">
        <f aca="false">99</f>
        <v>99</v>
      </c>
      <c r="D99" s="46" t="n">
        <f aca="false">IF(D92&gt;=0,D49,99)</f>
        <v>99</v>
      </c>
      <c r="E99" s="46" t="n">
        <f aca="false">IF(E92&gt;=0,E49,99)</f>
        <v>99</v>
      </c>
      <c r="F99" s="46" t="n">
        <f aca="false">IF(F92&gt;=0,F49,99)</f>
        <v>99</v>
      </c>
      <c r="G99" s="46" t="n">
        <f aca="false">IF(G92&gt;=0,G49,99)</f>
        <v>4</v>
      </c>
      <c r="H99" s="46" t="n">
        <f aca="false">IF(H92&gt;=0,H49,99)</f>
        <v>5</v>
      </c>
      <c r="I99" s="46" t="n">
        <f aca="false">IF(I92&gt;=0,I49,99)</f>
        <v>6</v>
      </c>
      <c r="J99" s="46" t="n">
        <f aca="false">IF(J92&gt;=0,J49,99)</f>
        <v>7</v>
      </c>
      <c r="K99" s="46" t="n">
        <f aca="false">IF(K92&gt;=0,K49,99)</f>
        <v>8</v>
      </c>
      <c r="L99" s="46" t="n">
        <f aca="false">IF(L92&gt;=0,L49,99)</f>
        <v>9</v>
      </c>
      <c r="M99" s="46" t="n">
        <f aca="false">IF(M92&gt;=0,M49,99)</f>
        <v>10</v>
      </c>
    </row>
    <row r="100" customFormat="false" ht="15" hidden="false" customHeight="false" outlineLevel="0" collapsed="false">
      <c r="A100" s="9" t="s">
        <v>516</v>
      </c>
      <c r="C100" s="46" t="n">
        <f aca="false">99</f>
        <v>99</v>
      </c>
      <c r="D100" s="46" t="n">
        <f aca="false">IF(D94&gt;=0,D49,99)</f>
        <v>99</v>
      </c>
      <c r="E100" s="46" t="n">
        <f aca="false">IF(E94&gt;=0,E49,99)</f>
        <v>99</v>
      </c>
      <c r="F100" s="46" t="n">
        <f aca="false">IF(F94&gt;=0,F49,99)</f>
        <v>99</v>
      </c>
      <c r="G100" s="46" t="n">
        <f aca="false">IF(G94&gt;=0,G49,99)</f>
        <v>99</v>
      </c>
      <c r="H100" s="46" t="n">
        <f aca="false">IF(H94&gt;=0,H49,99)</f>
        <v>99</v>
      </c>
      <c r="I100" s="46" t="n">
        <f aca="false">IF(I94&gt;=0,I49,99)</f>
        <v>99</v>
      </c>
      <c r="J100" s="46" t="n">
        <f aca="false">IF(J94&gt;=0,J49,99)</f>
        <v>99</v>
      </c>
      <c r="K100" s="46" t="n">
        <f aca="false">IF(K94&gt;=0,K49,99)</f>
        <v>99</v>
      </c>
      <c r="L100" s="46" t="n">
        <f aca="false">IF(L94&gt;=0,L49,99)</f>
        <v>99</v>
      </c>
      <c r="M100" s="46" t="n">
        <f aca="false">IF(M94&gt;=0,M49,99)</f>
        <v>99</v>
      </c>
    </row>
    <row r="101" customFormat="false" ht="15" hidden="false" customHeight="false" outlineLevel="0" collapsed="false">
      <c r="A101" s="4" t="s">
        <v>517</v>
      </c>
      <c r="C101" s="23" t="n">
        <f aca="false">MIN(D96:M96)</f>
        <v>8</v>
      </c>
    </row>
    <row r="102" customFormat="false" ht="15" hidden="false" customHeight="false" outlineLevel="0" collapsed="false">
      <c r="A102" s="9" t="s">
        <v>518</v>
      </c>
      <c r="C102" s="46" t="n">
        <f aca="false">MIN(D97:M97)</f>
        <v>4</v>
      </c>
    </row>
    <row r="103" customFormat="false" ht="15" hidden="false" customHeight="false" outlineLevel="0" collapsed="false">
      <c r="A103" s="4" t="s">
        <v>519</v>
      </c>
      <c r="C103" s="23" t="n">
        <f aca="false">MIN(D98:M98)</f>
        <v>9</v>
      </c>
    </row>
    <row r="104" customFormat="false" ht="15" hidden="false" customHeight="false" outlineLevel="0" collapsed="false">
      <c r="A104" s="9" t="s">
        <v>520</v>
      </c>
      <c r="C104" s="46" t="n">
        <f aca="false">MIN(D99:M99)</f>
        <v>4</v>
      </c>
    </row>
    <row r="105" customFormat="false" ht="15" hidden="false" customHeight="false" outlineLevel="0" collapsed="false">
      <c r="A105" s="9" t="s">
        <v>521</v>
      </c>
      <c r="C105" s="46" t="n">
        <f aca="false">MIN(D100:M100)</f>
        <v>99</v>
      </c>
    </row>
    <row r="106" customFormat="false" ht="15" hidden="false" customHeight="false" outlineLevel="0" collapsed="false">
      <c r="A106" s="4" t="s">
        <v>522</v>
      </c>
      <c r="C106" s="15" t="n">
        <f aca="false">M94</f>
        <v>-4551.5800674048</v>
      </c>
    </row>
    <row r="107" customFormat="false" ht="15" hidden="false" customHeight="false" outlineLevel="0" collapsed="false">
      <c r="A107" s="9" t="s">
        <v>523</v>
      </c>
      <c r="C107" s="36" t="n">
        <f aca="false">SUMPRODUCT(D62:M62,D95:M95)</f>
        <v>208.806860496414</v>
      </c>
    </row>
    <row r="108" customFormat="false" ht="15" hidden="false" customHeight="false" outlineLevel="0" collapsed="false">
      <c r="A108" s="9" t="s">
        <v>524</v>
      </c>
      <c r="C108" s="36" t="n">
        <f aca="false">M62*(1+a_tg)/(lv_wacc-a_tg)</f>
        <v>1750.616727552</v>
      </c>
    </row>
    <row r="109" customFormat="false" ht="15" hidden="false" customHeight="false" outlineLevel="0" collapsed="false">
      <c r="A109" s="9" t="s">
        <v>314</v>
      </c>
      <c r="C109" s="36" t="n">
        <f aca="false">C108*M95</f>
        <v>515.711289971507</v>
      </c>
    </row>
    <row r="110" customFormat="false" ht="15" hidden="false" customHeight="false" outlineLevel="0" collapsed="false">
      <c r="A110" s="4" t="s">
        <v>525</v>
      </c>
      <c r="C110" s="15" t="n">
        <f aca="false">C107+C109</f>
        <v>724.518150467921</v>
      </c>
    </row>
    <row r="111" customFormat="false" ht="15" hidden="false" customHeight="false" outlineLevel="0" collapsed="false">
      <c r="A111" s="9" t="s">
        <v>526</v>
      </c>
      <c r="C111" s="32" t="n">
        <f aca="false">SUMPRODUCT(D72:M72,D95:M95)-a_recovery*M74*M95</f>
        <v>0</v>
      </c>
    </row>
    <row r="112" customFormat="false" ht="15" hidden="false" customHeight="false" outlineLevel="0" collapsed="false">
      <c r="A112" s="9" t="s">
        <v>527</v>
      </c>
      <c r="C112" s="36" t="n">
        <f aca="false">SUMPRODUCT(D71:M71,D95:M95)*(1-a_tax)</f>
        <v>0</v>
      </c>
    </row>
    <row r="113" customFormat="false" ht="15" hidden="false" customHeight="false" outlineLevel="0" collapsed="false">
      <c r="A113" s="9" t="s">
        <v>528</v>
      </c>
      <c r="C113" s="36" t="n">
        <f aca="false">C70*D95</f>
        <v>141.592920353982</v>
      </c>
    </row>
    <row r="114" customFormat="false" ht="15" hidden="false" customHeight="false" outlineLevel="0" collapsed="false">
      <c r="A114" s="4" t="s">
        <v>529</v>
      </c>
      <c r="C114" s="20" t="n">
        <f aca="false">C110+C112-C111-C113-lv_price</f>
        <v>-3417.07476988606</v>
      </c>
    </row>
    <row r="115" customFormat="false" ht="15" hidden="false" customHeight="false" outlineLevel="0" collapsed="false">
      <c r="A115" s="9" t="s">
        <v>530</v>
      </c>
      <c r="C115" s="32" t="n">
        <f aca="false">C114+SUMPRODUCT(D91:M91,D95:M95)</f>
        <v>-3042.66397004531</v>
      </c>
    </row>
    <row r="116" customFormat="false" ht="15" hidden="false" customHeight="false" outlineLevel="0" collapsed="false">
      <c r="A116" s="4" t="s">
        <v>531</v>
      </c>
      <c r="C116" s="59" t="n">
        <f aca="false">lv_price/D52</f>
        <v>24.2424242424242</v>
      </c>
    </row>
    <row r="117" customFormat="false" ht="15" hidden="false" customHeight="false" outlineLevel="0" collapsed="false">
      <c r="A117" s="9" t="s">
        <v>532</v>
      </c>
      <c r="C117" s="17" t="n">
        <f aca="false">(lv_price+C111)/D52</f>
        <v>24.2424242424242</v>
      </c>
    </row>
    <row r="118" customFormat="false" ht="15" hidden="false" customHeight="false" outlineLevel="0" collapsed="false">
      <c r="A118" s="4" t="s">
        <v>533</v>
      </c>
      <c r="C118" s="15" t="n">
        <f aca="false">(C114+C111)/SUMPRODUCT(D95:M95)</f>
        <v>-629.731191574665</v>
      </c>
    </row>
    <row r="119" customFormat="false" ht="15" hidden="false" customHeight="false" outlineLevel="0" collapsed="false">
      <c r="A119" s="4" t="s">
        <v>534</v>
      </c>
      <c r="C119" s="25" t="n">
        <f aca="false">D82</f>
        <v>5.25613619586614</v>
      </c>
    </row>
    <row r="120" customFormat="false" ht="15" hidden="false" customHeight="false" outlineLevel="0" collapsed="false">
      <c r="A120" s="9" t="s">
        <v>535</v>
      </c>
      <c r="C120" s="50" t="n">
        <f aca="false">F82</f>
        <v>6.25744340551181</v>
      </c>
    </row>
    <row r="121" customFormat="false" ht="15" hidden="false" customHeight="false" outlineLevel="0" collapsed="false">
      <c r="A121" s="4" t="s">
        <v>536</v>
      </c>
      <c r="C121" s="20" t="n">
        <f aca="false">D90</f>
        <v>-295.475</v>
      </c>
    </row>
    <row r="122" customFormat="false" ht="15" hidden="false" customHeight="false" outlineLevel="0" collapsed="false">
      <c r="A122" s="9" t="s">
        <v>537</v>
      </c>
      <c r="C122" s="32" t="n">
        <f aca="false">cf_cash-lv_mix_cash-C70</f>
        <v>6640</v>
      </c>
    </row>
    <row r="123" customFormat="false" ht="15" hidden="false" customHeight="false" outlineLevel="0" collapsed="false">
      <c r="A123" s="9" t="s">
        <v>538</v>
      </c>
      <c r="C123" s="32" t="n">
        <f aca="false">cf_debt+lv_mix_debt</f>
        <v>350</v>
      </c>
    </row>
    <row r="124" customFormat="false" ht="15" hidden="false" customHeight="false" outlineLevel="0" collapsed="false">
      <c r="A124" s="9" t="s">
        <v>539</v>
      </c>
      <c r="C124" s="34" t="n">
        <f aca="false">C123/cf_ebitda</f>
        <v>0.546875</v>
      </c>
    </row>
    <row r="125" customFormat="false" ht="15" hidden="false" customHeight="false" outlineLevel="0" collapsed="false">
      <c r="A125" s="9" t="s">
        <v>540</v>
      </c>
      <c r="C125" s="32" t="n">
        <f aca="false">C122+SUM(D93:F93)+3*cf_pat</f>
        <v>7623.674</v>
      </c>
    </row>
    <row r="127" customFormat="false" ht="15" hidden="false" customHeight="false" outlineLevel="0" collapsed="false">
      <c r="A127" s="7" t="s">
        <v>594</v>
      </c>
      <c r="B127" s="8"/>
      <c r="C127" s="8"/>
      <c r="D127" s="8"/>
      <c r="E127" s="8"/>
      <c r="F127" s="8"/>
      <c r="G127" s="8"/>
      <c r="H127" s="8"/>
      <c r="I127" s="8"/>
      <c r="J127" s="8"/>
      <c r="K127" s="8"/>
      <c r="L127" s="8"/>
      <c r="M127" s="8"/>
      <c r="N127" s="8"/>
    </row>
    <row r="128" customFormat="false" ht="15" hidden="false" customHeight="false" outlineLevel="0" collapsed="false">
      <c r="A128" s="4" t="s">
        <v>284</v>
      </c>
      <c r="C128" s="39" t="n">
        <v>0</v>
      </c>
      <c r="D128" s="39" t="n">
        <v>1</v>
      </c>
      <c r="E128" s="39" t="n">
        <v>2</v>
      </c>
      <c r="F128" s="39" t="n">
        <v>3</v>
      </c>
      <c r="G128" s="39" t="n">
        <v>4</v>
      </c>
      <c r="H128" s="39" t="n">
        <v>5</v>
      </c>
      <c r="I128" s="39" t="n">
        <v>6</v>
      </c>
      <c r="J128" s="39" t="n">
        <v>7</v>
      </c>
      <c r="K128" s="39" t="n">
        <v>8</v>
      </c>
      <c r="L128" s="39" t="n">
        <v>9</v>
      </c>
      <c r="M128" s="39" t="n">
        <v>10</v>
      </c>
    </row>
    <row r="129" customFormat="false" ht="15" hidden="false" customHeight="false" outlineLevel="0" collapsed="false">
      <c r="A129" s="9" t="s">
        <v>285</v>
      </c>
      <c r="C129" s="40" t="n">
        <f aca="false">cf_arr</f>
        <v>220</v>
      </c>
      <c r="D129" s="36" t="n">
        <f aca="false">C129*(1+lv_g)</f>
        <v>264</v>
      </c>
      <c r="E129" s="36" t="n">
        <f aca="false">D129*(1+lv_g)</f>
        <v>316.8</v>
      </c>
      <c r="F129" s="36" t="n">
        <f aca="false">E129*(1+lv_g)</f>
        <v>380.16</v>
      </c>
      <c r="G129" s="36" t="n">
        <f aca="false">F129*(1+lv_g)</f>
        <v>456.192</v>
      </c>
      <c r="H129" s="36" t="n">
        <f aca="false">G129*(1+lv_g)</f>
        <v>547.4304</v>
      </c>
      <c r="I129" s="36" t="n">
        <f aca="false">H129*(1+lv_g)</f>
        <v>656.91648</v>
      </c>
      <c r="J129" s="36" t="n">
        <f aca="false">I129*(1+lv_g)</f>
        <v>788.299776</v>
      </c>
      <c r="K129" s="36" t="n">
        <f aca="false">J129*(1+lv_g)</f>
        <v>945.9597312</v>
      </c>
      <c r="L129" s="36" t="n">
        <f aca="false">K129*(1+lv_g)</f>
        <v>1135.15167744</v>
      </c>
      <c r="M129" s="36" t="n">
        <f aca="false">L129*(1+lv_g)</f>
        <v>1362.182012928</v>
      </c>
    </row>
    <row r="130" customFormat="false" ht="15" hidden="false" customHeight="false" outlineLevel="0" collapsed="false">
      <c r="A130" s="9" t="s">
        <v>286</v>
      </c>
      <c r="C130" s="18" t="n">
        <f aca="false">1</f>
        <v>1</v>
      </c>
      <c r="D130" s="18" t="n">
        <f aca="false">IF(D128&gt;=a_churn_year,1-lv_churn,1)</f>
        <v>0.625</v>
      </c>
      <c r="E130" s="18" t="n">
        <f aca="false">IF(E128&gt;=a_churn_year,1-lv_churn,1)</f>
        <v>0.625</v>
      </c>
      <c r="F130" s="18" t="n">
        <f aca="false">IF(F128&gt;=a_churn_year,1-lv_churn,1)</f>
        <v>0.625</v>
      </c>
      <c r="G130" s="18" t="n">
        <f aca="false">IF(G128&gt;=a_churn_year,1-lv_churn,1)</f>
        <v>0.625</v>
      </c>
      <c r="H130" s="18" t="n">
        <f aca="false">IF(H128&gt;=a_churn_year,1-lv_churn,1)</f>
        <v>0.625</v>
      </c>
      <c r="I130" s="18" t="n">
        <f aca="false">IF(I128&gt;=a_churn_year,1-lv_churn,1)</f>
        <v>0.625</v>
      </c>
      <c r="J130" s="18" t="n">
        <f aca="false">IF(J128&gt;=a_churn_year,1-lv_churn,1)</f>
        <v>0.625</v>
      </c>
      <c r="K130" s="18" t="n">
        <f aca="false">IF(K128&gt;=a_churn_year,1-lv_churn,1)</f>
        <v>0.625</v>
      </c>
      <c r="L130" s="18" t="n">
        <f aca="false">IF(L128&gt;=a_churn_year,1-lv_churn,1)</f>
        <v>0.625</v>
      </c>
      <c r="M130" s="18" t="n">
        <f aca="false">IF(M128&gt;=a_churn_year,1-lv_churn,1)</f>
        <v>0.625</v>
      </c>
    </row>
    <row r="131" customFormat="false" ht="15" hidden="false" customHeight="false" outlineLevel="0" collapsed="false">
      <c r="A131" s="4" t="s">
        <v>287</v>
      </c>
      <c r="C131" s="41" t="n">
        <f aca="false">C129*C130</f>
        <v>220</v>
      </c>
      <c r="D131" s="41" t="n">
        <f aca="false">D129*D130</f>
        <v>165</v>
      </c>
      <c r="E131" s="41" t="n">
        <f aca="false">E129*E130</f>
        <v>198</v>
      </c>
      <c r="F131" s="41" t="n">
        <f aca="false">F129*F130</f>
        <v>237.6</v>
      </c>
      <c r="G131" s="41" t="n">
        <f aca="false">G129*G130</f>
        <v>285.12</v>
      </c>
      <c r="H131" s="41" t="n">
        <f aca="false">H129*H130</f>
        <v>342.144</v>
      </c>
      <c r="I131" s="41" t="n">
        <f aca="false">I129*I130</f>
        <v>410.5728</v>
      </c>
      <c r="J131" s="41" t="n">
        <f aca="false">J129*J130</f>
        <v>492.68736</v>
      </c>
      <c r="K131" s="41" t="n">
        <f aca="false">K129*K130</f>
        <v>591.224832</v>
      </c>
      <c r="L131" s="41" t="n">
        <f aca="false">L129*L130</f>
        <v>709.4697984</v>
      </c>
      <c r="M131" s="41" t="n">
        <f aca="false">M129*M130</f>
        <v>851.36375808</v>
      </c>
    </row>
    <row r="132" customFormat="false" ht="15" hidden="false" customHeight="false" outlineLevel="0" collapsed="false">
      <c r="A132" s="9" t="s">
        <v>288</v>
      </c>
      <c r="C132" s="18" t="n">
        <f aca="false">MIN(a_m0+a_mstep*C128,a_mcap)</f>
        <v>0</v>
      </c>
      <c r="D132" s="18" t="n">
        <f aca="false">MIN(a_m0+a_mstep*D128,a_mcap)</f>
        <v>0.05</v>
      </c>
      <c r="E132" s="18" t="n">
        <f aca="false">MIN(a_m0+a_mstep*E128,a_mcap)</f>
        <v>0.1</v>
      </c>
      <c r="F132" s="18" t="n">
        <f aca="false">MIN(a_m0+a_mstep*F128,a_mcap)</f>
        <v>0.15</v>
      </c>
      <c r="G132" s="18" t="n">
        <f aca="false">MIN(a_m0+a_mstep*G128,a_mcap)</f>
        <v>0.2</v>
      </c>
      <c r="H132" s="18" t="n">
        <f aca="false">MIN(a_m0+a_mstep*H128,a_mcap)</f>
        <v>0.25</v>
      </c>
      <c r="I132" s="18" t="n">
        <f aca="false">MIN(a_m0+a_mstep*I128,a_mcap)</f>
        <v>0.25</v>
      </c>
      <c r="J132" s="18" t="n">
        <f aca="false">MIN(a_m0+a_mstep*J128,a_mcap)</f>
        <v>0.25</v>
      </c>
      <c r="K132" s="18" t="n">
        <f aca="false">MIN(a_m0+a_mstep*K128,a_mcap)</f>
        <v>0.25</v>
      </c>
      <c r="L132" s="18" t="n">
        <f aca="false">MIN(a_m0+a_mstep*L128,a_mcap)</f>
        <v>0.25</v>
      </c>
      <c r="M132" s="18" t="n">
        <f aca="false">MIN(a_m0+a_mstep*M128,a_mcap)</f>
        <v>0.25</v>
      </c>
    </row>
    <row r="133" customFormat="false" ht="15" hidden="false" customHeight="false" outlineLevel="0" collapsed="false">
      <c r="A133" s="9" t="s">
        <v>289</v>
      </c>
      <c r="C133" s="36" t="n">
        <f aca="false">IF(C128=a_churn_year,a_sticky*(C129-C131)*(1-C132),0)</f>
        <v>0</v>
      </c>
      <c r="D133" s="36" t="n">
        <f aca="false">IF(D128=a_churn_year,a_sticky*(D129-D131)*(1-D132),0)</f>
        <v>47.025</v>
      </c>
      <c r="E133" s="36" t="n">
        <f aca="false">IF(E128=a_churn_year,a_sticky*(E129-E131)*(1-E132),0)</f>
        <v>0</v>
      </c>
      <c r="F133" s="36" t="n">
        <f aca="false">IF(F128=a_churn_year,a_sticky*(F129-F131)*(1-F132),0)</f>
        <v>0</v>
      </c>
      <c r="G133" s="36" t="n">
        <f aca="false">IF(G128=a_churn_year,a_sticky*(G129-G131)*(1-G132),0)</f>
        <v>0</v>
      </c>
      <c r="H133" s="36" t="n">
        <f aca="false">IF(H128=a_churn_year,a_sticky*(H129-H131)*(1-H132),0)</f>
        <v>0</v>
      </c>
      <c r="I133" s="36" t="n">
        <f aca="false">IF(I128=a_churn_year,a_sticky*(I129-I131)*(1-I132),0)</f>
        <v>0</v>
      </c>
      <c r="J133" s="36" t="n">
        <f aca="false">IF(J128=a_churn_year,a_sticky*(J129-J131)*(1-J132),0)</f>
        <v>0</v>
      </c>
      <c r="K133" s="36" t="n">
        <f aca="false">IF(K128=a_churn_year,a_sticky*(K129-K131)*(1-K132),0)</f>
        <v>0</v>
      </c>
      <c r="L133" s="36" t="n">
        <f aca="false">IF(L128=a_churn_year,a_sticky*(L129-L131)*(1-L132),0)</f>
        <v>0</v>
      </c>
      <c r="M133" s="36" t="n">
        <f aca="false">IF(M128=a_churn_year,a_sticky*(M129-M131)*(1-M132),0)</f>
        <v>0</v>
      </c>
    </row>
    <row r="134" customFormat="false" ht="15" hidden="false" customHeight="false" outlineLevel="0" collapsed="false">
      <c r="A134" s="4" t="s">
        <v>290</v>
      </c>
      <c r="C134" s="41" t="n">
        <f aca="false">C131*C132-C133</f>
        <v>0</v>
      </c>
      <c r="D134" s="41" t="n">
        <f aca="false">D131*D132-D133</f>
        <v>-38.775</v>
      </c>
      <c r="E134" s="41" t="n">
        <f aca="false">E131*E132-E133</f>
        <v>19.8</v>
      </c>
      <c r="F134" s="41" t="n">
        <f aca="false">F131*F132-F133</f>
        <v>35.64</v>
      </c>
      <c r="G134" s="41" t="n">
        <f aca="false">G131*G132-G133</f>
        <v>57.024</v>
      </c>
      <c r="H134" s="41" t="n">
        <f aca="false">H131*H132-H133</f>
        <v>85.536</v>
      </c>
      <c r="I134" s="41" t="n">
        <f aca="false">I131*I132-I133</f>
        <v>102.6432</v>
      </c>
      <c r="J134" s="41" t="n">
        <f aca="false">J131*J132-J133</f>
        <v>123.17184</v>
      </c>
      <c r="K134" s="41" t="n">
        <f aca="false">K131*K132-K133</f>
        <v>147.806208</v>
      </c>
      <c r="L134" s="41" t="n">
        <f aca="false">L131*L132-L133</f>
        <v>177.3674496</v>
      </c>
      <c r="M134" s="41" t="n">
        <f aca="false">M131*M132-M133</f>
        <v>212.84093952</v>
      </c>
    </row>
    <row r="135" customFormat="false" ht="15" hidden="false" customHeight="false" outlineLevel="0" collapsed="false">
      <c r="A135" s="9" t="s">
        <v>291</v>
      </c>
      <c r="C135" s="36" t="n">
        <f aca="false">C131*a_da</f>
        <v>6.6</v>
      </c>
      <c r="D135" s="36" t="n">
        <f aca="false">D131*a_da</f>
        <v>4.95</v>
      </c>
      <c r="E135" s="36" t="n">
        <f aca="false">E131*a_da</f>
        <v>5.94</v>
      </c>
      <c r="F135" s="36" t="n">
        <f aca="false">F131*a_da</f>
        <v>7.128</v>
      </c>
      <c r="G135" s="36" t="n">
        <f aca="false">G131*a_da</f>
        <v>8.5536</v>
      </c>
      <c r="H135" s="36" t="n">
        <f aca="false">H131*a_da</f>
        <v>10.26432</v>
      </c>
      <c r="I135" s="36" t="n">
        <f aca="false">I131*a_da</f>
        <v>12.317184</v>
      </c>
      <c r="J135" s="36" t="n">
        <f aca="false">J131*a_da</f>
        <v>14.7806208</v>
      </c>
      <c r="K135" s="36" t="n">
        <f aca="false">K131*a_da</f>
        <v>17.73674496</v>
      </c>
      <c r="L135" s="36" t="n">
        <f aca="false">L131*a_da</f>
        <v>21.284093952</v>
      </c>
      <c r="M135" s="36" t="n">
        <f aca="false">M131*a_da</f>
        <v>25.5409127424</v>
      </c>
    </row>
    <row r="136" customFormat="false" ht="15" hidden="false" customHeight="false" outlineLevel="0" collapsed="false">
      <c r="A136" s="9" t="s">
        <v>292</v>
      </c>
      <c r="C136" s="36" t="n">
        <f aca="false">C134-C135</f>
        <v>-6.6</v>
      </c>
      <c r="D136" s="36" t="n">
        <f aca="false">D134-D135</f>
        <v>-43.725</v>
      </c>
      <c r="E136" s="36" t="n">
        <f aca="false">E134-E135</f>
        <v>13.86</v>
      </c>
      <c r="F136" s="36" t="n">
        <f aca="false">F134-F135</f>
        <v>28.512</v>
      </c>
      <c r="G136" s="36" t="n">
        <f aca="false">G134-G135</f>
        <v>48.4704</v>
      </c>
      <c r="H136" s="36" t="n">
        <f aca="false">H134-H135</f>
        <v>75.27168</v>
      </c>
      <c r="I136" s="36" t="n">
        <f aca="false">I134-I135</f>
        <v>90.326016</v>
      </c>
      <c r="J136" s="36" t="n">
        <f aca="false">J134-J135</f>
        <v>108.3912192</v>
      </c>
      <c r="K136" s="36" t="n">
        <f aca="false">K134-K135</f>
        <v>130.06946304</v>
      </c>
      <c r="L136" s="36" t="n">
        <f aca="false">L134-L135</f>
        <v>156.083355648</v>
      </c>
      <c r="M136" s="36" t="n">
        <f aca="false">M134-M135</f>
        <v>187.3000267776</v>
      </c>
    </row>
    <row r="137" customFormat="false" ht="15" hidden="false" customHeight="false" outlineLevel="0" collapsed="false">
      <c r="A137" s="9" t="s">
        <v>293</v>
      </c>
      <c r="C137" s="36" t="n">
        <f aca="false">MAX(0,C136)*a_tax</f>
        <v>0</v>
      </c>
      <c r="D137" s="36" t="n">
        <f aca="false">MAX(0,D136)*a_tax</f>
        <v>0</v>
      </c>
      <c r="E137" s="36" t="n">
        <f aca="false">MAX(0,E136)*a_tax</f>
        <v>3.465</v>
      </c>
      <c r="F137" s="36" t="n">
        <f aca="false">MAX(0,F136)*a_tax</f>
        <v>7.128</v>
      </c>
      <c r="G137" s="36" t="n">
        <f aca="false">MAX(0,G136)*a_tax</f>
        <v>12.1176</v>
      </c>
      <c r="H137" s="36" t="n">
        <f aca="false">MAX(0,H136)*a_tax</f>
        <v>18.81792</v>
      </c>
      <c r="I137" s="36" t="n">
        <f aca="false">MAX(0,I136)*a_tax</f>
        <v>22.581504</v>
      </c>
      <c r="J137" s="36" t="n">
        <f aca="false">MAX(0,J136)*a_tax</f>
        <v>27.0978048</v>
      </c>
      <c r="K137" s="36" t="n">
        <f aca="false">MAX(0,K136)*a_tax</f>
        <v>32.51736576</v>
      </c>
      <c r="L137" s="36" t="n">
        <f aca="false">MAX(0,L136)*a_tax</f>
        <v>39.020838912</v>
      </c>
      <c r="M137" s="36" t="n">
        <f aca="false">MAX(0,M136)*a_tax</f>
        <v>46.8250066944</v>
      </c>
    </row>
    <row r="138" customFormat="false" ht="15" hidden="false" customHeight="false" outlineLevel="0" collapsed="false">
      <c r="A138" s="4" t="s">
        <v>294</v>
      </c>
      <c r="C138" s="42" t="n">
        <f aca="false">cf_lim_pat</f>
        <v>0</v>
      </c>
      <c r="D138" s="41" t="n">
        <f aca="false">D136-D137</f>
        <v>-43.725</v>
      </c>
      <c r="E138" s="41" t="n">
        <f aca="false">E136-E137</f>
        <v>10.395</v>
      </c>
      <c r="F138" s="41" t="n">
        <f aca="false">F136-F137</f>
        <v>21.384</v>
      </c>
      <c r="G138" s="41" t="n">
        <f aca="false">G136-G137</f>
        <v>36.3528</v>
      </c>
      <c r="H138" s="41" t="n">
        <f aca="false">H136-H137</f>
        <v>56.45376</v>
      </c>
      <c r="I138" s="41" t="n">
        <f aca="false">I136-I137</f>
        <v>67.744512</v>
      </c>
      <c r="J138" s="41" t="n">
        <f aca="false">J136-J137</f>
        <v>81.2934144</v>
      </c>
      <c r="K138" s="41" t="n">
        <f aca="false">K136-K137</f>
        <v>97.55209728</v>
      </c>
      <c r="L138" s="41" t="n">
        <f aca="false">L136-L137</f>
        <v>117.062516736</v>
      </c>
      <c r="M138" s="41" t="n">
        <f aca="false">M136-M137</f>
        <v>140.4750200832</v>
      </c>
    </row>
    <row r="139" customFormat="false" ht="15" hidden="false" customHeight="false" outlineLevel="0" collapsed="false">
      <c r="A139" s="9" t="s">
        <v>295</v>
      </c>
      <c r="C139" s="36" t="n">
        <f aca="false">C131*a_capex</f>
        <v>6.6</v>
      </c>
      <c r="D139" s="36" t="n">
        <f aca="false">D131*a_capex</f>
        <v>4.95</v>
      </c>
      <c r="E139" s="36" t="n">
        <f aca="false">E131*a_capex</f>
        <v>5.94</v>
      </c>
      <c r="F139" s="36" t="n">
        <f aca="false">F131*a_capex</f>
        <v>7.128</v>
      </c>
      <c r="G139" s="36" t="n">
        <f aca="false">G131*a_capex</f>
        <v>8.5536</v>
      </c>
      <c r="H139" s="36" t="n">
        <f aca="false">H131*a_capex</f>
        <v>10.26432</v>
      </c>
      <c r="I139" s="36" t="n">
        <f aca="false">I131*a_capex</f>
        <v>12.317184</v>
      </c>
      <c r="J139" s="36" t="n">
        <f aca="false">J131*a_capex</f>
        <v>14.7806208</v>
      </c>
      <c r="K139" s="36" t="n">
        <f aca="false">K131*a_capex</f>
        <v>17.73674496</v>
      </c>
      <c r="L139" s="36" t="n">
        <f aca="false">L131*a_capex</f>
        <v>21.284093952</v>
      </c>
      <c r="M139" s="36" t="n">
        <f aca="false">M131*a_capex</f>
        <v>25.5409127424</v>
      </c>
    </row>
    <row r="140" customFormat="false" ht="15" hidden="false" customHeight="false" outlineLevel="0" collapsed="false">
      <c r="A140" s="9" t="s">
        <v>296</v>
      </c>
      <c r="C140" s="36" t="n">
        <f aca="false">0</f>
        <v>0</v>
      </c>
      <c r="D140" s="36" t="n">
        <f aca="false">a_wc*(D131-C131)</f>
        <v>-2.75</v>
      </c>
      <c r="E140" s="36" t="n">
        <f aca="false">a_wc*(E131-D131)</f>
        <v>1.65</v>
      </c>
      <c r="F140" s="36" t="n">
        <f aca="false">a_wc*(F131-E131)</f>
        <v>1.98</v>
      </c>
      <c r="G140" s="36" t="n">
        <f aca="false">a_wc*(G131-F131)</f>
        <v>2.376</v>
      </c>
      <c r="H140" s="36" t="n">
        <f aca="false">a_wc*(H131-G131)</f>
        <v>2.8512</v>
      </c>
      <c r="I140" s="36" t="n">
        <f aca="false">a_wc*(I131-H131)</f>
        <v>3.42144</v>
      </c>
      <c r="J140" s="36" t="n">
        <f aca="false">a_wc*(J131-I131)</f>
        <v>4.105728</v>
      </c>
      <c r="K140" s="36" t="n">
        <f aca="false">a_wc*(K131-J131)</f>
        <v>4.9268736</v>
      </c>
      <c r="L140" s="36" t="n">
        <f aca="false">a_wc*(L131-K131)</f>
        <v>5.91224832</v>
      </c>
      <c r="M140" s="36" t="n">
        <f aca="false">a_wc*(M131-L131)</f>
        <v>7.094697984</v>
      </c>
    </row>
    <row r="141" customFormat="false" ht="15" hidden="false" customHeight="false" outlineLevel="0" collapsed="false">
      <c r="A141" s="4" t="s">
        <v>297</v>
      </c>
      <c r="C141" s="36" t="n">
        <f aca="false">0</f>
        <v>0</v>
      </c>
      <c r="D141" s="41" t="n">
        <f aca="false">D138+D135-D139-D140</f>
        <v>-40.975</v>
      </c>
      <c r="E141" s="41" t="n">
        <f aca="false">E138+E135-E139-E140</f>
        <v>8.745</v>
      </c>
      <c r="F141" s="41" t="n">
        <f aca="false">F138+F135-F139-F140</f>
        <v>19.404</v>
      </c>
      <c r="G141" s="41" t="n">
        <f aca="false">G138+G135-G139-G140</f>
        <v>33.9768</v>
      </c>
      <c r="H141" s="41" t="n">
        <f aca="false">H138+H135-H139-H140</f>
        <v>53.60256</v>
      </c>
      <c r="I141" s="41" t="n">
        <f aca="false">I138+I135-I139-I140</f>
        <v>64.323072</v>
      </c>
      <c r="J141" s="41" t="n">
        <f aca="false">J138+J135-J139-J140</f>
        <v>77.1876864</v>
      </c>
      <c r="K141" s="41" t="n">
        <f aca="false">K138+K135-K139-K140</f>
        <v>92.62522368</v>
      </c>
      <c r="L141" s="41" t="n">
        <f aca="false">L138+L135-L139-L140</f>
        <v>111.150268416</v>
      </c>
      <c r="M141" s="41" t="n">
        <f aca="false">M138+M135-M139-M140</f>
        <v>133.3803220992</v>
      </c>
    </row>
    <row r="143" customFormat="false" ht="15" hidden="false" customHeight="false" outlineLevel="0" collapsed="false">
      <c r="A143" s="7" t="s">
        <v>595</v>
      </c>
      <c r="B143" s="8"/>
      <c r="C143" s="8"/>
      <c r="D143" s="8"/>
      <c r="E143" s="8"/>
      <c r="F143" s="8"/>
      <c r="G143" s="8"/>
      <c r="H143" s="8"/>
      <c r="I143" s="8"/>
      <c r="J143" s="8"/>
      <c r="K143" s="8"/>
      <c r="L143" s="8"/>
      <c r="M143" s="8"/>
      <c r="N143" s="8"/>
    </row>
    <row r="144" customFormat="false" ht="15" hidden="false" customHeight="false" outlineLevel="0" collapsed="false">
      <c r="A144" s="9" t="s">
        <v>482</v>
      </c>
      <c r="C144" s="35" t="n">
        <f aca="false">lv_mix_eq/(c_price*(1-a_issue_disc))</f>
        <v>1.024</v>
      </c>
    </row>
    <row r="145" customFormat="false" ht="15" hidden="false" customHeight="false" outlineLevel="0" collapsed="false">
      <c r="A145" s="9" t="s">
        <v>449</v>
      </c>
      <c r="C145" s="35" t="n">
        <f aca="false">cf_shares+C144</f>
        <v>65.024</v>
      </c>
    </row>
    <row r="146" customFormat="false" ht="15" hidden="false" customHeight="false" outlineLevel="0" collapsed="false">
      <c r="A146" s="9" t="s">
        <v>483</v>
      </c>
      <c r="C146" s="36" t="n">
        <f aca="false">lv_mix_cash*a_yield*(1-a_tax)+lv_mix_debt*a_kd*(1-a_tax)</f>
        <v>94.5</v>
      </c>
    </row>
    <row r="147" customFormat="false" ht="15" hidden="false" customHeight="false" outlineLevel="0" collapsed="false">
      <c r="A147" s="9" t="s">
        <v>484</v>
      </c>
      <c r="C147" s="36" t="n">
        <f aca="false">lv_price*a_ppa_share/a_ppa_life*(1-a_tax)</f>
        <v>93.75</v>
      </c>
    </row>
    <row r="148" customFormat="false" ht="15" hidden="false" customHeight="false" outlineLevel="0" collapsed="false">
      <c r="A148" s="9" t="s">
        <v>485</v>
      </c>
      <c r="C148" s="36" t="n">
        <f aca="false">a_ppa_on*C147</f>
        <v>0</v>
      </c>
    </row>
    <row r="149" customFormat="false" ht="15" hidden="false" customHeight="false" outlineLevel="0" collapsed="false">
      <c r="A149" s="9" t="s">
        <v>486</v>
      </c>
      <c r="C149" s="36" t="n">
        <f aca="false">lv_price*a_fees_pct+a_integ_full</f>
        <v>160</v>
      </c>
    </row>
    <row r="150" customFormat="false" ht="15" hidden="false" customHeight="false" outlineLevel="0" collapsed="false">
      <c r="A150" s="9" t="s">
        <v>487</v>
      </c>
      <c r="C150" s="36" t="n">
        <f aca="false">0</f>
        <v>0</v>
      </c>
      <c r="D150" s="36" t="n">
        <f aca="false">a_syn_on*(a_syn_partner_rev_y3+a_syn_xsell_y3)*a_mcap*IF(D128=1,a_syn_ramp1,IF(D128=2,a_syn_ramp2,1))+a_syn_on*IF(D128&gt;=2,a_syn_cost,0)</f>
        <v>0</v>
      </c>
      <c r="E150" s="36" t="n">
        <f aca="false">a_syn_on*(a_syn_partner_rev_y3+a_syn_xsell_y3)*a_mcap*IF(E128=1,a_syn_ramp1,IF(E128=2,a_syn_ramp2,1))+a_syn_on*IF(E128&gt;=2,a_syn_cost,0)</f>
        <v>0</v>
      </c>
      <c r="F150" s="36" t="n">
        <f aca="false">a_syn_on*(a_syn_partner_rev_y3+a_syn_xsell_y3)*a_mcap*IF(F128=1,a_syn_ramp1,IF(F128=2,a_syn_ramp2,1))+a_syn_on*IF(F128&gt;=2,a_syn_cost,0)</f>
        <v>0</v>
      </c>
      <c r="G150" s="36" t="n">
        <f aca="false">a_syn_on*(a_syn_partner_rev_y3+a_syn_xsell_y3)*a_mcap*IF(G128=1,a_syn_ramp1,IF(G128=2,a_syn_ramp2,1))+a_syn_on*IF(G128&gt;=2,a_syn_cost,0)</f>
        <v>0</v>
      </c>
      <c r="H150" s="36" t="n">
        <f aca="false">a_syn_on*(a_syn_partner_rev_y3+a_syn_xsell_y3)*a_mcap*IF(H128=1,a_syn_ramp1,IF(H128=2,a_syn_ramp2,1))+a_syn_on*IF(H128&gt;=2,a_syn_cost,0)</f>
        <v>0</v>
      </c>
      <c r="I150" s="36" t="n">
        <f aca="false">a_syn_on*(a_syn_partner_rev_y3+a_syn_xsell_y3)*a_mcap*IF(I128=1,a_syn_ramp1,IF(I128=2,a_syn_ramp2,1))+a_syn_on*IF(I128&gt;=2,a_syn_cost,0)</f>
        <v>0</v>
      </c>
      <c r="J150" s="36" t="n">
        <f aca="false">a_syn_on*(a_syn_partner_rev_y3+a_syn_xsell_y3)*a_mcap*IF(J128=1,a_syn_ramp1,IF(J128=2,a_syn_ramp2,1))+a_syn_on*IF(J128&gt;=2,a_syn_cost,0)</f>
        <v>0</v>
      </c>
      <c r="K150" s="36" t="n">
        <f aca="false">a_syn_on*(a_syn_partner_rev_y3+a_syn_xsell_y3)*a_mcap*IF(K128=1,a_syn_ramp1,IF(K128=2,a_syn_ramp2,1))+a_syn_on*IF(K128&gt;=2,a_syn_cost,0)</f>
        <v>0</v>
      </c>
      <c r="L150" s="36" t="n">
        <f aca="false">a_syn_on*(a_syn_partner_rev_y3+a_syn_xsell_y3)*a_mcap*IF(L128=1,a_syn_ramp1,IF(L128=2,a_syn_ramp2,1))+a_syn_on*IF(L128&gt;=2,a_syn_cost,0)</f>
        <v>0</v>
      </c>
      <c r="M150" s="36" t="n">
        <f aca="false">a_syn_on*(a_syn_partner_rev_y3+a_syn_xsell_y3)*a_mcap*IF(M128=1,a_syn_ramp1,IF(M128=2,a_syn_ramp2,1))+a_syn_on*IF(M128&gt;=2,a_syn_cost,0)</f>
        <v>0</v>
      </c>
    </row>
    <row r="151" customFormat="false" ht="15" hidden="false" customHeight="false" outlineLevel="0" collapsed="false">
      <c r="A151" s="9" t="s">
        <v>488</v>
      </c>
      <c r="C151" s="36" t="n">
        <f aca="false">0</f>
        <v>0</v>
      </c>
      <c r="D151" s="36" t="n">
        <f aca="false">CHOOSE(lv_drag_mode,Capital_Drag!$B$38,Capital_Drag!$B$38*D131/cf_arr,Capital_Drag!$B$38*(1-a_tax))</f>
        <v>500</v>
      </c>
      <c r="E151" s="36" t="n">
        <f aca="false">CHOOSE(lv_drag_mode,Capital_Drag!$B$38,Capital_Drag!$B$38*E131/cf_arr,Capital_Drag!$B$38*(1-a_tax))</f>
        <v>500</v>
      </c>
      <c r="F151" s="36" t="n">
        <f aca="false">CHOOSE(lv_drag_mode,Capital_Drag!$B$38,Capital_Drag!$B$38*F131/cf_arr,Capital_Drag!$B$38*(1-a_tax))</f>
        <v>500</v>
      </c>
      <c r="G151" s="36" t="n">
        <f aca="false">CHOOSE(lv_drag_mode,Capital_Drag!$B$38,Capital_Drag!$B$38*G131/cf_arr,Capital_Drag!$B$38*(1-a_tax))</f>
        <v>500</v>
      </c>
      <c r="H151" s="36" t="n">
        <f aca="false">CHOOSE(lv_drag_mode,Capital_Drag!$B$38,Capital_Drag!$B$38*H131/cf_arr,Capital_Drag!$B$38*(1-a_tax))</f>
        <v>500</v>
      </c>
      <c r="I151" s="36" t="n">
        <f aca="false">CHOOSE(lv_drag_mode,Capital_Drag!$B$38,Capital_Drag!$B$38*I131/cf_arr,Capital_Drag!$B$38*(1-a_tax))</f>
        <v>500</v>
      </c>
      <c r="J151" s="36" t="n">
        <f aca="false">CHOOSE(lv_drag_mode,Capital_Drag!$B$38,Capital_Drag!$B$38*J131/cf_arr,Capital_Drag!$B$38*(1-a_tax))</f>
        <v>500</v>
      </c>
      <c r="K151" s="36" t="n">
        <f aca="false">CHOOSE(lv_drag_mode,Capital_Drag!$B$38,Capital_Drag!$B$38*K131/cf_arr,Capital_Drag!$B$38*(1-a_tax))</f>
        <v>500</v>
      </c>
      <c r="L151" s="36" t="n">
        <f aca="false">CHOOSE(lv_drag_mode,Capital_Drag!$B$38,Capital_Drag!$B$38*L131/cf_arr,Capital_Drag!$B$38*(1-a_tax))</f>
        <v>500</v>
      </c>
      <c r="M151" s="36" t="n">
        <f aca="false">CHOOSE(lv_drag_mode,Capital_Drag!$B$38,Capital_Drag!$B$38*M131/cf_arr,Capital_Drag!$B$38*(1-a_tax))</f>
        <v>500</v>
      </c>
    </row>
    <row r="152" customFormat="false" ht="15" hidden="false" customHeight="false" outlineLevel="0" collapsed="false">
      <c r="A152" s="9" t="s">
        <v>489</v>
      </c>
      <c r="C152" s="36" t="n">
        <f aca="false">0</f>
        <v>0</v>
      </c>
      <c r="D152" s="36" t="n">
        <f aca="false">IF(lv_drag_mode=3,Capital_Drag!$B$38*(1-a_tax),0)</f>
        <v>0</v>
      </c>
      <c r="E152" s="36" t="n">
        <f aca="false">IF(lv_drag_mode=3,Capital_Drag!$B$38*(1-a_tax),0)</f>
        <v>0</v>
      </c>
      <c r="F152" s="36" t="n">
        <f aca="false">IF(lv_drag_mode=3,Capital_Drag!$B$38*(1-a_tax),0)</f>
        <v>0</v>
      </c>
      <c r="G152" s="36" t="n">
        <f aca="false">IF(lv_drag_mode=3,Capital_Drag!$B$38*(1-a_tax),0)</f>
        <v>0</v>
      </c>
      <c r="H152" s="36" t="n">
        <f aca="false">IF(lv_drag_mode=3,Capital_Drag!$B$38*(1-a_tax),0)</f>
        <v>0</v>
      </c>
      <c r="I152" s="36" t="n">
        <f aca="false">IF(lv_drag_mode=3,Capital_Drag!$B$38*(1-a_tax),0)</f>
        <v>0</v>
      </c>
      <c r="J152" s="36" t="n">
        <f aca="false">IF(lv_drag_mode=3,Capital_Drag!$B$38*(1-a_tax),0)</f>
        <v>0</v>
      </c>
      <c r="K152" s="36" t="n">
        <f aca="false">IF(lv_drag_mode=3,Capital_Drag!$B$38*(1-a_tax),0)</f>
        <v>0</v>
      </c>
      <c r="L152" s="36" t="n">
        <f aca="false">IF(lv_drag_mode=3,Capital_Drag!$B$38*(1-a_tax),0)</f>
        <v>0</v>
      </c>
      <c r="M152" s="36" t="n">
        <f aca="false">IF(lv_drag_mode=3,Capital_Drag!$B$38*(1-a_tax),0)</f>
        <v>0</v>
      </c>
    </row>
    <row r="153" customFormat="false" ht="15" hidden="false" customHeight="false" outlineLevel="0" collapsed="false">
      <c r="A153" s="9" t="s">
        <v>490</v>
      </c>
      <c r="C153" s="36" t="n">
        <f aca="false">0</f>
        <v>0</v>
      </c>
      <c r="D153" s="36" t="n">
        <f aca="false">IF(lv_drag_mode=3,0,C153+D151)</f>
        <v>500</v>
      </c>
      <c r="E153" s="36" t="n">
        <f aca="false">IF(lv_drag_mode=3,0,D153+E151)</f>
        <v>1000</v>
      </c>
      <c r="F153" s="36" t="n">
        <f aca="false">IF(lv_drag_mode=3,0,E153+F151)</f>
        <v>1500</v>
      </c>
      <c r="G153" s="36" t="n">
        <f aca="false">IF(lv_drag_mode=3,0,F153+G151)</f>
        <v>2000</v>
      </c>
      <c r="H153" s="36" t="n">
        <f aca="false">IF(lv_drag_mode=3,0,G153+H151)</f>
        <v>2500</v>
      </c>
      <c r="I153" s="36" t="n">
        <f aca="false">IF(lv_drag_mode=3,0,H153+I151)</f>
        <v>3000</v>
      </c>
      <c r="J153" s="36" t="n">
        <f aca="false">IF(lv_drag_mode=3,0,I153+J151)</f>
        <v>3500</v>
      </c>
      <c r="K153" s="36" t="n">
        <f aca="false">IF(lv_drag_mode=3,0,J153+K151)</f>
        <v>4000</v>
      </c>
      <c r="L153" s="36" t="n">
        <f aca="false">IF(lv_drag_mode=3,0,K153+L151)</f>
        <v>4500</v>
      </c>
      <c r="M153" s="36" t="n">
        <f aca="false">IF(lv_drag_mode=3,0,L153+M151)</f>
        <v>5000</v>
      </c>
    </row>
    <row r="154" customFormat="false" ht="15" hidden="false" customHeight="false" outlineLevel="0" collapsed="false">
      <c r="A154" s="9" t="s">
        <v>491</v>
      </c>
      <c r="C154" s="36" t="n">
        <f aca="false">0</f>
        <v>0</v>
      </c>
      <c r="D154" s="36" t="n">
        <f aca="false">C153*a_yield*(1-a_tax)</f>
        <v>0</v>
      </c>
      <c r="E154" s="36" t="n">
        <f aca="false">D153*a_yield*(1-a_tax)</f>
        <v>22.5</v>
      </c>
      <c r="F154" s="36" t="n">
        <f aca="false">E153*a_yield*(1-a_tax)</f>
        <v>45</v>
      </c>
      <c r="G154" s="36" t="n">
        <f aca="false">F153*a_yield*(1-a_tax)</f>
        <v>67.5</v>
      </c>
      <c r="H154" s="36" t="n">
        <f aca="false">G153*a_yield*(1-a_tax)</f>
        <v>90</v>
      </c>
      <c r="I154" s="36" t="n">
        <f aca="false">H153*a_yield*(1-a_tax)</f>
        <v>112.5</v>
      </c>
      <c r="J154" s="36" t="n">
        <f aca="false">I153*a_yield*(1-a_tax)</f>
        <v>135</v>
      </c>
      <c r="K154" s="36" t="n">
        <f aca="false">J153*a_yield*(1-a_tax)</f>
        <v>157.5</v>
      </c>
      <c r="L154" s="36" t="n">
        <f aca="false">K153*a_yield*(1-a_tax)</f>
        <v>180</v>
      </c>
      <c r="M154" s="36" t="n">
        <f aca="false">L153*a_yield*(1-a_tax)</f>
        <v>202.5</v>
      </c>
    </row>
    <row r="155" customFormat="false" ht="15" hidden="false" customHeight="false" outlineLevel="0" collapsed="false">
      <c r="A155" s="9" t="s">
        <v>492</v>
      </c>
      <c r="C155" s="36" t="n">
        <f aca="false">cf_pat</f>
        <v>480</v>
      </c>
      <c r="D155" s="36" t="n">
        <f aca="false">cf_pat*(1+a_pat_growth)^D128</f>
        <v>480</v>
      </c>
      <c r="E155" s="36" t="n">
        <f aca="false">cf_pat*(1+a_pat_growth)^E128</f>
        <v>480</v>
      </c>
      <c r="F155" s="36" t="n">
        <f aca="false">cf_pat*(1+a_pat_growth)^F128</f>
        <v>480</v>
      </c>
      <c r="G155" s="36" t="n">
        <f aca="false">cf_pat*(1+a_pat_growth)^G128</f>
        <v>480</v>
      </c>
      <c r="H155" s="36" t="n">
        <f aca="false">cf_pat*(1+a_pat_growth)^H128</f>
        <v>480</v>
      </c>
      <c r="I155" s="36" t="n">
        <f aca="false">cf_pat*(1+a_pat_growth)^I128</f>
        <v>480</v>
      </c>
      <c r="J155" s="36" t="n">
        <f aca="false">cf_pat*(1+a_pat_growth)^J128</f>
        <v>480</v>
      </c>
      <c r="K155" s="36" t="n">
        <f aca="false">cf_pat*(1+a_pat_growth)^K128</f>
        <v>480</v>
      </c>
      <c r="L155" s="36" t="n">
        <f aca="false">cf_pat*(1+a_pat_growth)^L128</f>
        <v>480</v>
      </c>
      <c r="M155" s="36" t="n">
        <f aca="false">cf_pat*(1+a_pat_growth)^M128</f>
        <v>480</v>
      </c>
    </row>
    <row r="156" customFormat="false" ht="15" hidden="false" customHeight="false" outlineLevel="0" collapsed="false">
      <c r="A156" s="9" t="s">
        <v>493</v>
      </c>
      <c r="C156" s="36" t="n">
        <f aca="false">0</f>
        <v>0</v>
      </c>
      <c r="D156" s="36" t="n">
        <f aca="false">cf_mdr*a_mdr_flow*(1-a_tax)</f>
        <v>69</v>
      </c>
      <c r="E156" s="36" t="n">
        <f aca="false">cf_mdr*a_mdr_flow*(1-a_tax)</f>
        <v>69</v>
      </c>
      <c r="F156" s="36" t="n">
        <f aca="false">cf_mdr*a_mdr_flow*(1-a_tax)</f>
        <v>69</v>
      </c>
      <c r="G156" s="36" t="n">
        <f aca="false">cf_mdr*a_mdr_flow*(1-a_tax)</f>
        <v>69</v>
      </c>
      <c r="H156" s="36" t="n">
        <f aca="false">cf_mdr*a_mdr_flow*(1-a_tax)</f>
        <v>69</v>
      </c>
      <c r="I156" s="36" t="n">
        <f aca="false">cf_mdr*a_mdr_flow*(1-a_tax)</f>
        <v>69</v>
      </c>
      <c r="J156" s="36" t="n">
        <f aca="false">cf_mdr*a_mdr_flow*(1-a_tax)</f>
        <v>69</v>
      </c>
      <c r="K156" s="36" t="n">
        <f aca="false">cf_mdr*a_mdr_flow*(1-a_tax)</f>
        <v>69</v>
      </c>
      <c r="L156" s="36" t="n">
        <f aca="false">cf_mdr*a_mdr_flow*(1-a_tax)</f>
        <v>69</v>
      </c>
      <c r="M156" s="36" t="n">
        <f aca="false">cf_mdr*a_mdr_flow*(1-a_tax)</f>
        <v>69</v>
      </c>
    </row>
    <row r="157" customFormat="false" ht="15" hidden="false" customHeight="false" outlineLevel="0" collapsed="false">
      <c r="A157" s="9" t="s">
        <v>494</v>
      </c>
      <c r="C157" s="50" t="n">
        <f aca="false">cf_eps</f>
        <v>7.5</v>
      </c>
      <c r="D157" s="50" t="n">
        <f aca="false">D155/cf_shares</f>
        <v>7.5</v>
      </c>
      <c r="E157" s="50" t="n">
        <f aca="false">E155/cf_shares</f>
        <v>7.5</v>
      </c>
      <c r="F157" s="50" t="n">
        <f aca="false">F155/cf_shares</f>
        <v>7.5</v>
      </c>
      <c r="G157" s="50" t="n">
        <f aca="false">G155/cf_shares</f>
        <v>7.5</v>
      </c>
      <c r="H157" s="50" t="n">
        <f aca="false">H155/cf_shares</f>
        <v>7.5</v>
      </c>
      <c r="I157" s="50" t="n">
        <f aca="false">I155/cf_shares</f>
        <v>7.5</v>
      </c>
      <c r="J157" s="50" t="n">
        <f aca="false">J155/cf_shares</f>
        <v>7.5</v>
      </c>
      <c r="K157" s="50" t="n">
        <f aca="false">K155/cf_shares</f>
        <v>7.5</v>
      </c>
      <c r="L157" s="50" t="n">
        <f aca="false">L155/cf_shares</f>
        <v>7.5</v>
      </c>
      <c r="M157" s="50" t="n">
        <f aca="false">M155/cf_shares</f>
        <v>7.5</v>
      </c>
    </row>
    <row r="158" customFormat="false" ht="15" hidden="false" customHeight="false" outlineLevel="0" collapsed="false">
      <c r="A158" s="9" t="s">
        <v>495</v>
      </c>
      <c r="C158" s="50" t="n">
        <f aca="false">cf_eps</f>
        <v>7.5</v>
      </c>
      <c r="D158" s="50" t="n">
        <f aca="false">(D155+D156)/cf_shares</f>
        <v>8.578125</v>
      </c>
      <c r="E158" s="50" t="n">
        <f aca="false">(E155+E156)/cf_shares</f>
        <v>8.578125</v>
      </c>
      <c r="F158" s="50" t="n">
        <f aca="false">(F155+F156)/cf_shares</f>
        <v>8.578125</v>
      </c>
      <c r="G158" s="50" t="n">
        <f aca="false">(G155+G156)/cf_shares</f>
        <v>8.578125</v>
      </c>
      <c r="H158" s="50" t="n">
        <f aca="false">(H155+H156)/cf_shares</f>
        <v>8.578125</v>
      </c>
      <c r="I158" s="50" t="n">
        <f aca="false">(I155+I156)/cf_shares</f>
        <v>8.578125</v>
      </c>
      <c r="J158" s="50" t="n">
        <f aca="false">(J155+J156)/cf_shares</f>
        <v>8.578125</v>
      </c>
      <c r="K158" s="50" t="n">
        <f aca="false">(K155+K156)/cf_shares</f>
        <v>8.578125</v>
      </c>
      <c r="L158" s="50" t="n">
        <f aca="false">(L155+L156)/cf_shares</f>
        <v>8.578125</v>
      </c>
      <c r="M158" s="50" t="n">
        <f aca="false">(M155+M156)/cf_shares</f>
        <v>8.578125</v>
      </c>
    </row>
    <row r="159" customFormat="false" ht="15" hidden="false" customHeight="false" outlineLevel="0" collapsed="false">
      <c r="A159" s="4" t="s">
        <v>496</v>
      </c>
      <c r="C159" s="41" t="n">
        <f aca="false">-C146-C148</f>
        <v>-94.5</v>
      </c>
      <c r="D159" s="41" t="n">
        <f aca="false">D138+D150*(1-a_tax)-C146-C148-D152-D154</f>
        <v>-138.225</v>
      </c>
      <c r="E159" s="41" t="n">
        <f aca="false">E138+E150*(1-a_tax)-C146-C148-E152-E154</f>
        <v>-106.605</v>
      </c>
      <c r="F159" s="41" t="n">
        <f aca="false">F138+F150*(1-a_tax)-C146-C148-F152-F154</f>
        <v>-118.116</v>
      </c>
      <c r="G159" s="41" t="n">
        <f aca="false">G138+G150*(1-a_tax)-C146-C148-G152-G154</f>
        <v>-125.6472</v>
      </c>
      <c r="H159" s="41" t="n">
        <f aca="false">H138+H150*(1-a_tax)-C146-C148-H152-H154</f>
        <v>-128.04624</v>
      </c>
      <c r="I159" s="41" t="n">
        <f aca="false">I138+I150*(1-a_tax)-C146-C148-I152-I154</f>
        <v>-139.255488</v>
      </c>
      <c r="J159" s="41" t="n">
        <f aca="false">J138+J150*(1-a_tax)-C146-C148-J152-J154</f>
        <v>-148.2065856</v>
      </c>
      <c r="K159" s="41" t="n">
        <f aca="false">K138+K150*(1-a_tax)-C146-C148-K152-K154</f>
        <v>-154.44790272</v>
      </c>
      <c r="L159" s="41" t="n">
        <f aca="false">L138+L150*(1-a_tax)-C146-C148-L152-L154</f>
        <v>-157.437483264</v>
      </c>
      <c r="M159" s="41" t="n">
        <f aca="false">M138+M150*(1-a_tax)-C146-C148-M152-M154</f>
        <v>-156.5249799168</v>
      </c>
    </row>
    <row r="160" customFormat="false" ht="15" hidden="false" customHeight="false" outlineLevel="0" collapsed="false">
      <c r="A160" s="9" t="s">
        <v>497</v>
      </c>
      <c r="C160" s="36" t="n">
        <f aca="false">C155+C159</f>
        <v>385.5</v>
      </c>
      <c r="D160" s="36" t="n">
        <f aca="false">D155+D159</f>
        <v>341.775</v>
      </c>
      <c r="E160" s="36" t="n">
        <f aca="false">E155+E159</f>
        <v>373.395</v>
      </c>
      <c r="F160" s="36" t="n">
        <f aca="false">F155+F159</f>
        <v>361.884</v>
      </c>
      <c r="G160" s="36" t="n">
        <f aca="false">G155+G159</f>
        <v>354.3528</v>
      </c>
      <c r="H160" s="36" t="n">
        <f aca="false">H155+H159</f>
        <v>351.95376</v>
      </c>
      <c r="I160" s="36" t="n">
        <f aca="false">I155+I159</f>
        <v>340.744512</v>
      </c>
      <c r="J160" s="36" t="n">
        <f aca="false">J155+J159</f>
        <v>331.7934144</v>
      </c>
      <c r="K160" s="36" t="n">
        <f aca="false">K155+K159</f>
        <v>325.55209728</v>
      </c>
      <c r="L160" s="36" t="n">
        <f aca="false">L155+L159</f>
        <v>322.562516736</v>
      </c>
      <c r="M160" s="36" t="n">
        <f aca="false">M155+M159</f>
        <v>323.4750200832</v>
      </c>
    </row>
    <row r="161" customFormat="false" ht="15" hidden="false" customHeight="false" outlineLevel="0" collapsed="false">
      <c r="A161" s="4" t="s">
        <v>498</v>
      </c>
      <c r="C161" s="48" t="n">
        <f aca="false">C160/C145</f>
        <v>5.92858021653543</v>
      </c>
      <c r="D161" s="48" t="n">
        <f aca="false">D160/C145</f>
        <v>5.25613619586614</v>
      </c>
      <c r="E161" s="48" t="n">
        <f aca="false">E160/C145</f>
        <v>5.74241818405512</v>
      </c>
      <c r="F161" s="48" t="n">
        <f aca="false">F160/C145</f>
        <v>5.56539124015748</v>
      </c>
      <c r="G161" s="48" t="n">
        <f aca="false">G160/C145</f>
        <v>5.44956938976378</v>
      </c>
      <c r="H161" s="48" t="n">
        <f aca="false">H160/C145</f>
        <v>5.41267470472441</v>
      </c>
      <c r="I161" s="48" t="n">
        <f aca="false">I160/C145</f>
        <v>5.24028838582677</v>
      </c>
      <c r="J161" s="48" t="n">
        <f aca="false">J160/C145</f>
        <v>5.10263001968504</v>
      </c>
      <c r="K161" s="48" t="n">
        <f aca="false">K160/C145</f>
        <v>5.00664519685039</v>
      </c>
      <c r="L161" s="48" t="n">
        <f aca="false">L160/C145</f>
        <v>4.96066862598425</v>
      </c>
      <c r="M161" s="48" t="n">
        <f aca="false">M160/C145</f>
        <v>4.97470195748031</v>
      </c>
    </row>
    <row r="162" customFormat="false" ht="15" hidden="false" customHeight="false" outlineLevel="0" collapsed="false">
      <c r="A162" s="4" t="s">
        <v>499</v>
      </c>
      <c r="C162" s="14" t="n">
        <f aca="false">C161/cf_eps-1</f>
        <v>-0.209522637795276</v>
      </c>
      <c r="D162" s="14" t="n">
        <f aca="false">D161/cf_eps-1</f>
        <v>-0.299181840551181</v>
      </c>
      <c r="E162" s="14" t="n">
        <f aca="false">E161/cf_eps-1</f>
        <v>-0.234344242125984</v>
      </c>
      <c r="F162" s="14" t="n">
        <f aca="false">F161/cf_eps-1</f>
        <v>-0.257947834645669</v>
      </c>
      <c r="G162" s="14" t="n">
        <f aca="false">G161/cf_eps-1</f>
        <v>-0.273390748031496</v>
      </c>
      <c r="H162" s="14" t="n">
        <f aca="false">H161/cf_eps-1</f>
        <v>-0.278310039370079</v>
      </c>
      <c r="I162" s="14" t="n">
        <f aca="false">I161/cf_eps-1</f>
        <v>-0.301294881889764</v>
      </c>
      <c r="J162" s="14" t="n">
        <f aca="false">J161/cf_eps-1</f>
        <v>-0.319649330708662</v>
      </c>
      <c r="K162" s="14" t="n">
        <f aca="false">K161/cf_eps-1</f>
        <v>-0.332447307086614</v>
      </c>
      <c r="L162" s="14" t="n">
        <f aca="false">L161/cf_eps-1</f>
        <v>-0.338577516535433</v>
      </c>
      <c r="M162" s="14" t="n">
        <f aca="false">M161/cf_eps-1</f>
        <v>-0.336706405669291</v>
      </c>
    </row>
    <row r="163" customFormat="false" ht="15" hidden="false" customHeight="false" outlineLevel="0" collapsed="false">
      <c r="A163" s="9" t="s">
        <v>500</v>
      </c>
      <c r="C163" s="50" t="n">
        <f aca="false">C161</f>
        <v>5.92858021653543</v>
      </c>
      <c r="D163" s="50" t="n">
        <f aca="false">(D160+D156)/C145</f>
        <v>6.31728284940945</v>
      </c>
      <c r="E163" s="50" t="n">
        <f aca="false">(E160+E156)/C145</f>
        <v>6.80356483759843</v>
      </c>
      <c r="F163" s="50" t="n">
        <f aca="false">(F160+F156)/C145</f>
        <v>6.62653789370079</v>
      </c>
      <c r="G163" s="50" t="n">
        <f aca="false">(G160+G156)/C145</f>
        <v>6.51071604330709</v>
      </c>
      <c r="H163" s="50" t="n">
        <f aca="false">(H160+H156)/C145</f>
        <v>6.47382135826772</v>
      </c>
      <c r="I163" s="50" t="n">
        <f aca="false">(I160+I156)/C145</f>
        <v>6.30143503937008</v>
      </c>
      <c r="J163" s="50" t="n">
        <f aca="false">(J160+J156)/C145</f>
        <v>6.16377667322835</v>
      </c>
      <c r="K163" s="50" t="n">
        <f aca="false">(K160+K156)/C145</f>
        <v>6.0677918503937</v>
      </c>
      <c r="L163" s="50" t="n">
        <f aca="false">(L160+L156)/C145</f>
        <v>6.02181527952756</v>
      </c>
      <c r="M163" s="50" t="n">
        <f aca="false">(M160+M156)/C145</f>
        <v>6.03584861102362</v>
      </c>
    </row>
    <row r="164" customFormat="false" ht="15" hidden="false" customHeight="false" outlineLevel="0" collapsed="false">
      <c r="A164" s="9" t="s">
        <v>501</v>
      </c>
      <c r="C164" s="18" t="n">
        <f aca="false">C162</f>
        <v>-0.209522637795276</v>
      </c>
      <c r="D164" s="18" t="n">
        <f aca="false">D163/D158-1</f>
        <v>-0.263559012090702</v>
      </c>
      <c r="E164" s="18" t="n">
        <f aca="false">E163/E158-1</f>
        <v>-0.206870401445721</v>
      </c>
      <c r="F164" s="18" t="n">
        <f aca="false">F163/F158-1</f>
        <v>-0.227507422227959</v>
      </c>
      <c r="G164" s="18" t="n">
        <f aca="false">G163/G158-1</f>
        <v>-0.241009423002453</v>
      </c>
      <c r="H164" s="18" t="n">
        <f aca="false">H163/H158-1</f>
        <v>-0.245310442752033</v>
      </c>
      <c r="I164" s="18" t="n">
        <f aca="false">I163/I158-1</f>
        <v>-0.265406479927714</v>
      </c>
      <c r="J164" s="18" t="n">
        <f aca="false">J163/J158-1</f>
        <v>-0.281454085452433</v>
      </c>
      <c r="K164" s="18" t="n">
        <f aca="false">K163/K158-1</f>
        <v>-0.292643572995998</v>
      </c>
      <c r="L164" s="18" t="n">
        <f aca="false">L163/L158-1</f>
        <v>-0.298003318962179</v>
      </c>
      <c r="M164" s="18" t="n">
        <f aca="false">M163/M158-1</f>
        <v>-0.296367375035498</v>
      </c>
    </row>
    <row r="165" customFormat="false" ht="15" hidden="false" customHeight="false" outlineLevel="0" collapsed="false">
      <c r="A165" s="9" t="s">
        <v>502</v>
      </c>
      <c r="C165" s="50" t="n">
        <f aca="false">(C160+C148)/C145</f>
        <v>5.92858021653543</v>
      </c>
      <c r="D165" s="50" t="n">
        <f aca="false">(D160+C148)/C145</f>
        <v>5.25613619586614</v>
      </c>
      <c r="E165" s="50" t="n">
        <f aca="false">(E160+C148)/C145</f>
        <v>5.74241818405512</v>
      </c>
      <c r="F165" s="50" t="n">
        <f aca="false">(F160+C148)/C145</f>
        <v>5.56539124015748</v>
      </c>
      <c r="G165" s="50" t="n">
        <f aca="false">(G160+C148)/C145</f>
        <v>5.44956938976378</v>
      </c>
      <c r="H165" s="50" t="n">
        <f aca="false">(H160+C148)/C145</f>
        <v>5.41267470472441</v>
      </c>
      <c r="I165" s="50" t="n">
        <f aca="false">(I160+C148)/C145</f>
        <v>5.24028838582677</v>
      </c>
      <c r="J165" s="50" t="n">
        <f aca="false">(J160+C148)/C145</f>
        <v>5.10263001968504</v>
      </c>
      <c r="K165" s="50" t="n">
        <f aca="false">(K160+C148)/C145</f>
        <v>5.00664519685039</v>
      </c>
      <c r="L165" s="50" t="n">
        <f aca="false">(L160+C148)/C145</f>
        <v>4.96066862598425</v>
      </c>
      <c r="M165" s="50" t="n">
        <f aca="false">(M160+C148)/C145</f>
        <v>4.97470195748031</v>
      </c>
    </row>
    <row r="166" customFormat="false" ht="15" hidden="false" customHeight="false" outlineLevel="0" collapsed="false">
      <c r="A166" s="9" t="s">
        <v>503</v>
      </c>
      <c r="C166" s="50" t="n">
        <f aca="false">(C160-C147+C148)/C145</f>
        <v>4.48680487204724</v>
      </c>
      <c r="D166" s="50" t="n">
        <f aca="false">(D160-C147+C148)/C145</f>
        <v>3.81436085137795</v>
      </c>
      <c r="E166" s="50" t="n">
        <f aca="false">(E160-C147+C148)/C145</f>
        <v>4.30064283956693</v>
      </c>
      <c r="F166" s="50" t="n">
        <f aca="false">(F160-C147+C148)/C145</f>
        <v>4.12361589566929</v>
      </c>
      <c r="G166" s="50" t="n">
        <f aca="false">(G160-C147+C148)/C145</f>
        <v>4.00779404527559</v>
      </c>
      <c r="H166" s="50" t="n">
        <f aca="false">(H160-C147+C148)/C145</f>
        <v>3.97089936023622</v>
      </c>
      <c r="I166" s="50" t="n">
        <f aca="false">(I160-C147+C148)/C145</f>
        <v>3.79851304133858</v>
      </c>
      <c r="J166" s="50" t="n">
        <f aca="false">(J160-C147+C148)/C145</f>
        <v>3.66085467519685</v>
      </c>
      <c r="K166" s="50" t="n">
        <f aca="false">(K160-C147+C148)/C145</f>
        <v>3.5648698523622</v>
      </c>
      <c r="L166" s="50" t="n">
        <f aca="false">(L160-C147+C148)/C145</f>
        <v>3.51889328149606</v>
      </c>
      <c r="M166" s="50" t="n">
        <f aca="false">(M160-C147+C148)/C145</f>
        <v>3.53292661299213</v>
      </c>
    </row>
    <row r="167" customFormat="false" ht="15" hidden="false" customHeight="false" outlineLevel="0" collapsed="false">
      <c r="A167" s="9" t="s">
        <v>504</v>
      </c>
      <c r="C167" s="50" t="n">
        <f aca="false">C155/C145</f>
        <v>7.38188976377953</v>
      </c>
      <c r="D167" s="50" t="n">
        <f aca="false">D155/C145</f>
        <v>7.38188976377953</v>
      </c>
      <c r="E167" s="50" t="n">
        <f aca="false">E155/C145</f>
        <v>7.38188976377953</v>
      </c>
      <c r="F167" s="50" t="n">
        <f aca="false">F155/C145</f>
        <v>7.38188976377953</v>
      </c>
      <c r="G167" s="50" t="n">
        <f aca="false">G155/C145</f>
        <v>7.38188976377953</v>
      </c>
      <c r="H167" s="50" t="n">
        <f aca="false">H155/C145</f>
        <v>7.38188976377953</v>
      </c>
      <c r="I167" s="50" t="n">
        <f aca="false">I155/C145</f>
        <v>7.38188976377953</v>
      </c>
      <c r="J167" s="50" t="n">
        <f aca="false">J155/C145</f>
        <v>7.38188976377953</v>
      </c>
      <c r="K167" s="50" t="n">
        <f aca="false">K155/C145</f>
        <v>7.38188976377953</v>
      </c>
      <c r="L167" s="50" t="n">
        <f aca="false">L155/C145</f>
        <v>7.38188976377953</v>
      </c>
      <c r="M167" s="50" t="n">
        <f aca="false">M155/C145</f>
        <v>7.38188976377953</v>
      </c>
    </row>
    <row r="168" customFormat="false" ht="15" hidden="false" customHeight="false" outlineLevel="0" collapsed="false">
      <c r="A168" s="9" t="s">
        <v>505</v>
      </c>
      <c r="D168" s="36" t="n">
        <f aca="false">D141+D150*(1-a_tax)-D151-IF(D128=1,C149,0)</f>
        <v>-700.975</v>
      </c>
      <c r="E168" s="36" t="n">
        <f aca="false">E141+E150*(1-a_tax)-E151-IF(E128=1,C149,0)</f>
        <v>-491.255</v>
      </c>
      <c r="F168" s="36" t="n">
        <f aca="false">F141+F150*(1-a_tax)-F151-IF(F128=1,C149,0)</f>
        <v>-480.596</v>
      </c>
      <c r="G168" s="36" t="n">
        <f aca="false">G141+G150*(1-a_tax)-G151-IF(G128=1,C149,0)</f>
        <v>-466.0232</v>
      </c>
      <c r="H168" s="36" t="n">
        <f aca="false">H141+H150*(1-a_tax)-H151-IF(H128=1,C149,0)</f>
        <v>-446.39744</v>
      </c>
      <c r="I168" s="36" t="n">
        <f aca="false">I141+I150*(1-a_tax)-I151-IF(I128=1,C149,0)</f>
        <v>-435.676928</v>
      </c>
      <c r="J168" s="36" t="n">
        <f aca="false">J141+J150*(1-a_tax)-J151-IF(J128=1,C149,0)</f>
        <v>-422.8123136</v>
      </c>
      <c r="K168" s="36" t="n">
        <f aca="false">K141+K150*(1-a_tax)-K151-IF(K128=1,C149,0)</f>
        <v>-407.37477632</v>
      </c>
      <c r="L168" s="36" t="n">
        <f aca="false">L141+L150*(1-a_tax)-L151-IF(L128=1,C149,0)</f>
        <v>-388.849731584</v>
      </c>
      <c r="M168" s="36" t="n">
        <f aca="false">M141+M150*(1-a_tax)-M151-IF(M128=1,C149,0)</f>
        <v>-366.6196779008</v>
      </c>
    </row>
    <row r="169" customFormat="false" ht="15" hidden="false" customHeight="false" outlineLevel="0" collapsed="false">
      <c r="A169" s="4" t="s">
        <v>506</v>
      </c>
      <c r="D169" s="41" t="n">
        <f aca="false">D168-C146</f>
        <v>-795.475</v>
      </c>
      <c r="E169" s="41" t="n">
        <f aca="false">E168-C146</f>
        <v>-585.755</v>
      </c>
      <c r="F169" s="41" t="n">
        <f aca="false">F168-C146</f>
        <v>-575.096</v>
      </c>
      <c r="G169" s="41" t="n">
        <f aca="false">G168-C146</f>
        <v>-560.5232</v>
      </c>
      <c r="H169" s="41" t="n">
        <f aca="false">H168-C146</f>
        <v>-540.89744</v>
      </c>
      <c r="I169" s="41" t="n">
        <f aca="false">I168-C146</f>
        <v>-530.176928</v>
      </c>
      <c r="J169" s="41" t="n">
        <f aca="false">J168-C146</f>
        <v>-517.3123136</v>
      </c>
      <c r="K169" s="41" t="n">
        <f aca="false">K168-C146</f>
        <v>-501.87477632</v>
      </c>
      <c r="L169" s="41" t="n">
        <f aca="false">L168-C146</f>
        <v>-483.349731584</v>
      </c>
      <c r="M169" s="41" t="n">
        <f aca="false">M168-C146</f>
        <v>-461.1196779008</v>
      </c>
    </row>
    <row r="170" customFormat="false" ht="15" hidden="false" customHeight="false" outlineLevel="0" collapsed="false">
      <c r="A170" s="9" t="s">
        <v>507</v>
      </c>
      <c r="C170" s="36" t="n">
        <f aca="false">0</f>
        <v>0</v>
      </c>
      <c r="D170" s="36" t="n">
        <f aca="false">D156</f>
        <v>69</v>
      </c>
      <c r="E170" s="36" t="n">
        <f aca="false">E156</f>
        <v>69</v>
      </c>
      <c r="F170" s="36" t="n">
        <f aca="false">F156</f>
        <v>69</v>
      </c>
      <c r="G170" s="36" t="n">
        <f aca="false">G156</f>
        <v>69</v>
      </c>
      <c r="H170" s="36" t="n">
        <f aca="false">H156</f>
        <v>69</v>
      </c>
      <c r="I170" s="36" t="n">
        <f aca="false">I156</f>
        <v>69</v>
      </c>
      <c r="J170" s="36" t="n">
        <f aca="false">J156</f>
        <v>69</v>
      </c>
      <c r="K170" s="36" t="n">
        <f aca="false">K156</f>
        <v>69</v>
      </c>
      <c r="L170" s="36" t="n">
        <f aca="false">L156</f>
        <v>69</v>
      </c>
      <c r="M170" s="36" t="n">
        <f aca="false">M156</f>
        <v>69</v>
      </c>
    </row>
    <row r="171" customFormat="false" ht="15" hidden="false" customHeight="false" outlineLevel="0" collapsed="false">
      <c r="A171" s="9" t="s">
        <v>508</v>
      </c>
      <c r="D171" s="36" t="n">
        <f aca="false">D169+D170</f>
        <v>-726.475</v>
      </c>
      <c r="E171" s="36" t="n">
        <f aca="false">E169+E170</f>
        <v>-516.755</v>
      </c>
      <c r="F171" s="36" t="n">
        <f aca="false">F169+F170</f>
        <v>-506.096</v>
      </c>
      <c r="G171" s="36" t="n">
        <f aca="false">G169+G170</f>
        <v>-491.5232</v>
      </c>
      <c r="H171" s="36" t="n">
        <f aca="false">H169+H170</f>
        <v>-471.89744</v>
      </c>
      <c r="I171" s="36" t="n">
        <f aca="false">I169+I170</f>
        <v>-461.176928</v>
      </c>
      <c r="J171" s="36" t="n">
        <f aca="false">J169+J170</f>
        <v>-448.3123136</v>
      </c>
      <c r="K171" s="36" t="n">
        <f aca="false">K169+K170</f>
        <v>-432.87477632</v>
      </c>
      <c r="L171" s="36" t="n">
        <f aca="false">L169+L170</f>
        <v>-414.349731584</v>
      </c>
      <c r="M171" s="36" t="n">
        <f aca="false">M169+M170</f>
        <v>-392.1196779008</v>
      </c>
    </row>
    <row r="172" customFormat="false" ht="15" hidden="false" customHeight="false" outlineLevel="0" collapsed="false">
      <c r="A172" s="9" t="s">
        <v>509</v>
      </c>
      <c r="D172" s="36" t="n">
        <f aca="false">IF(lv_mdr_in_deal=1,D171,D169)</f>
        <v>-795.475</v>
      </c>
      <c r="E172" s="36" t="n">
        <f aca="false">IF(lv_mdr_in_deal=1,E171,E169)</f>
        <v>-585.755</v>
      </c>
      <c r="F172" s="36" t="n">
        <f aca="false">IF(lv_mdr_in_deal=1,F171,F169)</f>
        <v>-575.096</v>
      </c>
      <c r="G172" s="36" t="n">
        <f aca="false">IF(lv_mdr_in_deal=1,G171,G169)</f>
        <v>-560.5232</v>
      </c>
      <c r="H172" s="36" t="n">
        <f aca="false">IF(lv_mdr_in_deal=1,H171,H169)</f>
        <v>-540.89744</v>
      </c>
      <c r="I172" s="36" t="n">
        <f aca="false">IF(lv_mdr_in_deal=1,I171,I169)</f>
        <v>-530.176928</v>
      </c>
      <c r="J172" s="36" t="n">
        <f aca="false">IF(lv_mdr_in_deal=1,J171,J169)</f>
        <v>-517.3123136</v>
      </c>
      <c r="K172" s="36" t="n">
        <f aca="false">IF(lv_mdr_in_deal=1,K171,K169)</f>
        <v>-501.87477632</v>
      </c>
      <c r="L172" s="36" t="n">
        <f aca="false">IF(lv_mdr_in_deal=1,L171,L169)</f>
        <v>-483.349731584</v>
      </c>
      <c r="M172" s="36" t="n">
        <f aca="false">IF(lv_mdr_in_deal=1,M171,M169)</f>
        <v>-461.1196779008</v>
      </c>
    </row>
    <row r="173" customFormat="false" ht="15" hidden="false" customHeight="false" outlineLevel="0" collapsed="false">
      <c r="A173" s="9" t="s">
        <v>510</v>
      </c>
      <c r="C173" s="36" t="n">
        <f aca="false">-lv_price</f>
        <v>-4000</v>
      </c>
      <c r="D173" s="36" t="n">
        <f aca="false">C173+D172</f>
        <v>-4795.475</v>
      </c>
      <c r="E173" s="36" t="n">
        <f aca="false">D173+E172</f>
        <v>-5381.23</v>
      </c>
      <c r="F173" s="36" t="n">
        <f aca="false">E173+F172</f>
        <v>-5956.326</v>
      </c>
      <c r="G173" s="36" t="n">
        <f aca="false">F173+G172</f>
        <v>-6516.8492</v>
      </c>
      <c r="H173" s="36" t="n">
        <f aca="false">G173+H172</f>
        <v>-7057.74664</v>
      </c>
      <c r="I173" s="36" t="n">
        <f aca="false">H173+I172</f>
        <v>-7587.923568</v>
      </c>
      <c r="J173" s="36" t="n">
        <f aca="false">I173+J172</f>
        <v>-8105.2358816</v>
      </c>
      <c r="K173" s="36" t="n">
        <f aca="false">J173+K172</f>
        <v>-8607.11065792</v>
      </c>
      <c r="L173" s="36" t="n">
        <f aca="false">K173+L172</f>
        <v>-9090.460389504</v>
      </c>
      <c r="M173" s="36" t="n">
        <f aca="false">L173+M172</f>
        <v>-9551.5800674048</v>
      </c>
    </row>
    <row r="174" customFormat="false" ht="15" hidden="false" customHeight="false" outlineLevel="0" collapsed="false">
      <c r="A174" s="9" t="s">
        <v>511</v>
      </c>
      <c r="C174" s="43" t="n">
        <f aca="false">1</f>
        <v>1</v>
      </c>
      <c r="D174" s="43" t="n">
        <f aca="false">1/(1+lv_wacc)^D128</f>
        <v>0.884955752212389</v>
      </c>
      <c r="E174" s="43" t="n">
        <f aca="false">1/(1+lv_wacc)^E128</f>
        <v>0.783146683373796</v>
      </c>
      <c r="F174" s="43" t="n">
        <f aca="false">1/(1+lv_wacc)^F128</f>
        <v>0.693050162277696</v>
      </c>
      <c r="G174" s="43" t="n">
        <f aca="false">1/(1+lv_wacc)^G128</f>
        <v>0.613318727679377</v>
      </c>
      <c r="H174" s="43" t="n">
        <f aca="false">1/(1+lv_wacc)^H128</f>
        <v>0.542759935999449</v>
      </c>
      <c r="I174" s="43" t="n">
        <f aca="false">1/(1+lv_wacc)^I128</f>
        <v>0.48031852743314</v>
      </c>
      <c r="J174" s="43" t="n">
        <f aca="false">1/(1+lv_wacc)^J128</f>
        <v>0.425060643746142</v>
      </c>
      <c r="K174" s="43" t="n">
        <f aca="false">1/(1+lv_wacc)^K128</f>
        <v>0.37615986172225</v>
      </c>
      <c r="L174" s="43" t="n">
        <f aca="false">1/(1+lv_wacc)^L128</f>
        <v>0.332884833382522</v>
      </c>
      <c r="M174" s="43" t="n">
        <f aca="false">1/(1+lv_wacc)^M128</f>
        <v>0.294588348126126</v>
      </c>
    </row>
    <row r="175" customFormat="false" ht="15" hidden="false" customHeight="false" outlineLevel="0" collapsed="false">
      <c r="A175" s="9" t="s">
        <v>512</v>
      </c>
      <c r="C175" s="46" t="n">
        <f aca="false">99</f>
        <v>99</v>
      </c>
      <c r="D175" s="46" t="n">
        <f aca="false">IF(D159&gt;=0,D128,99)</f>
        <v>99</v>
      </c>
      <c r="E175" s="46" t="n">
        <f aca="false">IF(E159&gt;=0,E128,99)</f>
        <v>99</v>
      </c>
      <c r="F175" s="46" t="n">
        <f aca="false">IF(F159&gt;=0,F128,99)</f>
        <v>99</v>
      </c>
      <c r="G175" s="46" t="n">
        <f aca="false">IF(G159&gt;=0,G128,99)</f>
        <v>99</v>
      </c>
      <c r="H175" s="46" t="n">
        <f aca="false">IF(H159&gt;=0,H128,99)</f>
        <v>99</v>
      </c>
      <c r="I175" s="46" t="n">
        <f aca="false">IF(I159&gt;=0,I128,99)</f>
        <v>99</v>
      </c>
      <c r="J175" s="46" t="n">
        <f aca="false">IF(J159&gt;=0,J128,99)</f>
        <v>99</v>
      </c>
      <c r="K175" s="46" t="n">
        <f aca="false">IF(K159&gt;=0,K128,99)</f>
        <v>99</v>
      </c>
      <c r="L175" s="46" t="n">
        <f aca="false">IF(L159&gt;=0,L128,99)</f>
        <v>99</v>
      </c>
      <c r="M175" s="46" t="n">
        <f aca="false">IF(M159&gt;=0,M128,99)</f>
        <v>99</v>
      </c>
    </row>
    <row r="176" customFormat="false" ht="15" hidden="false" customHeight="false" outlineLevel="0" collapsed="false">
      <c r="A176" s="9" t="s">
        <v>513</v>
      </c>
      <c r="C176" s="46" t="n">
        <f aca="false">99</f>
        <v>99</v>
      </c>
      <c r="D176" s="46" t="n">
        <f aca="false">IF(D159+D156&gt;=0,D128,99)</f>
        <v>99</v>
      </c>
      <c r="E176" s="46" t="n">
        <f aca="false">IF(E159+E156&gt;=0,E128,99)</f>
        <v>99</v>
      </c>
      <c r="F176" s="46" t="n">
        <f aca="false">IF(F159+F156&gt;=0,F128,99)</f>
        <v>99</v>
      </c>
      <c r="G176" s="46" t="n">
        <f aca="false">IF(G159+G156&gt;=0,G128,99)</f>
        <v>99</v>
      </c>
      <c r="H176" s="46" t="n">
        <f aca="false">IF(H159+H156&gt;=0,H128,99)</f>
        <v>99</v>
      </c>
      <c r="I176" s="46" t="n">
        <f aca="false">IF(I159+I156&gt;=0,I128,99)</f>
        <v>99</v>
      </c>
      <c r="J176" s="46" t="n">
        <f aca="false">IF(J159+J156&gt;=0,J128,99)</f>
        <v>99</v>
      </c>
      <c r="K176" s="46" t="n">
        <f aca="false">IF(K159+K156&gt;=0,K128,99)</f>
        <v>99</v>
      </c>
      <c r="L176" s="46" t="n">
        <f aca="false">IF(L159+L156&gt;=0,L128,99)</f>
        <v>99</v>
      </c>
      <c r="M176" s="46" t="n">
        <f aca="false">IF(M159+M156&gt;=0,M128,99)</f>
        <v>99</v>
      </c>
    </row>
    <row r="177" customFormat="false" ht="15" hidden="false" customHeight="false" outlineLevel="0" collapsed="false">
      <c r="A177" s="9" t="s">
        <v>514</v>
      </c>
      <c r="C177" s="46" t="n">
        <f aca="false">99</f>
        <v>99</v>
      </c>
      <c r="D177" s="46" t="n">
        <f aca="false">IF(D169&gt;=0,D128,99)</f>
        <v>99</v>
      </c>
      <c r="E177" s="46" t="n">
        <f aca="false">IF(E169&gt;=0,E128,99)</f>
        <v>99</v>
      </c>
      <c r="F177" s="46" t="n">
        <f aca="false">IF(F169&gt;=0,F128,99)</f>
        <v>99</v>
      </c>
      <c r="G177" s="46" t="n">
        <f aca="false">IF(G169&gt;=0,G128,99)</f>
        <v>99</v>
      </c>
      <c r="H177" s="46" t="n">
        <f aca="false">IF(H169&gt;=0,H128,99)</f>
        <v>99</v>
      </c>
      <c r="I177" s="46" t="n">
        <f aca="false">IF(I169&gt;=0,I128,99)</f>
        <v>99</v>
      </c>
      <c r="J177" s="46" t="n">
        <f aca="false">IF(J169&gt;=0,J128,99)</f>
        <v>99</v>
      </c>
      <c r="K177" s="46" t="n">
        <f aca="false">IF(K169&gt;=0,K128,99)</f>
        <v>99</v>
      </c>
      <c r="L177" s="46" t="n">
        <f aca="false">IF(L169&gt;=0,L128,99)</f>
        <v>99</v>
      </c>
      <c r="M177" s="46" t="n">
        <f aca="false">IF(M169&gt;=0,M128,99)</f>
        <v>99</v>
      </c>
    </row>
    <row r="178" customFormat="false" ht="15" hidden="false" customHeight="false" outlineLevel="0" collapsed="false">
      <c r="A178" s="9" t="s">
        <v>515</v>
      </c>
      <c r="C178" s="46" t="n">
        <f aca="false">99</f>
        <v>99</v>
      </c>
      <c r="D178" s="46" t="n">
        <f aca="false">IF(D171&gt;=0,D128,99)</f>
        <v>99</v>
      </c>
      <c r="E178" s="46" t="n">
        <f aca="false">IF(E171&gt;=0,E128,99)</f>
        <v>99</v>
      </c>
      <c r="F178" s="46" t="n">
        <f aca="false">IF(F171&gt;=0,F128,99)</f>
        <v>99</v>
      </c>
      <c r="G178" s="46" t="n">
        <f aca="false">IF(G171&gt;=0,G128,99)</f>
        <v>99</v>
      </c>
      <c r="H178" s="46" t="n">
        <f aca="false">IF(H171&gt;=0,H128,99)</f>
        <v>99</v>
      </c>
      <c r="I178" s="46" t="n">
        <f aca="false">IF(I171&gt;=0,I128,99)</f>
        <v>99</v>
      </c>
      <c r="J178" s="46" t="n">
        <f aca="false">IF(J171&gt;=0,J128,99)</f>
        <v>99</v>
      </c>
      <c r="K178" s="46" t="n">
        <f aca="false">IF(K171&gt;=0,K128,99)</f>
        <v>99</v>
      </c>
      <c r="L178" s="46" t="n">
        <f aca="false">IF(L171&gt;=0,L128,99)</f>
        <v>99</v>
      </c>
      <c r="M178" s="46" t="n">
        <f aca="false">IF(M171&gt;=0,M128,99)</f>
        <v>99</v>
      </c>
    </row>
    <row r="179" customFormat="false" ht="15" hidden="false" customHeight="false" outlineLevel="0" collapsed="false">
      <c r="A179" s="9" t="s">
        <v>516</v>
      </c>
      <c r="C179" s="46" t="n">
        <f aca="false">99</f>
        <v>99</v>
      </c>
      <c r="D179" s="46" t="n">
        <f aca="false">IF(D173&gt;=0,D128,99)</f>
        <v>99</v>
      </c>
      <c r="E179" s="46" t="n">
        <f aca="false">IF(E173&gt;=0,E128,99)</f>
        <v>99</v>
      </c>
      <c r="F179" s="46" t="n">
        <f aca="false">IF(F173&gt;=0,F128,99)</f>
        <v>99</v>
      </c>
      <c r="G179" s="46" t="n">
        <f aca="false">IF(G173&gt;=0,G128,99)</f>
        <v>99</v>
      </c>
      <c r="H179" s="46" t="n">
        <f aca="false">IF(H173&gt;=0,H128,99)</f>
        <v>99</v>
      </c>
      <c r="I179" s="46" t="n">
        <f aca="false">IF(I173&gt;=0,I128,99)</f>
        <v>99</v>
      </c>
      <c r="J179" s="46" t="n">
        <f aca="false">IF(J173&gt;=0,J128,99)</f>
        <v>99</v>
      </c>
      <c r="K179" s="46" t="n">
        <f aca="false">IF(K173&gt;=0,K128,99)</f>
        <v>99</v>
      </c>
      <c r="L179" s="46" t="n">
        <f aca="false">IF(L173&gt;=0,L128,99)</f>
        <v>99</v>
      </c>
      <c r="M179" s="46" t="n">
        <f aca="false">IF(M173&gt;=0,M128,99)</f>
        <v>99</v>
      </c>
    </row>
    <row r="180" customFormat="false" ht="15" hidden="false" customHeight="false" outlineLevel="0" collapsed="false">
      <c r="A180" s="4" t="s">
        <v>517</v>
      </c>
      <c r="C180" s="23" t="n">
        <f aca="false">MIN(D175:M175)</f>
        <v>99</v>
      </c>
    </row>
    <row r="181" customFormat="false" ht="15" hidden="false" customHeight="false" outlineLevel="0" collapsed="false">
      <c r="A181" s="9" t="s">
        <v>518</v>
      </c>
      <c r="C181" s="46" t="n">
        <f aca="false">MIN(D176:M176)</f>
        <v>99</v>
      </c>
    </row>
    <row r="182" customFormat="false" ht="15" hidden="false" customHeight="false" outlineLevel="0" collapsed="false">
      <c r="A182" s="4" t="s">
        <v>519</v>
      </c>
      <c r="C182" s="23" t="n">
        <f aca="false">MIN(D177:M177)</f>
        <v>99</v>
      </c>
    </row>
    <row r="183" customFormat="false" ht="15" hidden="false" customHeight="false" outlineLevel="0" collapsed="false">
      <c r="A183" s="9" t="s">
        <v>520</v>
      </c>
      <c r="C183" s="46" t="n">
        <f aca="false">MIN(D178:M178)</f>
        <v>99</v>
      </c>
    </row>
    <row r="184" customFormat="false" ht="15" hidden="false" customHeight="false" outlineLevel="0" collapsed="false">
      <c r="A184" s="9" t="s">
        <v>521</v>
      </c>
      <c r="C184" s="46" t="n">
        <f aca="false">MIN(D179:M179)</f>
        <v>99</v>
      </c>
    </row>
    <row r="185" customFormat="false" ht="15" hidden="false" customHeight="false" outlineLevel="0" collapsed="false">
      <c r="A185" s="4" t="s">
        <v>522</v>
      </c>
      <c r="C185" s="15" t="n">
        <f aca="false">M173</f>
        <v>-9551.5800674048</v>
      </c>
    </row>
    <row r="186" customFormat="false" ht="15" hidden="false" customHeight="false" outlineLevel="0" collapsed="false">
      <c r="A186" s="9" t="s">
        <v>523</v>
      </c>
      <c r="C186" s="36" t="n">
        <f aca="false">SUMPRODUCT(D141:M141,D174:M174)</f>
        <v>208.806860496414</v>
      </c>
    </row>
    <row r="187" customFormat="false" ht="15" hidden="false" customHeight="false" outlineLevel="0" collapsed="false">
      <c r="A187" s="9" t="s">
        <v>524</v>
      </c>
      <c r="C187" s="36" t="n">
        <f aca="false">M141*(1+a_tg)/(lv_wacc-a_tg)</f>
        <v>1750.616727552</v>
      </c>
    </row>
    <row r="188" customFormat="false" ht="15" hidden="false" customHeight="false" outlineLevel="0" collapsed="false">
      <c r="A188" s="9" t="s">
        <v>314</v>
      </c>
      <c r="C188" s="36" t="n">
        <f aca="false">C187*M174</f>
        <v>515.711289971507</v>
      </c>
    </row>
    <row r="189" customFormat="false" ht="15" hidden="false" customHeight="false" outlineLevel="0" collapsed="false">
      <c r="A189" s="4" t="s">
        <v>525</v>
      </c>
      <c r="C189" s="15" t="n">
        <f aca="false">C186+C188</f>
        <v>724.518150467921</v>
      </c>
    </row>
    <row r="190" customFormat="false" ht="15" hidden="false" customHeight="false" outlineLevel="0" collapsed="false">
      <c r="A190" s="9" t="s">
        <v>526</v>
      </c>
      <c r="C190" s="32" t="n">
        <f aca="false">SUMPRODUCT(D151:M151,D174:M174)-a_recovery*M153*M174</f>
        <v>2713.12173797644</v>
      </c>
    </row>
    <row r="191" customFormat="false" ht="15" hidden="false" customHeight="false" outlineLevel="0" collapsed="false">
      <c r="A191" s="9" t="s">
        <v>527</v>
      </c>
      <c r="C191" s="36" t="n">
        <f aca="false">SUMPRODUCT(D150:M150,D174:M174)*(1-a_tax)</f>
        <v>0</v>
      </c>
    </row>
    <row r="192" customFormat="false" ht="15" hidden="false" customHeight="false" outlineLevel="0" collapsed="false">
      <c r="A192" s="9" t="s">
        <v>528</v>
      </c>
      <c r="C192" s="36" t="n">
        <f aca="false">C149*D174</f>
        <v>141.592920353982</v>
      </c>
    </row>
    <row r="193" customFormat="false" ht="15" hidden="false" customHeight="false" outlineLevel="0" collapsed="false">
      <c r="A193" s="4" t="s">
        <v>529</v>
      </c>
      <c r="C193" s="20" t="n">
        <f aca="false">C189+C191-C190-C192-lv_price</f>
        <v>-6130.1965078625</v>
      </c>
    </row>
    <row r="194" customFormat="false" ht="15" hidden="false" customHeight="false" outlineLevel="0" collapsed="false">
      <c r="A194" s="9" t="s">
        <v>530</v>
      </c>
      <c r="C194" s="32" t="n">
        <f aca="false">C193+SUMPRODUCT(D170:M170,D174:M174)</f>
        <v>-5755.78570802175</v>
      </c>
    </row>
    <row r="195" customFormat="false" ht="15" hidden="false" customHeight="false" outlineLevel="0" collapsed="false">
      <c r="A195" s="4" t="s">
        <v>531</v>
      </c>
      <c r="C195" s="59" t="n">
        <f aca="false">lv_price/D131</f>
        <v>24.2424242424242</v>
      </c>
    </row>
    <row r="196" customFormat="false" ht="15" hidden="false" customHeight="false" outlineLevel="0" collapsed="false">
      <c r="A196" s="9" t="s">
        <v>532</v>
      </c>
      <c r="C196" s="17" t="n">
        <f aca="false">(lv_price+C190)/D131</f>
        <v>40.6855862907663</v>
      </c>
    </row>
    <row r="197" customFormat="false" ht="15" hidden="false" customHeight="false" outlineLevel="0" collapsed="false">
      <c r="A197" s="4" t="s">
        <v>533</v>
      </c>
      <c r="C197" s="15" t="n">
        <f aca="false">(C193+C190)/SUMPRODUCT(D174:M174)</f>
        <v>-629.731191574665</v>
      </c>
    </row>
    <row r="198" customFormat="false" ht="15" hidden="false" customHeight="false" outlineLevel="0" collapsed="false">
      <c r="A198" s="4" t="s">
        <v>534</v>
      </c>
      <c r="C198" s="25" t="n">
        <f aca="false">D161</f>
        <v>5.25613619586614</v>
      </c>
    </row>
    <row r="199" customFormat="false" ht="15" hidden="false" customHeight="false" outlineLevel="0" collapsed="false">
      <c r="A199" s="9" t="s">
        <v>535</v>
      </c>
      <c r="C199" s="50" t="n">
        <f aca="false">F161</f>
        <v>5.56539124015748</v>
      </c>
    </row>
    <row r="200" customFormat="false" ht="15" hidden="false" customHeight="false" outlineLevel="0" collapsed="false">
      <c r="A200" s="4" t="s">
        <v>536</v>
      </c>
      <c r="C200" s="20" t="n">
        <f aca="false">D169</f>
        <v>-795.475</v>
      </c>
    </row>
    <row r="201" customFormat="false" ht="15" hidden="false" customHeight="false" outlineLevel="0" collapsed="false">
      <c r="A201" s="9" t="s">
        <v>537</v>
      </c>
      <c r="C201" s="32" t="n">
        <f aca="false">cf_cash-lv_mix_cash-C149</f>
        <v>6640</v>
      </c>
    </row>
    <row r="202" customFormat="false" ht="15" hidden="false" customHeight="false" outlineLevel="0" collapsed="false">
      <c r="A202" s="9" t="s">
        <v>538</v>
      </c>
      <c r="C202" s="32" t="n">
        <f aca="false">cf_debt+lv_mix_debt</f>
        <v>350</v>
      </c>
    </row>
    <row r="203" customFormat="false" ht="15" hidden="false" customHeight="false" outlineLevel="0" collapsed="false">
      <c r="A203" s="9" t="s">
        <v>539</v>
      </c>
      <c r="C203" s="34" t="n">
        <f aca="false">C202/cf_ebitda</f>
        <v>0.546875</v>
      </c>
    </row>
    <row r="204" customFormat="false" ht="15" hidden="false" customHeight="false" outlineLevel="0" collapsed="false">
      <c r="A204" s="9" t="s">
        <v>540</v>
      </c>
      <c r="C204" s="32" t="n">
        <f aca="false">C201+SUM(D172:F172)+3*cf_pat</f>
        <v>6123.674</v>
      </c>
    </row>
    <row r="206" customFormat="false" ht="15" hidden="false" customHeight="false" outlineLevel="0" collapsed="false">
      <c r="A206" s="7" t="s">
        <v>596</v>
      </c>
      <c r="B206" s="8"/>
      <c r="C206" s="8"/>
      <c r="D206" s="8"/>
      <c r="E206" s="8"/>
      <c r="F206" s="8"/>
      <c r="G206" s="8"/>
      <c r="H206" s="8"/>
      <c r="I206" s="8"/>
      <c r="J206" s="8"/>
      <c r="K206" s="8"/>
      <c r="L206" s="8"/>
      <c r="M206" s="8"/>
      <c r="N206" s="8"/>
    </row>
    <row r="207" customFormat="false" ht="15" hidden="false" customHeight="false" outlineLevel="0" collapsed="false">
      <c r="A207" s="4" t="s">
        <v>284</v>
      </c>
      <c r="C207" s="39" t="n">
        <v>0</v>
      </c>
      <c r="D207" s="39" t="n">
        <v>1</v>
      </c>
      <c r="E207" s="39" t="n">
        <v>2</v>
      </c>
      <c r="F207" s="39" t="n">
        <v>3</v>
      </c>
      <c r="G207" s="39" t="n">
        <v>4</v>
      </c>
      <c r="H207" s="39" t="n">
        <v>5</v>
      </c>
      <c r="I207" s="39" t="n">
        <v>6</v>
      </c>
      <c r="J207" s="39" t="n">
        <v>7</v>
      </c>
      <c r="K207" s="39" t="n">
        <v>8</v>
      </c>
      <c r="L207" s="39" t="n">
        <v>9</v>
      </c>
      <c r="M207" s="39" t="n">
        <v>10</v>
      </c>
    </row>
    <row r="208" customFormat="false" ht="15" hidden="false" customHeight="false" outlineLevel="0" collapsed="false">
      <c r="A208" s="9" t="s">
        <v>285</v>
      </c>
      <c r="C208" s="40" t="n">
        <f aca="false">cf_arr</f>
        <v>220</v>
      </c>
      <c r="D208" s="36" t="n">
        <f aca="false">C208*(1+lv_g)</f>
        <v>264</v>
      </c>
      <c r="E208" s="36" t="n">
        <f aca="false">D208*(1+lv_g)</f>
        <v>316.8</v>
      </c>
      <c r="F208" s="36" t="n">
        <f aca="false">E208*(1+lv_g)</f>
        <v>380.16</v>
      </c>
      <c r="G208" s="36" t="n">
        <f aca="false">F208*(1+lv_g)</f>
        <v>456.192</v>
      </c>
      <c r="H208" s="36" t="n">
        <f aca="false">G208*(1+lv_g)</f>
        <v>547.4304</v>
      </c>
      <c r="I208" s="36" t="n">
        <f aca="false">H208*(1+lv_g)</f>
        <v>656.91648</v>
      </c>
      <c r="J208" s="36" t="n">
        <f aca="false">I208*(1+lv_g)</f>
        <v>788.299776</v>
      </c>
      <c r="K208" s="36" t="n">
        <f aca="false">J208*(1+lv_g)</f>
        <v>945.9597312</v>
      </c>
      <c r="L208" s="36" t="n">
        <f aca="false">K208*(1+lv_g)</f>
        <v>1135.15167744</v>
      </c>
      <c r="M208" s="36" t="n">
        <f aca="false">L208*(1+lv_g)</f>
        <v>1362.182012928</v>
      </c>
    </row>
    <row r="209" customFormat="false" ht="15" hidden="false" customHeight="false" outlineLevel="0" collapsed="false">
      <c r="A209" s="9" t="s">
        <v>286</v>
      </c>
      <c r="C209" s="18" t="n">
        <f aca="false">1</f>
        <v>1</v>
      </c>
      <c r="D209" s="18" t="n">
        <f aca="false">IF(D207&gt;=a_churn_year,1-lv_churn,1)</f>
        <v>0.625</v>
      </c>
      <c r="E209" s="18" t="n">
        <f aca="false">IF(E207&gt;=a_churn_year,1-lv_churn,1)</f>
        <v>0.625</v>
      </c>
      <c r="F209" s="18" t="n">
        <f aca="false">IF(F207&gt;=a_churn_year,1-lv_churn,1)</f>
        <v>0.625</v>
      </c>
      <c r="G209" s="18" t="n">
        <f aca="false">IF(G207&gt;=a_churn_year,1-lv_churn,1)</f>
        <v>0.625</v>
      </c>
      <c r="H209" s="18" t="n">
        <f aca="false">IF(H207&gt;=a_churn_year,1-lv_churn,1)</f>
        <v>0.625</v>
      </c>
      <c r="I209" s="18" t="n">
        <f aca="false">IF(I207&gt;=a_churn_year,1-lv_churn,1)</f>
        <v>0.625</v>
      </c>
      <c r="J209" s="18" t="n">
        <f aca="false">IF(J207&gt;=a_churn_year,1-lv_churn,1)</f>
        <v>0.625</v>
      </c>
      <c r="K209" s="18" t="n">
        <f aca="false">IF(K207&gt;=a_churn_year,1-lv_churn,1)</f>
        <v>0.625</v>
      </c>
      <c r="L209" s="18" t="n">
        <f aca="false">IF(L207&gt;=a_churn_year,1-lv_churn,1)</f>
        <v>0.625</v>
      </c>
      <c r="M209" s="18" t="n">
        <f aca="false">IF(M207&gt;=a_churn_year,1-lv_churn,1)</f>
        <v>0.625</v>
      </c>
    </row>
    <row r="210" customFormat="false" ht="15" hidden="false" customHeight="false" outlineLevel="0" collapsed="false">
      <c r="A210" s="4" t="s">
        <v>287</v>
      </c>
      <c r="C210" s="41" t="n">
        <f aca="false">C208*C209</f>
        <v>220</v>
      </c>
      <c r="D210" s="41" t="n">
        <f aca="false">D208*D209</f>
        <v>165</v>
      </c>
      <c r="E210" s="41" t="n">
        <f aca="false">E208*E209</f>
        <v>198</v>
      </c>
      <c r="F210" s="41" t="n">
        <f aca="false">F208*F209</f>
        <v>237.6</v>
      </c>
      <c r="G210" s="41" t="n">
        <f aca="false">G208*G209</f>
        <v>285.12</v>
      </c>
      <c r="H210" s="41" t="n">
        <f aca="false">H208*H209</f>
        <v>342.144</v>
      </c>
      <c r="I210" s="41" t="n">
        <f aca="false">I208*I209</f>
        <v>410.5728</v>
      </c>
      <c r="J210" s="41" t="n">
        <f aca="false">J208*J209</f>
        <v>492.68736</v>
      </c>
      <c r="K210" s="41" t="n">
        <f aca="false">K208*K209</f>
        <v>591.224832</v>
      </c>
      <c r="L210" s="41" t="n">
        <f aca="false">L208*L209</f>
        <v>709.4697984</v>
      </c>
      <c r="M210" s="41" t="n">
        <f aca="false">M208*M209</f>
        <v>851.36375808</v>
      </c>
    </row>
    <row r="211" customFormat="false" ht="15" hidden="false" customHeight="false" outlineLevel="0" collapsed="false">
      <c r="A211" s="9" t="s">
        <v>288</v>
      </c>
      <c r="C211" s="18" t="n">
        <f aca="false">MIN(a_m0+a_mstep*C207,a_mcap)</f>
        <v>0</v>
      </c>
      <c r="D211" s="18" t="n">
        <f aca="false">MIN(a_m0+a_mstep*D207,a_mcap)</f>
        <v>0.05</v>
      </c>
      <c r="E211" s="18" t="n">
        <f aca="false">MIN(a_m0+a_mstep*E207,a_mcap)</f>
        <v>0.1</v>
      </c>
      <c r="F211" s="18" t="n">
        <f aca="false">MIN(a_m0+a_mstep*F207,a_mcap)</f>
        <v>0.15</v>
      </c>
      <c r="G211" s="18" t="n">
        <f aca="false">MIN(a_m0+a_mstep*G207,a_mcap)</f>
        <v>0.2</v>
      </c>
      <c r="H211" s="18" t="n">
        <f aca="false">MIN(a_m0+a_mstep*H207,a_mcap)</f>
        <v>0.25</v>
      </c>
      <c r="I211" s="18" t="n">
        <f aca="false">MIN(a_m0+a_mstep*I207,a_mcap)</f>
        <v>0.25</v>
      </c>
      <c r="J211" s="18" t="n">
        <f aca="false">MIN(a_m0+a_mstep*J207,a_mcap)</f>
        <v>0.25</v>
      </c>
      <c r="K211" s="18" t="n">
        <f aca="false">MIN(a_m0+a_mstep*K207,a_mcap)</f>
        <v>0.25</v>
      </c>
      <c r="L211" s="18" t="n">
        <f aca="false">MIN(a_m0+a_mstep*L207,a_mcap)</f>
        <v>0.25</v>
      </c>
      <c r="M211" s="18" t="n">
        <f aca="false">MIN(a_m0+a_mstep*M207,a_mcap)</f>
        <v>0.25</v>
      </c>
    </row>
    <row r="212" customFormat="false" ht="15" hidden="false" customHeight="false" outlineLevel="0" collapsed="false">
      <c r="A212" s="9" t="s">
        <v>289</v>
      </c>
      <c r="C212" s="36" t="n">
        <f aca="false">IF(C207=a_churn_year,a_sticky*(C208-C210)*(1-C211),0)</f>
        <v>0</v>
      </c>
      <c r="D212" s="36" t="n">
        <f aca="false">IF(D207=a_churn_year,a_sticky*(D208-D210)*(1-D211),0)</f>
        <v>47.025</v>
      </c>
      <c r="E212" s="36" t="n">
        <f aca="false">IF(E207=a_churn_year,a_sticky*(E208-E210)*(1-E211),0)</f>
        <v>0</v>
      </c>
      <c r="F212" s="36" t="n">
        <f aca="false">IF(F207=a_churn_year,a_sticky*(F208-F210)*(1-F211),0)</f>
        <v>0</v>
      </c>
      <c r="G212" s="36" t="n">
        <f aca="false">IF(G207=a_churn_year,a_sticky*(G208-G210)*(1-G211),0)</f>
        <v>0</v>
      </c>
      <c r="H212" s="36" t="n">
        <f aca="false">IF(H207=a_churn_year,a_sticky*(H208-H210)*(1-H211),0)</f>
        <v>0</v>
      </c>
      <c r="I212" s="36" t="n">
        <f aca="false">IF(I207=a_churn_year,a_sticky*(I208-I210)*(1-I211),0)</f>
        <v>0</v>
      </c>
      <c r="J212" s="36" t="n">
        <f aca="false">IF(J207=a_churn_year,a_sticky*(J208-J210)*(1-J211),0)</f>
        <v>0</v>
      </c>
      <c r="K212" s="36" t="n">
        <f aca="false">IF(K207=a_churn_year,a_sticky*(K208-K210)*(1-K211),0)</f>
        <v>0</v>
      </c>
      <c r="L212" s="36" t="n">
        <f aca="false">IF(L207=a_churn_year,a_sticky*(L208-L210)*(1-L211),0)</f>
        <v>0</v>
      </c>
      <c r="M212" s="36" t="n">
        <f aca="false">IF(M207=a_churn_year,a_sticky*(M208-M210)*(1-M211),0)</f>
        <v>0</v>
      </c>
    </row>
    <row r="213" customFormat="false" ht="15" hidden="false" customHeight="false" outlineLevel="0" collapsed="false">
      <c r="A213" s="4" t="s">
        <v>290</v>
      </c>
      <c r="C213" s="41" t="n">
        <f aca="false">C210*C211-C212</f>
        <v>0</v>
      </c>
      <c r="D213" s="41" t="n">
        <f aca="false">D210*D211-D212</f>
        <v>-38.775</v>
      </c>
      <c r="E213" s="41" t="n">
        <f aca="false">E210*E211-E212</f>
        <v>19.8</v>
      </c>
      <c r="F213" s="41" t="n">
        <f aca="false">F210*F211-F212</f>
        <v>35.64</v>
      </c>
      <c r="G213" s="41" t="n">
        <f aca="false">G210*G211-G212</f>
        <v>57.024</v>
      </c>
      <c r="H213" s="41" t="n">
        <f aca="false">H210*H211-H212</f>
        <v>85.536</v>
      </c>
      <c r="I213" s="41" t="n">
        <f aca="false">I210*I211-I212</f>
        <v>102.6432</v>
      </c>
      <c r="J213" s="41" t="n">
        <f aca="false">J210*J211-J212</f>
        <v>123.17184</v>
      </c>
      <c r="K213" s="41" t="n">
        <f aca="false">K210*K211-K212</f>
        <v>147.806208</v>
      </c>
      <c r="L213" s="41" t="n">
        <f aca="false">L210*L211-L212</f>
        <v>177.3674496</v>
      </c>
      <c r="M213" s="41" t="n">
        <f aca="false">M210*M211-M212</f>
        <v>212.84093952</v>
      </c>
    </row>
    <row r="214" customFormat="false" ht="15" hidden="false" customHeight="false" outlineLevel="0" collapsed="false">
      <c r="A214" s="9" t="s">
        <v>291</v>
      </c>
      <c r="C214" s="36" t="n">
        <f aca="false">C210*a_da</f>
        <v>6.6</v>
      </c>
      <c r="D214" s="36" t="n">
        <f aca="false">D210*a_da</f>
        <v>4.95</v>
      </c>
      <c r="E214" s="36" t="n">
        <f aca="false">E210*a_da</f>
        <v>5.94</v>
      </c>
      <c r="F214" s="36" t="n">
        <f aca="false">F210*a_da</f>
        <v>7.128</v>
      </c>
      <c r="G214" s="36" t="n">
        <f aca="false">G210*a_da</f>
        <v>8.5536</v>
      </c>
      <c r="H214" s="36" t="n">
        <f aca="false">H210*a_da</f>
        <v>10.26432</v>
      </c>
      <c r="I214" s="36" t="n">
        <f aca="false">I210*a_da</f>
        <v>12.317184</v>
      </c>
      <c r="J214" s="36" t="n">
        <f aca="false">J210*a_da</f>
        <v>14.7806208</v>
      </c>
      <c r="K214" s="36" t="n">
        <f aca="false">K210*a_da</f>
        <v>17.73674496</v>
      </c>
      <c r="L214" s="36" t="n">
        <f aca="false">L210*a_da</f>
        <v>21.284093952</v>
      </c>
      <c r="M214" s="36" t="n">
        <f aca="false">M210*a_da</f>
        <v>25.5409127424</v>
      </c>
    </row>
    <row r="215" customFormat="false" ht="15" hidden="false" customHeight="false" outlineLevel="0" collapsed="false">
      <c r="A215" s="9" t="s">
        <v>292</v>
      </c>
      <c r="C215" s="36" t="n">
        <f aca="false">C213-C214</f>
        <v>-6.6</v>
      </c>
      <c r="D215" s="36" t="n">
        <f aca="false">D213-D214</f>
        <v>-43.725</v>
      </c>
      <c r="E215" s="36" t="n">
        <f aca="false">E213-E214</f>
        <v>13.86</v>
      </c>
      <c r="F215" s="36" t="n">
        <f aca="false">F213-F214</f>
        <v>28.512</v>
      </c>
      <c r="G215" s="36" t="n">
        <f aca="false">G213-G214</f>
        <v>48.4704</v>
      </c>
      <c r="H215" s="36" t="n">
        <f aca="false">H213-H214</f>
        <v>75.27168</v>
      </c>
      <c r="I215" s="36" t="n">
        <f aca="false">I213-I214</f>
        <v>90.326016</v>
      </c>
      <c r="J215" s="36" t="n">
        <f aca="false">J213-J214</f>
        <v>108.3912192</v>
      </c>
      <c r="K215" s="36" t="n">
        <f aca="false">K213-K214</f>
        <v>130.06946304</v>
      </c>
      <c r="L215" s="36" t="n">
        <f aca="false">L213-L214</f>
        <v>156.083355648</v>
      </c>
      <c r="M215" s="36" t="n">
        <f aca="false">M213-M214</f>
        <v>187.3000267776</v>
      </c>
    </row>
    <row r="216" customFormat="false" ht="15" hidden="false" customHeight="false" outlineLevel="0" collapsed="false">
      <c r="A216" s="9" t="s">
        <v>293</v>
      </c>
      <c r="C216" s="36" t="n">
        <f aca="false">MAX(0,C215)*a_tax</f>
        <v>0</v>
      </c>
      <c r="D216" s="36" t="n">
        <f aca="false">MAX(0,D215)*a_tax</f>
        <v>0</v>
      </c>
      <c r="E216" s="36" t="n">
        <f aca="false">MAX(0,E215)*a_tax</f>
        <v>3.465</v>
      </c>
      <c r="F216" s="36" t="n">
        <f aca="false">MAX(0,F215)*a_tax</f>
        <v>7.128</v>
      </c>
      <c r="G216" s="36" t="n">
        <f aca="false">MAX(0,G215)*a_tax</f>
        <v>12.1176</v>
      </c>
      <c r="H216" s="36" t="n">
        <f aca="false">MAX(0,H215)*a_tax</f>
        <v>18.81792</v>
      </c>
      <c r="I216" s="36" t="n">
        <f aca="false">MAX(0,I215)*a_tax</f>
        <v>22.581504</v>
      </c>
      <c r="J216" s="36" t="n">
        <f aca="false">MAX(0,J215)*a_tax</f>
        <v>27.0978048</v>
      </c>
      <c r="K216" s="36" t="n">
        <f aca="false">MAX(0,K215)*a_tax</f>
        <v>32.51736576</v>
      </c>
      <c r="L216" s="36" t="n">
        <f aca="false">MAX(0,L215)*a_tax</f>
        <v>39.020838912</v>
      </c>
      <c r="M216" s="36" t="n">
        <f aca="false">MAX(0,M215)*a_tax</f>
        <v>46.8250066944</v>
      </c>
    </row>
    <row r="217" customFormat="false" ht="15" hidden="false" customHeight="false" outlineLevel="0" collapsed="false">
      <c r="A217" s="4" t="s">
        <v>294</v>
      </c>
      <c r="C217" s="42" t="n">
        <f aca="false">cf_lim_pat</f>
        <v>0</v>
      </c>
      <c r="D217" s="41" t="n">
        <f aca="false">D215-D216</f>
        <v>-43.725</v>
      </c>
      <c r="E217" s="41" t="n">
        <f aca="false">E215-E216</f>
        <v>10.395</v>
      </c>
      <c r="F217" s="41" t="n">
        <f aca="false">F215-F216</f>
        <v>21.384</v>
      </c>
      <c r="G217" s="41" t="n">
        <f aca="false">G215-G216</f>
        <v>36.3528</v>
      </c>
      <c r="H217" s="41" t="n">
        <f aca="false">H215-H216</f>
        <v>56.45376</v>
      </c>
      <c r="I217" s="41" t="n">
        <f aca="false">I215-I216</f>
        <v>67.744512</v>
      </c>
      <c r="J217" s="41" t="n">
        <f aca="false">J215-J216</f>
        <v>81.2934144</v>
      </c>
      <c r="K217" s="41" t="n">
        <f aca="false">K215-K216</f>
        <v>97.55209728</v>
      </c>
      <c r="L217" s="41" t="n">
        <f aca="false">L215-L216</f>
        <v>117.062516736</v>
      </c>
      <c r="M217" s="41" t="n">
        <f aca="false">M215-M216</f>
        <v>140.4750200832</v>
      </c>
    </row>
    <row r="218" customFormat="false" ht="15" hidden="false" customHeight="false" outlineLevel="0" collapsed="false">
      <c r="A218" s="9" t="s">
        <v>295</v>
      </c>
      <c r="C218" s="36" t="n">
        <f aca="false">C210*a_capex</f>
        <v>6.6</v>
      </c>
      <c r="D218" s="36" t="n">
        <f aca="false">D210*a_capex</f>
        <v>4.95</v>
      </c>
      <c r="E218" s="36" t="n">
        <f aca="false">E210*a_capex</f>
        <v>5.94</v>
      </c>
      <c r="F218" s="36" t="n">
        <f aca="false">F210*a_capex</f>
        <v>7.128</v>
      </c>
      <c r="G218" s="36" t="n">
        <f aca="false">G210*a_capex</f>
        <v>8.5536</v>
      </c>
      <c r="H218" s="36" t="n">
        <f aca="false">H210*a_capex</f>
        <v>10.26432</v>
      </c>
      <c r="I218" s="36" t="n">
        <f aca="false">I210*a_capex</f>
        <v>12.317184</v>
      </c>
      <c r="J218" s="36" t="n">
        <f aca="false">J210*a_capex</f>
        <v>14.7806208</v>
      </c>
      <c r="K218" s="36" t="n">
        <f aca="false">K210*a_capex</f>
        <v>17.73674496</v>
      </c>
      <c r="L218" s="36" t="n">
        <f aca="false">L210*a_capex</f>
        <v>21.284093952</v>
      </c>
      <c r="M218" s="36" t="n">
        <f aca="false">M210*a_capex</f>
        <v>25.5409127424</v>
      </c>
    </row>
    <row r="219" customFormat="false" ht="15" hidden="false" customHeight="false" outlineLevel="0" collapsed="false">
      <c r="A219" s="9" t="s">
        <v>296</v>
      </c>
      <c r="C219" s="36" t="n">
        <f aca="false">0</f>
        <v>0</v>
      </c>
      <c r="D219" s="36" t="n">
        <f aca="false">a_wc*(D210-C210)</f>
        <v>-2.75</v>
      </c>
      <c r="E219" s="36" t="n">
        <f aca="false">a_wc*(E210-D210)</f>
        <v>1.65</v>
      </c>
      <c r="F219" s="36" t="n">
        <f aca="false">a_wc*(F210-E210)</f>
        <v>1.98</v>
      </c>
      <c r="G219" s="36" t="n">
        <f aca="false">a_wc*(G210-F210)</f>
        <v>2.376</v>
      </c>
      <c r="H219" s="36" t="n">
        <f aca="false">a_wc*(H210-G210)</f>
        <v>2.8512</v>
      </c>
      <c r="I219" s="36" t="n">
        <f aca="false">a_wc*(I210-H210)</f>
        <v>3.42144</v>
      </c>
      <c r="J219" s="36" t="n">
        <f aca="false">a_wc*(J210-I210)</f>
        <v>4.105728</v>
      </c>
      <c r="K219" s="36" t="n">
        <f aca="false">a_wc*(K210-J210)</f>
        <v>4.9268736</v>
      </c>
      <c r="L219" s="36" t="n">
        <f aca="false">a_wc*(L210-K210)</f>
        <v>5.91224832</v>
      </c>
      <c r="M219" s="36" t="n">
        <f aca="false">a_wc*(M210-L210)</f>
        <v>7.094697984</v>
      </c>
    </row>
    <row r="220" customFormat="false" ht="15" hidden="false" customHeight="false" outlineLevel="0" collapsed="false">
      <c r="A220" s="4" t="s">
        <v>297</v>
      </c>
      <c r="C220" s="36" t="n">
        <f aca="false">0</f>
        <v>0</v>
      </c>
      <c r="D220" s="41" t="n">
        <f aca="false">D217+D214-D218-D219</f>
        <v>-40.975</v>
      </c>
      <c r="E220" s="41" t="n">
        <f aca="false">E217+E214-E218-E219</f>
        <v>8.745</v>
      </c>
      <c r="F220" s="41" t="n">
        <f aca="false">F217+F214-F218-F219</f>
        <v>19.404</v>
      </c>
      <c r="G220" s="41" t="n">
        <f aca="false">G217+G214-G218-G219</f>
        <v>33.9768</v>
      </c>
      <c r="H220" s="41" t="n">
        <f aca="false">H217+H214-H218-H219</f>
        <v>53.60256</v>
      </c>
      <c r="I220" s="41" t="n">
        <f aca="false">I217+I214-I218-I219</f>
        <v>64.323072</v>
      </c>
      <c r="J220" s="41" t="n">
        <f aca="false">J217+J214-J218-J219</f>
        <v>77.1876864</v>
      </c>
      <c r="K220" s="41" t="n">
        <f aca="false">K217+K214-K218-K219</f>
        <v>92.62522368</v>
      </c>
      <c r="L220" s="41" t="n">
        <f aca="false">L217+L214-L218-L219</f>
        <v>111.150268416</v>
      </c>
      <c r="M220" s="41" t="n">
        <f aca="false">M217+M214-M218-M219</f>
        <v>133.3803220992</v>
      </c>
    </row>
    <row r="222" customFormat="false" ht="15" hidden="false" customHeight="false" outlineLevel="0" collapsed="false">
      <c r="A222" s="7" t="s">
        <v>597</v>
      </c>
      <c r="B222" s="8"/>
      <c r="C222" s="8"/>
      <c r="D222" s="8"/>
      <c r="E222" s="8"/>
      <c r="F222" s="8"/>
      <c r="G222" s="8"/>
      <c r="H222" s="8"/>
      <c r="I222" s="8"/>
      <c r="J222" s="8"/>
      <c r="K222" s="8"/>
      <c r="L222" s="8"/>
      <c r="M222" s="8"/>
      <c r="N222" s="8"/>
    </row>
    <row r="223" customFormat="false" ht="15" hidden="false" customHeight="false" outlineLevel="0" collapsed="false">
      <c r="A223" s="9" t="s">
        <v>482</v>
      </c>
      <c r="C223" s="35" t="n">
        <f aca="false">lv_mix_eq/(c_price*(1-a_issue_disc))</f>
        <v>1.024</v>
      </c>
    </row>
    <row r="224" customFormat="false" ht="15" hidden="false" customHeight="false" outlineLevel="0" collapsed="false">
      <c r="A224" s="9" t="s">
        <v>449</v>
      </c>
      <c r="C224" s="35" t="n">
        <f aca="false">cf_shares+C223</f>
        <v>65.024</v>
      </c>
    </row>
    <row r="225" customFormat="false" ht="15" hidden="false" customHeight="false" outlineLevel="0" collapsed="false">
      <c r="A225" s="9" t="s">
        <v>483</v>
      </c>
      <c r="C225" s="36" t="n">
        <f aca="false">lv_mix_cash*a_yield*(1-a_tax)+lv_mix_debt*a_kd*(1-a_tax)</f>
        <v>94.5</v>
      </c>
    </row>
    <row r="226" customFormat="false" ht="15" hidden="false" customHeight="false" outlineLevel="0" collapsed="false">
      <c r="A226" s="9" t="s">
        <v>484</v>
      </c>
      <c r="C226" s="36" t="n">
        <f aca="false">lv_price*a_ppa_share/a_ppa_life*(1-a_tax)</f>
        <v>93.75</v>
      </c>
    </row>
    <row r="227" customFormat="false" ht="15" hidden="false" customHeight="false" outlineLevel="0" collapsed="false">
      <c r="A227" s="9" t="s">
        <v>485</v>
      </c>
      <c r="C227" s="36" t="n">
        <f aca="false">a_ppa_on*C226</f>
        <v>0</v>
      </c>
    </row>
    <row r="228" customFormat="false" ht="15" hidden="false" customHeight="false" outlineLevel="0" collapsed="false">
      <c r="A228" s="9" t="s">
        <v>486</v>
      </c>
      <c r="C228" s="36" t="n">
        <f aca="false">lv_price*a_fees_pct+a_integ_full</f>
        <v>160</v>
      </c>
    </row>
    <row r="229" customFormat="false" ht="15" hidden="false" customHeight="false" outlineLevel="0" collapsed="false">
      <c r="A229" s="9" t="s">
        <v>487</v>
      </c>
      <c r="C229" s="36" t="n">
        <f aca="false">0</f>
        <v>0</v>
      </c>
      <c r="D229" s="36" t="n">
        <f aca="false">a_syn_on*(a_syn_partner_rev_y3+a_syn_xsell_y3)*a_mcap*IF(D207=1,a_syn_ramp1,IF(D207=2,a_syn_ramp2,1))+a_syn_on*IF(D207&gt;=2,a_syn_cost,0)</f>
        <v>0</v>
      </c>
      <c r="E229" s="36" t="n">
        <f aca="false">a_syn_on*(a_syn_partner_rev_y3+a_syn_xsell_y3)*a_mcap*IF(E207=1,a_syn_ramp1,IF(E207=2,a_syn_ramp2,1))+a_syn_on*IF(E207&gt;=2,a_syn_cost,0)</f>
        <v>0</v>
      </c>
      <c r="F229" s="36" t="n">
        <f aca="false">a_syn_on*(a_syn_partner_rev_y3+a_syn_xsell_y3)*a_mcap*IF(F207=1,a_syn_ramp1,IF(F207=2,a_syn_ramp2,1))+a_syn_on*IF(F207&gt;=2,a_syn_cost,0)</f>
        <v>0</v>
      </c>
      <c r="G229" s="36" t="n">
        <f aca="false">a_syn_on*(a_syn_partner_rev_y3+a_syn_xsell_y3)*a_mcap*IF(G207=1,a_syn_ramp1,IF(G207=2,a_syn_ramp2,1))+a_syn_on*IF(G207&gt;=2,a_syn_cost,0)</f>
        <v>0</v>
      </c>
      <c r="H229" s="36" t="n">
        <f aca="false">a_syn_on*(a_syn_partner_rev_y3+a_syn_xsell_y3)*a_mcap*IF(H207=1,a_syn_ramp1,IF(H207=2,a_syn_ramp2,1))+a_syn_on*IF(H207&gt;=2,a_syn_cost,0)</f>
        <v>0</v>
      </c>
      <c r="I229" s="36" t="n">
        <f aca="false">a_syn_on*(a_syn_partner_rev_y3+a_syn_xsell_y3)*a_mcap*IF(I207=1,a_syn_ramp1,IF(I207=2,a_syn_ramp2,1))+a_syn_on*IF(I207&gt;=2,a_syn_cost,0)</f>
        <v>0</v>
      </c>
      <c r="J229" s="36" t="n">
        <f aca="false">a_syn_on*(a_syn_partner_rev_y3+a_syn_xsell_y3)*a_mcap*IF(J207=1,a_syn_ramp1,IF(J207=2,a_syn_ramp2,1))+a_syn_on*IF(J207&gt;=2,a_syn_cost,0)</f>
        <v>0</v>
      </c>
      <c r="K229" s="36" t="n">
        <f aca="false">a_syn_on*(a_syn_partner_rev_y3+a_syn_xsell_y3)*a_mcap*IF(K207=1,a_syn_ramp1,IF(K207=2,a_syn_ramp2,1))+a_syn_on*IF(K207&gt;=2,a_syn_cost,0)</f>
        <v>0</v>
      </c>
      <c r="L229" s="36" t="n">
        <f aca="false">a_syn_on*(a_syn_partner_rev_y3+a_syn_xsell_y3)*a_mcap*IF(L207=1,a_syn_ramp1,IF(L207=2,a_syn_ramp2,1))+a_syn_on*IF(L207&gt;=2,a_syn_cost,0)</f>
        <v>0</v>
      </c>
      <c r="M229" s="36" t="n">
        <f aca="false">a_syn_on*(a_syn_partner_rev_y3+a_syn_xsell_y3)*a_mcap*IF(M207=1,a_syn_ramp1,IF(M207=2,a_syn_ramp2,1))+a_syn_on*IF(M207&gt;=2,a_syn_cost,0)</f>
        <v>0</v>
      </c>
    </row>
    <row r="230" customFormat="false" ht="15" hidden="false" customHeight="false" outlineLevel="0" collapsed="false">
      <c r="A230" s="9" t="s">
        <v>488</v>
      </c>
      <c r="C230" s="36" t="n">
        <f aca="false">0</f>
        <v>0</v>
      </c>
      <c r="D230" s="36" t="n">
        <f aca="false">CHOOSE(lv_drag_mode,Capital_Drag!$B$39,Capital_Drag!$B$39*D210/cf_arr,Capital_Drag!$B$39*(1-a_tax))</f>
        <v>750</v>
      </c>
      <c r="E230" s="36" t="n">
        <f aca="false">CHOOSE(lv_drag_mode,Capital_Drag!$B$39,Capital_Drag!$B$39*E210/cf_arr,Capital_Drag!$B$39*(1-a_tax))</f>
        <v>750</v>
      </c>
      <c r="F230" s="36" t="n">
        <f aca="false">CHOOSE(lv_drag_mode,Capital_Drag!$B$39,Capital_Drag!$B$39*F210/cf_arr,Capital_Drag!$B$39*(1-a_tax))</f>
        <v>750</v>
      </c>
      <c r="G230" s="36" t="n">
        <f aca="false">CHOOSE(lv_drag_mode,Capital_Drag!$B$39,Capital_Drag!$B$39*G210/cf_arr,Capital_Drag!$B$39*(1-a_tax))</f>
        <v>750</v>
      </c>
      <c r="H230" s="36" t="n">
        <f aca="false">CHOOSE(lv_drag_mode,Capital_Drag!$B$39,Capital_Drag!$B$39*H210/cf_arr,Capital_Drag!$B$39*(1-a_tax))</f>
        <v>750</v>
      </c>
      <c r="I230" s="36" t="n">
        <f aca="false">CHOOSE(lv_drag_mode,Capital_Drag!$B$39,Capital_Drag!$B$39*I210/cf_arr,Capital_Drag!$B$39*(1-a_tax))</f>
        <v>750</v>
      </c>
      <c r="J230" s="36" t="n">
        <f aca="false">CHOOSE(lv_drag_mode,Capital_Drag!$B$39,Capital_Drag!$B$39*J210/cf_arr,Capital_Drag!$B$39*(1-a_tax))</f>
        <v>750</v>
      </c>
      <c r="K230" s="36" t="n">
        <f aca="false">CHOOSE(lv_drag_mode,Capital_Drag!$B$39,Capital_Drag!$B$39*K210/cf_arr,Capital_Drag!$B$39*(1-a_tax))</f>
        <v>750</v>
      </c>
      <c r="L230" s="36" t="n">
        <f aca="false">CHOOSE(lv_drag_mode,Capital_Drag!$B$39,Capital_Drag!$B$39*L210/cf_arr,Capital_Drag!$B$39*(1-a_tax))</f>
        <v>750</v>
      </c>
      <c r="M230" s="36" t="n">
        <f aca="false">CHOOSE(lv_drag_mode,Capital_Drag!$B$39,Capital_Drag!$B$39*M210/cf_arr,Capital_Drag!$B$39*(1-a_tax))</f>
        <v>750</v>
      </c>
    </row>
    <row r="231" customFormat="false" ht="15" hidden="false" customHeight="false" outlineLevel="0" collapsed="false">
      <c r="A231" s="9" t="s">
        <v>489</v>
      </c>
      <c r="C231" s="36" t="n">
        <f aca="false">0</f>
        <v>0</v>
      </c>
      <c r="D231" s="36" t="n">
        <f aca="false">IF(lv_drag_mode=3,Capital_Drag!$B$39*(1-a_tax),0)</f>
        <v>0</v>
      </c>
      <c r="E231" s="36" t="n">
        <f aca="false">IF(lv_drag_mode=3,Capital_Drag!$B$39*(1-a_tax),0)</f>
        <v>0</v>
      </c>
      <c r="F231" s="36" t="n">
        <f aca="false">IF(lv_drag_mode=3,Capital_Drag!$B$39*(1-a_tax),0)</f>
        <v>0</v>
      </c>
      <c r="G231" s="36" t="n">
        <f aca="false">IF(lv_drag_mode=3,Capital_Drag!$B$39*(1-a_tax),0)</f>
        <v>0</v>
      </c>
      <c r="H231" s="36" t="n">
        <f aca="false">IF(lv_drag_mode=3,Capital_Drag!$B$39*(1-a_tax),0)</f>
        <v>0</v>
      </c>
      <c r="I231" s="36" t="n">
        <f aca="false">IF(lv_drag_mode=3,Capital_Drag!$B$39*(1-a_tax),0)</f>
        <v>0</v>
      </c>
      <c r="J231" s="36" t="n">
        <f aca="false">IF(lv_drag_mode=3,Capital_Drag!$B$39*(1-a_tax),0)</f>
        <v>0</v>
      </c>
      <c r="K231" s="36" t="n">
        <f aca="false">IF(lv_drag_mode=3,Capital_Drag!$B$39*(1-a_tax),0)</f>
        <v>0</v>
      </c>
      <c r="L231" s="36" t="n">
        <f aca="false">IF(lv_drag_mode=3,Capital_Drag!$B$39*(1-a_tax),0)</f>
        <v>0</v>
      </c>
      <c r="M231" s="36" t="n">
        <f aca="false">IF(lv_drag_mode=3,Capital_Drag!$B$39*(1-a_tax),0)</f>
        <v>0</v>
      </c>
    </row>
    <row r="232" customFormat="false" ht="15" hidden="false" customHeight="false" outlineLevel="0" collapsed="false">
      <c r="A232" s="9" t="s">
        <v>490</v>
      </c>
      <c r="C232" s="36" t="n">
        <f aca="false">0</f>
        <v>0</v>
      </c>
      <c r="D232" s="36" t="n">
        <f aca="false">IF(lv_drag_mode=3,0,C232+D230)</f>
        <v>750</v>
      </c>
      <c r="E232" s="36" t="n">
        <f aca="false">IF(lv_drag_mode=3,0,D232+E230)</f>
        <v>1500</v>
      </c>
      <c r="F232" s="36" t="n">
        <f aca="false">IF(lv_drag_mode=3,0,E232+F230)</f>
        <v>2250</v>
      </c>
      <c r="G232" s="36" t="n">
        <f aca="false">IF(lv_drag_mode=3,0,F232+G230)</f>
        <v>3000</v>
      </c>
      <c r="H232" s="36" t="n">
        <f aca="false">IF(lv_drag_mode=3,0,G232+H230)</f>
        <v>3750</v>
      </c>
      <c r="I232" s="36" t="n">
        <f aca="false">IF(lv_drag_mode=3,0,H232+I230)</f>
        <v>4500</v>
      </c>
      <c r="J232" s="36" t="n">
        <f aca="false">IF(lv_drag_mode=3,0,I232+J230)</f>
        <v>5250</v>
      </c>
      <c r="K232" s="36" t="n">
        <f aca="false">IF(lv_drag_mode=3,0,J232+K230)</f>
        <v>6000</v>
      </c>
      <c r="L232" s="36" t="n">
        <f aca="false">IF(lv_drag_mode=3,0,K232+L230)</f>
        <v>6750</v>
      </c>
      <c r="M232" s="36" t="n">
        <f aca="false">IF(lv_drag_mode=3,0,L232+M230)</f>
        <v>7500</v>
      </c>
    </row>
    <row r="233" customFormat="false" ht="15" hidden="false" customHeight="false" outlineLevel="0" collapsed="false">
      <c r="A233" s="9" t="s">
        <v>491</v>
      </c>
      <c r="C233" s="36" t="n">
        <f aca="false">0</f>
        <v>0</v>
      </c>
      <c r="D233" s="36" t="n">
        <f aca="false">C232*a_yield*(1-a_tax)</f>
        <v>0</v>
      </c>
      <c r="E233" s="36" t="n">
        <f aca="false">D232*a_yield*(1-a_tax)</f>
        <v>33.75</v>
      </c>
      <c r="F233" s="36" t="n">
        <f aca="false">E232*a_yield*(1-a_tax)</f>
        <v>67.5</v>
      </c>
      <c r="G233" s="36" t="n">
        <f aca="false">F232*a_yield*(1-a_tax)</f>
        <v>101.25</v>
      </c>
      <c r="H233" s="36" t="n">
        <f aca="false">G232*a_yield*(1-a_tax)</f>
        <v>135</v>
      </c>
      <c r="I233" s="36" t="n">
        <f aca="false">H232*a_yield*(1-a_tax)</f>
        <v>168.75</v>
      </c>
      <c r="J233" s="36" t="n">
        <f aca="false">I232*a_yield*(1-a_tax)</f>
        <v>202.5</v>
      </c>
      <c r="K233" s="36" t="n">
        <f aca="false">J232*a_yield*(1-a_tax)</f>
        <v>236.25</v>
      </c>
      <c r="L233" s="36" t="n">
        <f aca="false">K232*a_yield*(1-a_tax)</f>
        <v>270</v>
      </c>
      <c r="M233" s="36" t="n">
        <f aca="false">L232*a_yield*(1-a_tax)</f>
        <v>303.75</v>
      </c>
    </row>
    <row r="234" customFormat="false" ht="15" hidden="false" customHeight="false" outlineLevel="0" collapsed="false">
      <c r="A234" s="9" t="s">
        <v>492</v>
      </c>
      <c r="C234" s="36" t="n">
        <f aca="false">cf_pat</f>
        <v>480</v>
      </c>
      <c r="D234" s="36" t="n">
        <f aca="false">cf_pat*(1+a_pat_growth)^D207</f>
        <v>480</v>
      </c>
      <c r="E234" s="36" t="n">
        <f aca="false">cf_pat*(1+a_pat_growth)^E207</f>
        <v>480</v>
      </c>
      <c r="F234" s="36" t="n">
        <f aca="false">cf_pat*(1+a_pat_growth)^F207</f>
        <v>480</v>
      </c>
      <c r="G234" s="36" t="n">
        <f aca="false">cf_pat*(1+a_pat_growth)^G207</f>
        <v>480</v>
      </c>
      <c r="H234" s="36" t="n">
        <f aca="false">cf_pat*(1+a_pat_growth)^H207</f>
        <v>480</v>
      </c>
      <c r="I234" s="36" t="n">
        <f aca="false">cf_pat*(1+a_pat_growth)^I207</f>
        <v>480</v>
      </c>
      <c r="J234" s="36" t="n">
        <f aca="false">cf_pat*(1+a_pat_growth)^J207</f>
        <v>480</v>
      </c>
      <c r="K234" s="36" t="n">
        <f aca="false">cf_pat*(1+a_pat_growth)^K207</f>
        <v>480</v>
      </c>
      <c r="L234" s="36" t="n">
        <f aca="false">cf_pat*(1+a_pat_growth)^L207</f>
        <v>480</v>
      </c>
      <c r="M234" s="36" t="n">
        <f aca="false">cf_pat*(1+a_pat_growth)^M207</f>
        <v>480</v>
      </c>
    </row>
    <row r="235" customFormat="false" ht="15" hidden="false" customHeight="false" outlineLevel="0" collapsed="false">
      <c r="A235" s="9" t="s">
        <v>493</v>
      </c>
      <c r="C235" s="36" t="n">
        <f aca="false">0</f>
        <v>0</v>
      </c>
      <c r="D235" s="36" t="n">
        <f aca="false">cf_mdr*a_mdr_flow*(1-a_tax)</f>
        <v>69</v>
      </c>
      <c r="E235" s="36" t="n">
        <f aca="false">cf_mdr*a_mdr_flow*(1-a_tax)</f>
        <v>69</v>
      </c>
      <c r="F235" s="36" t="n">
        <f aca="false">cf_mdr*a_mdr_flow*(1-a_tax)</f>
        <v>69</v>
      </c>
      <c r="G235" s="36" t="n">
        <f aca="false">cf_mdr*a_mdr_flow*(1-a_tax)</f>
        <v>69</v>
      </c>
      <c r="H235" s="36" t="n">
        <f aca="false">cf_mdr*a_mdr_flow*(1-a_tax)</f>
        <v>69</v>
      </c>
      <c r="I235" s="36" t="n">
        <f aca="false">cf_mdr*a_mdr_flow*(1-a_tax)</f>
        <v>69</v>
      </c>
      <c r="J235" s="36" t="n">
        <f aca="false">cf_mdr*a_mdr_flow*(1-a_tax)</f>
        <v>69</v>
      </c>
      <c r="K235" s="36" t="n">
        <f aca="false">cf_mdr*a_mdr_flow*(1-a_tax)</f>
        <v>69</v>
      </c>
      <c r="L235" s="36" t="n">
        <f aca="false">cf_mdr*a_mdr_flow*(1-a_tax)</f>
        <v>69</v>
      </c>
      <c r="M235" s="36" t="n">
        <f aca="false">cf_mdr*a_mdr_flow*(1-a_tax)</f>
        <v>69</v>
      </c>
    </row>
    <row r="236" customFormat="false" ht="15" hidden="false" customHeight="false" outlineLevel="0" collapsed="false">
      <c r="A236" s="9" t="s">
        <v>494</v>
      </c>
      <c r="C236" s="50" t="n">
        <f aca="false">cf_eps</f>
        <v>7.5</v>
      </c>
      <c r="D236" s="50" t="n">
        <f aca="false">D234/cf_shares</f>
        <v>7.5</v>
      </c>
      <c r="E236" s="50" t="n">
        <f aca="false">E234/cf_shares</f>
        <v>7.5</v>
      </c>
      <c r="F236" s="50" t="n">
        <f aca="false">F234/cf_shares</f>
        <v>7.5</v>
      </c>
      <c r="G236" s="50" t="n">
        <f aca="false">G234/cf_shares</f>
        <v>7.5</v>
      </c>
      <c r="H236" s="50" t="n">
        <f aca="false">H234/cf_shares</f>
        <v>7.5</v>
      </c>
      <c r="I236" s="50" t="n">
        <f aca="false">I234/cf_shares</f>
        <v>7.5</v>
      </c>
      <c r="J236" s="50" t="n">
        <f aca="false">J234/cf_shares</f>
        <v>7.5</v>
      </c>
      <c r="K236" s="50" t="n">
        <f aca="false">K234/cf_shares</f>
        <v>7.5</v>
      </c>
      <c r="L236" s="50" t="n">
        <f aca="false">L234/cf_shares</f>
        <v>7.5</v>
      </c>
      <c r="M236" s="50" t="n">
        <f aca="false">M234/cf_shares</f>
        <v>7.5</v>
      </c>
    </row>
    <row r="237" customFormat="false" ht="15" hidden="false" customHeight="false" outlineLevel="0" collapsed="false">
      <c r="A237" s="9" t="s">
        <v>495</v>
      </c>
      <c r="C237" s="50" t="n">
        <f aca="false">cf_eps</f>
        <v>7.5</v>
      </c>
      <c r="D237" s="50" t="n">
        <f aca="false">(D234+D235)/cf_shares</f>
        <v>8.578125</v>
      </c>
      <c r="E237" s="50" t="n">
        <f aca="false">(E234+E235)/cf_shares</f>
        <v>8.578125</v>
      </c>
      <c r="F237" s="50" t="n">
        <f aca="false">(F234+F235)/cf_shares</f>
        <v>8.578125</v>
      </c>
      <c r="G237" s="50" t="n">
        <f aca="false">(G234+G235)/cf_shares</f>
        <v>8.578125</v>
      </c>
      <c r="H237" s="50" t="n">
        <f aca="false">(H234+H235)/cf_shares</f>
        <v>8.578125</v>
      </c>
      <c r="I237" s="50" t="n">
        <f aca="false">(I234+I235)/cf_shares</f>
        <v>8.578125</v>
      </c>
      <c r="J237" s="50" t="n">
        <f aca="false">(J234+J235)/cf_shares</f>
        <v>8.578125</v>
      </c>
      <c r="K237" s="50" t="n">
        <f aca="false">(K234+K235)/cf_shares</f>
        <v>8.578125</v>
      </c>
      <c r="L237" s="50" t="n">
        <f aca="false">(L234+L235)/cf_shares</f>
        <v>8.578125</v>
      </c>
      <c r="M237" s="50" t="n">
        <f aca="false">(M234+M235)/cf_shares</f>
        <v>8.578125</v>
      </c>
    </row>
    <row r="238" customFormat="false" ht="15" hidden="false" customHeight="false" outlineLevel="0" collapsed="false">
      <c r="A238" s="4" t="s">
        <v>496</v>
      </c>
      <c r="C238" s="41" t="n">
        <f aca="false">-C225-C227</f>
        <v>-94.5</v>
      </c>
      <c r="D238" s="41" t="n">
        <f aca="false">D217+D229*(1-a_tax)-C225-C227-D231-D233</f>
        <v>-138.225</v>
      </c>
      <c r="E238" s="41" t="n">
        <f aca="false">E217+E229*(1-a_tax)-C225-C227-E231-E233</f>
        <v>-117.855</v>
      </c>
      <c r="F238" s="41" t="n">
        <f aca="false">F217+F229*(1-a_tax)-C225-C227-F231-F233</f>
        <v>-140.616</v>
      </c>
      <c r="G238" s="41" t="n">
        <f aca="false">G217+G229*(1-a_tax)-C225-C227-G231-G233</f>
        <v>-159.3972</v>
      </c>
      <c r="H238" s="41" t="n">
        <f aca="false">H217+H229*(1-a_tax)-C225-C227-H231-H233</f>
        <v>-173.04624</v>
      </c>
      <c r="I238" s="41" t="n">
        <f aca="false">I217+I229*(1-a_tax)-C225-C227-I231-I233</f>
        <v>-195.505488</v>
      </c>
      <c r="J238" s="41" t="n">
        <f aca="false">J217+J229*(1-a_tax)-C225-C227-J231-J233</f>
        <v>-215.7065856</v>
      </c>
      <c r="K238" s="41" t="n">
        <f aca="false">K217+K229*(1-a_tax)-C225-C227-K231-K233</f>
        <v>-233.19790272</v>
      </c>
      <c r="L238" s="41" t="n">
        <f aca="false">L217+L229*(1-a_tax)-C225-C227-L231-L233</f>
        <v>-247.437483264</v>
      </c>
      <c r="M238" s="41" t="n">
        <f aca="false">M217+M229*(1-a_tax)-C225-C227-M231-M233</f>
        <v>-257.7749799168</v>
      </c>
    </row>
    <row r="239" customFormat="false" ht="15" hidden="false" customHeight="false" outlineLevel="0" collapsed="false">
      <c r="A239" s="9" t="s">
        <v>497</v>
      </c>
      <c r="C239" s="36" t="n">
        <f aca="false">C234+C238</f>
        <v>385.5</v>
      </c>
      <c r="D239" s="36" t="n">
        <f aca="false">D234+D238</f>
        <v>341.775</v>
      </c>
      <c r="E239" s="36" t="n">
        <f aca="false">E234+E238</f>
        <v>362.145</v>
      </c>
      <c r="F239" s="36" t="n">
        <f aca="false">F234+F238</f>
        <v>339.384</v>
      </c>
      <c r="G239" s="36" t="n">
        <f aca="false">G234+G238</f>
        <v>320.6028</v>
      </c>
      <c r="H239" s="36" t="n">
        <f aca="false">H234+H238</f>
        <v>306.95376</v>
      </c>
      <c r="I239" s="36" t="n">
        <f aca="false">I234+I238</f>
        <v>284.494512</v>
      </c>
      <c r="J239" s="36" t="n">
        <f aca="false">J234+J238</f>
        <v>264.2934144</v>
      </c>
      <c r="K239" s="36" t="n">
        <f aca="false">K234+K238</f>
        <v>246.80209728</v>
      </c>
      <c r="L239" s="36" t="n">
        <f aca="false">L234+L238</f>
        <v>232.562516736</v>
      </c>
      <c r="M239" s="36" t="n">
        <f aca="false">M234+M238</f>
        <v>222.2250200832</v>
      </c>
    </row>
    <row r="240" customFormat="false" ht="15" hidden="false" customHeight="false" outlineLevel="0" collapsed="false">
      <c r="A240" s="4" t="s">
        <v>498</v>
      </c>
      <c r="C240" s="48" t="n">
        <f aca="false">C239/C224</f>
        <v>5.92858021653543</v>
      </c>
      <c r="D240" s="48" t="n">
        <f aca="false">D239/C224</f>
        <v>5.25613619586614</v>
      </c>
      <c r="E240" s="48" t="n">
        <f aca="false">E239/C224</f>
        <v>5.56940514271654</v>
      </c>
      <c r="F240" s="48" t="n">
        <f aca="false">F239/C224</f>
        <v>5.21936515748032</v>
      </c>
      <c r="G240" s="48" t="n">
        <f aca="false">G239/C224</f>
        <v>4.93053026574803</v>
      </c>
      <c r="H240" s="48" t="n">
        <f aca="false">H239/C224</f>
        <v>4.72062253937008</v>
      </c>
      <c r="I240" s="48" t="n">
        <f aca="false">I239/C224</f>
        <v>4.37522317913386</v>
      </c>
      <c r="J240" s="48" t="n">
        <f aca="false">J239/C224</f>
        <v>4.06455177165354</v>
      </c>
      <c r="K240" s="48" t="n">
        <f aca="false">K239/C224</f>
        <v>3.79555390748031</v>
      </c>
      <c r="L240" s="48" t="n">
        <f aca="false">L239/C224</f>
        <v>3.57656429527559</v>
      </c>
      <c r="M240" s="48" t="n">
        <f aca="false">M239/C224</f>
        <v>3.41758458543307</v>
      </c>
    </row>
    <row r="241" customFormat="false" ht="15" hidden="false" customHeight="false" outlineLevel="0" collapsed="false">
      <c r="A241" s="4" t="s">
        <v>499</v>
      </c>
      <c r="C241" s="14" t="n">
        <f aca="false">C240/cf_eps-1</f>
        <v>-0.209522637795276</v>
      </c>
      <c r="D241" s="14" t="n">
        <f aca="false">D240/cf_eps-1</f>
        <v>-0.299181840551181</v>
      </c>
      <c r="E241" s="14" t="n">
        <f aca="false">E240/cf_eps-1</f>
        <v>-0.257412647637795</v>
      </c>
      <c r="F241" s="14" t="n">
        <f aca="false">F240/cf_eps-1</f>
        <v>-0.304084645669291</v>
      </c>
      <c r="G241" s="14" t="n">
        <f aca="false">G240/cf_eps-1</f>
        <v>-0.342595964566929</v>
      </c>
      <c r="H241" s="14" t="n">
        <f aca="false">H240/cf_eps-1</f>
        <v>-0.370583661417323</v>
      </c>
      <c r="I241" s="14" t="n">
        <f aca="false">I240/cf_eps-1</f>
        <v>-0.416636909448819</v>
      </c>
      <c r="J241" s="14" t="n">
        <f aca="false">J240/cf_eps-1</f>
        <v>-0.458059763779528</v>
      </c>
      <c r="K241" s="14" t="n">
        <f aca="false">K240/cf_eps-1</f>
        <v>-0.493926145669291</v>
      </c>
      <c r="L241" s="14" t="n">
        <f aca="false">L240/cf_eps-1</f>
        <v>-0.523124760629921</v>
      </c>
      <c r="M241" s="14" t="n">
        <f aca="false">M240/cf_eps-1</f>
        <v>-0.544322055275591</v>
      </c>
    </row>
    <row r="242" customFormat="false" ht="15" hidden="false" customHeight="false" outlineLevel="0" collapsed="false">
      <c r="A242" s="9" t="s">
        <v>500</v>
      </c>
      <c r="C242" s="50" t="n">
        <f aca="false">C240</f>
        <v>5.92858021653543</v>
      </c>
      <c r="D242" s="50" t="n">
        <f aca="false">(D239+D235)/C224</f>
        <v>6.31728284940945</v>
      </c>
      <c r="E242" s="50" t="n">
        <f aca="false">(E239+E235)/C224</f>
        <v>6.63055179625984</v>
      </c>
      <c r="F242" s="50" t="n">
        <f aca="false">(F239+F235)/C224</f>
        <v>6.28051181102362</v>
      </c>
      <c r="G242" s="50" t="n">
        <f aca="false">(G239+G235)/C224</f>
        <v>5.99167691929134</v>
      </c>
      <c r="H242" s="50" t="n">
        <f aca="false">(H239+H235)/C224</f>
        <v>5.78176919291339</v>
      </c>
      <c r="I242" s="50" t="n">
        <f aca="false">(I239+I235)/C224</f>
        <v>5.43636983267717</v>
      </c>
      <c r="J242" s="50" t="n">
        <f aca="false">(J239+J235)/C224</f>
        <v>5.12569842519685</v>
      </c>
      <c r="K242" s="50" t="n">
        <f aca="false">(K239+K235)/C224</f>
        <v>4.85670056102362</v>
      </c>
      <c r="L242" s="50" t="n">
        <f aca="false">(L239+L235)/C224</f>
        <v>4.6377109488189</v>
      </c>
      <c r="M242" s="50" t="n">
        <f aca="false">(M239+M235)/C224</f>
        <v>4.47873123897638</v>
      </c>
    </row>
    <row r="243" customFormat="false" ht="15" hidden="false" customHeight="false" outlineLevel="0" collapsed="false">
      <c r="A243" s="9" t="s">
        <v>501</v>
      </c>
      <c r="C243" s="18" t="n">
        <f aca="false">C241</f>
        <v>-0.209522637795276</v>
      </c>
      <c r="D243" s="18" t="n">
        <f aca="false">D242/D237-1</f>
        <v>-0.263559012090702</v>
      </c>
      <c r="E243" s="18" t="n">
        <f aca="false">E242/E237-1</f>
        <v>-0.227039499160966</v>
      </c>
      <c r="F243" s="18" t="n">
        <f aca="false">F242/F237-1</f>
        <v>-0.267845617658448</v>
      </c>
      <c r="G243" s="18" t="n">
        <f aca="false">G242/G237-1</f>
        <v>-0.301516716148186</v>
      </c>
      <c r="H243" s="18" t="n">
        <f aca="false">H242/H237-1</f>
        <v>-0.325986833613012</v>
      </c>
      <c r="I243" s="18" t="n">
        <f aca="false">I242/I237-1</f>
        <v>-0.366251968503937</v>
      </c>
      <c r="J243" s="18" t="n">
        <f aca="false">J242/J237-1</f>
        <v>-0.402468671743901</v>
      </c>
      <c r="K243" s="18" t="n">
        <f aca="false">K242/K237-1</f>
        <v>-0.433827257002711</v>
      </c>
      <c r="L243" s="18" t="n">
        <f aca="false">L242/L237-1</f>
        <v>-0.459356100684136</v>
      </c>
      <c r="M243" s="18" t="n">
        <f aca="false">M242/M237-1</f>
        <v>-0.477889254472699</v>
      </c>
    </row>
    <row r="244" customFormat="false" ht="15" hidden="false" customHeight="false" outlineLevel="0" collapsed="false">
      <c r="A244" s="9" t="s">
        <v>502</v>
      </c>
      <c r="C244" s="50" t="n">
        <f aca="false">(C239+C227)/C224</f>
        <v>5.92858021653543</v>
      </c>
      <c r="D244" s="50" t="n">
        <f aca="false">(D239+C227)/C224</f>
        <v>5.25613619586614</v>
      </c>
      <c r="E244" s="50" t="n">
        <f aca="false">(E239+C227)/C224</f>
        <v>5.56940514271654</v>
      </c>
      <c r="F244" s="50" t="n">
        <f aca="false">(F239+C227)/C224</f>
        <v>5.21936515748032</v>
      </c>
      <c r="G244" s="50" t="n">
        <f aca="false">(G239+C227)/C224</f>
        <v>4.93053026574803</v>
      </c>
      <c r="H244" s="50" t="n">
        <f aca="false">(H239+C227)/C224</f>
        <v>4.72062253937008</v>
      </c>
      <c r="I244" s="50" t="n">
        <f aca="false">(I239+C227)/C224</f>
        <v>4.37522317913386</v>
      </c>
      <c r="J244" s="50" t="n">
        <f aca="false">(J239+C227)/C224</f>
        <v>4.06455177165354</v>
      </c>
      <c r="K244" s="50" t="n">
        <f aca="false">(K239+C227)/C224</f>
        <v>3.79555390748031</v>
      </c>
      <c r="L244" s="50" t="n">
        <f aca="false">(L239+C227)/C224</f>
        <v>3.57656429527559</v>
      </c>
      <c r="M244" s="50" t="n">
        <f aca="false">(M239+C227)/C224</f>
        <v>3.41758458543307</v>
      </c>
    </row>
    <row r="245" customFormat="false" ht="15" hidden="false" customHeight="false" outlineLevel="0" collapsed="false">
      <c r="A245" s="9" t="s">
        <v>503</v>
      </c>
      <c r="C245" s="50" t="n">
        <f aca="false">(C239-C226+C227)/C224</f>
        <v>4.48680487204724</v>
      </c>
      <c r="D245" s="50" t="n">
        <f aca="false">(D239-C226+C227)/C224</f>
        <v>3.81436085137795</v>
      </c>
      <c r="E245" s="50" t="n">
        <f aca="false">(E239-C226+C227)/C224</f>
        <v>4.12762979822835</v>
      </c>
      <c r="F245" s="50" t="n">
        <f aca="false">(F239-C226+C227)/C224</f>
        <v>3.77758981299213</v>
      </c>
      <c r="G245" s="50" t="n">
        <f aca="false">(G239-C226+C227)/C224</f>
        <v>3.48875492125984</v>
      </c>
      <c r="H245" s="50" t="n">
        <f aca="false">(H239-C226+C227)/C224</f>
        <v>3.27884719488189</v>
      </c>
      <c r="I245" s="50" t="n">
        <f aca="false">(I239-C226+C227)/C224</f>
        <v>2.93344783464567</v>
      </c>
      <c r="J245" s="50" t="n">
        <f aca="false">(J239-C226+C227)/C224</f>
        <v>2.62277642716535</v>
      </c>
      <c r="K245" s="50" t="n">
        <f aca="false">(K239-C226+C227)/C224</f>
        <v>2.35377856299213</v>
      </c>
      <c r="L245" s="50" t="n">
        <f aca="false">(L239-C226+C227)/C224</f>
        <v>2.1347889507874</v>
      </c>
      <c r="M245" s="50" t="n">
        <f aca="false">(M239-C226+C227)/C224</f>
        <v>1.97580924094488</v>
      </c>
    </row>
    <row r="246" customFormat="false" ht="15" hidden="false" customHeight="false" outlineLevel="0" collapsed="false">
      <c r="A246" s="9" t="s">
        <v>504</v>
      </c>
      <c r="C246" s="50" t="n">
        <f aca="false">C234/C224</f>
        <v>7.38188976377953</v>
      </c>
      <c r="D246" s="50" t="n">
        <f aca="false">D234/C224</f>
        <v>7.38188976377953</v>
      </c>
      <c r="E246" s="50" t="n">
        <f aca="false">E234/C224</f>
        <v>7.38188976377953</v>
      </c>
      <c r="F246" s="50" t="n">
        <f aca="false">F234/C224</f>
        <v>7.38188976377953</v>
      </c>
      <c r="G246" s="50" t="n">
        <f aca="false">G234/C224</f>
        <v>7.38188976377953</v>
      </c>
      <c r="H246" s="50" t="n">
        <f aca="false">H234/C224</f>
        <v>7.38188976377953</v>
      </c>
      <c r="I246" s="50" t="n">
        <f aca="false">I234/C224</f>
        <v>7.38188976377953</v>
      </c>
      <c r="J246" s="50" t="n">
        <f aca="false">J234/C224</f>
        <v>7.38188976377953</v>
      </c>
      <c r="K246" s="50" t="n">
        <f aca="false">K234/C224</f>
        <v>7.38188976377953</v>
      </c>
      <c r="L246" s="50" t="n">
        <f aca="false">L234/C224</f>
        <v>7.38188976377953</v>
      </c>
      <c r="M246" s="50" t="n">
        <f aca="false">M234/C224</f>
        <v>7.38188976377953</v>
      </c>
    </row>
    <row r="247" customFormat="false" ht="15" hidden="false" customHeight="false" outlineLevel="0" collapsed="false">
      <c r="A247" s="9" t="s">
        <v>505</v>
      </c>
      <c r="D247" s="36" t="n">
        <f aca="false">D220+D229*(1-a_tax)-D230-IF(D207=1,C228,0)</f>
        <v>-950.975</v>
      </c>
      <c r="E247" s="36" t="n">
        <f aca="false">E220+E229*(1-a_tax)-E230-IF(E207=1,C228,0)</f>
        <v>-741.255</v>
      </c>
      <c r="F247" s="36" t="n">
        <f aca="false">F220+F229*(1-a_tax)-F230-IF(F207=1,C228,0)</f>
        <v>-730.596</v>
      </c>
      <c r="G247" s="36" t="n">
        <f aca="false">G220+G229*(1-a_tax)-G230-IF(G207=1,C228,0)</f>
        <v>-716.0232</v>
      </c>
      <c r="H247" s="36" t="n">
        <f aca="false">H220+H229*(1-a_tax)-H230-IF(H207=1,C228,0)</f>
        <v>-696.39744</v>
      </c>
      <c r="I247" s="36" t="n">
        <f aca="false">I220+I229*(1-a_tax)-I230-IF(I207=1,C228,0)</f>
        <v>-685.676928</v>
      </c>
      <c r="J247" s="36" t="n">
        <f aca="false">J220+J229*(1-a_tax)-J230-IF(J207=1,C228,0)</f>
        <v>-672.8123136</v>
      </c>
      <c r="K247" s="36" t="n">
        <f aca="false">K220+K229*(1-a_tax)-K230-IF(K207=1,C228,0)</f>
        <v>-657.37477632</v>
      </c>
      <c r="L247" s="36" t="n">
        <f aca="false">L220+L229*(1-a_tax)-L230-IF(L207=1,C228,0)</f>
        <v>-638.849731584</v>
      </c>
      <c r="M247" s="36" t="n">
        <f aca="false">M220+M229*(1-a_tax)-M230-IF(M207=1,C228,0)</f>
        <v>-616.6196779008</v>
      </c>
    </row>
    <row r="248" customFormat="false" ht="15" hidden="false" customHeight="false" outlineLevel="0" collapsed="false">
      <c r="A248" s="4" t="s">
        <v>506</v>
      </c>
      <c r="D248" s="41" t="n">
        <f aca="false">D247-C225</f>
        <v>-1045.475</v>
      </c>
      <c r="E248" s="41" t="n">
        <f aca="false">E247-C225</f>
        <v>-835.755</v>
      </c>
      <c r="F248" s="41" t="n">
        <f aca="false">F247-C225</f>
        <v>-825.096</v>
      </c>
      <c r="G248" s="41" t="n">
        <f aca="false">G247-C225</f>
        <v>-810.5232</v>
      </c>
      <c r="H248" s="41" t="n">
        <f aca="false">H247-C225</f>
        <v>-790.89744</v>
      </c>
      <c r="I248" s="41" t="n">
        <f aca="false">I247-C225</f>
        <v>-780.176928</v>
      </c>
      <c r="J248" s="41" t="n">
        <f aca="false">J247-C225</f>
        <v>-767.3123136</v>
      </c>
      <c r="K248" s="41" t="n">
        <f aca="false">K247-C225</f>
        <v>-751.87477632</v>
      </c>
      <c r="L248" s="41" t="n">
        <f aca="false">L247-C225</f>
        <v>-733.349731584</v>
      </c>
      <c r="M248" s="41" t="n">
        <f aca="false">M247-C225</f>
        <v>-711.1196779008</v>
      </c>
    </row>
    <row r="249" customFormat="false" ht="15" hidden="false" customHeight="false" outlineLevel="0" collapsed="false">
      <c r="A249" s="9" t="s">
        <v>507</v>
      </c>
      <c r="C249" s="36" t="n">
        <f aca="false">0</f>
        <v>0</v>
      </c>
      <c r="D249" s="36" t="n">
        <f aca="false">D235</f>
        <v>69</v>
      </c>
      <c r="E249" s="36" t="n">
        <f aca="false">E235</f>
        <v>69</v>
      </c>
      <c r="F249" s="36" t="n">
        <f aca="false">F235</f>
        <v>69</v>
      </c>
      <c r="G249" s="36" t="n">
        <f aca="false">G235</f>
        <v>69</v>
      </c>
      <c r="H249" s="36" t="n">
        <f aca="false">H235</f>
        <v>69</v>
      </c>
      <c r="I249" s="36" t="n">
        <f aca="false">I235</f>
        <v>69</v>
      </c>
      <c r="J249" s="36" t="n">
        <f aca="false">J235</f>
        <v>69</v>
      </c>
      <c r="K249" s="36" t="n">
        <f aca="false">K235</f>
        <v>69</v>
      </c>
      <c r="L249" s="36" t="n">
        <f aca="false">L235</f>
        <v>69</v>
      </c>
      <c r="M249" s="36" t="n">
        <f aca="false">M235</f>
        <v>69</v>
      </c>
    </row>
    <row r="250" customFormat="false" ht="15" hidden="false" customHeight="false" outlineLevel="0" collapsed="false">
      <c r="A250" s="9" t="s">
        <v>508</v>
      </c>
      <c r="D250" s="36" t="n">
        <f aca="false">D248+D249</f>
        <v>-976.475</v>
      </c>
      <c r="E250" s="36" t="n">
        <f aca="false">E248+E249</f>
        <v>-766.755</v>
      </c>
      <c r="F250" s="36" t="n">
        <f aca="false">F248+F249</f>
        <v>-756.096</v>
      </c>
      <c r="G250" s="36" t="n">
        <f aca="false">G248+G249</f>
        <v>-741.5232</v>
      </c>
      <c r="H250" s="36" t="n">
        <f aca="false">H248+H249</f>
        <v>-721.89744</v>
      </c>
      <c r="I250" s="36" t="n">
        <f aca="false">I248+I249</f>
        <v>-711.176928</v>
      </c>
      <c r="J250" s="36" t="n">
        <f aca="false">J248+J249</f>
        <v>-698.3123136</v>
      </c>
      <c r="K250" s="36" t="n">
        <f aca="false">K248+K249</f>
        <v>-682.87477632</v>
      </c>
      <c r="L250" s="36" t="n">
        <f aca="false">L248+L249</f>
        <v>-664.349731584</v>
      </c>
      <c r="M250" s="36" t="n">
        <f aca="false">M248+M249</f>
        <v>-642.1196779008</v>
      </c>
    </row>
    <row r="251" customFormat="false" ht="15" hidden="false" customHeight="false" outlineLevel="0" collapsed="false">
      <c r="A251" s="9" t="s">
        <v>509</v>
      </c>
      <c r="D251" s="36" t="n">
        <f aca="false">IF(lv_mdr_in_deal=1,D250,D248)</f>
        <v>-1045.475</v>
      </c>
      <c r="E251" s="36" t="n">
        <f aca="false">IF(lv_mdr_in_deal=1,E250,E248)</f>
        <v>-835.755</v>
      </c>
      <c r="F251" s="36" t="n">
        <f aca="false">IF(lv_mdr_in_deal=1,F250,F248)</f>
        <v>-825.096</v>
      </c>
      <c r="G251" s="36" t="n">
        <f aca="false">IF(lv_mdr_in_deal=1,G250,G248)</f>
        <v>-810.5232</v>
      </c>
      <c r="H251" s="36" t="n">
        <f aca="false">IF(lv_mdr_in_deal=1,H250,H248)</f>
        <v>-790.89744</v>
      </c>
      <c r="I251" s="36" t="n">
        <f aca="false">IF(lv_mdr_in_deal=1,I250,I248)</f>
        <v>-780.176928</v>
      </c>
      <c r="J251" s="36" t="n">
        <f aca="false">IF(lv_mdr_in_deal=1,J250,J248)</f>
        <v>-767.3123136</v>
      </c>
      <c r="K251" s="36" t="n">
        <f aca="false">IF(lv_mdr_in_deal=1,K250,K248)</f>
        <v>-751.87477632</v>
      </c>
      <c r="L251" s="36" t="n">
        <f aca="false">IF(lv_mdr_in_deal=1,L250,L248)</f>
        <v>-733.349731584</v>
      </c>
      <c r="M251" s="36" t="n">
        <f aca="false">IF(lv_mdr_in_deal=1,M250,M248)</f>
        <v>-711.1196779008</v>
      </c>
    </row>
    <row r="252" customFormat="false" ht="15" hidden="false" customHeight="false" outlineLevel="0" collapsed="false">
      <c r="A252" s="9" t="s">
        <v>510</v>
      </c>
      <c r="C252" s="36" t="n">
        <f aca="false">-lv_price</f>
        <v>-4000</v>
      </c>
      <c r="D252" s="36" t="n">
        <f aca="false">C252+D251</f>
        <v>-5045.475</v>
      </c>
      <c r="E252" s="36" t="n">
        <f aca="false">D252+E251</f>
        <v>-5881.23</v>
      </c>
      <c r="F252" s="36" t="n">
        <f aca="false">E252+F251</f>
        <v>-6706.326</v>
      </c>
      <c r="G252" s="36" t="n">
        <f aca="false">F252+G251</f>
        <v>-7516.8492</v>
      </c>
      <c r="H252" s="36" t="n">
        <f aca="false">G252+H251</f>
        <v>-8307.74664</v>
      </c>
      <c r="I252" s="36" t="n">
        <f aca="false">H252+I251</f>
        <v>-9087.923568</v>
      </c>
      <c r="J252" s="36" t="n">
        <f aca="false">I252+J251</f>
        <v>-9855.2358816</v>
      </c>
      <c r="K252" s="36" t="n">
        <f aca="false">J252+K251</f>
        <v>-10607.11065792</v>
      </c>
      <c r="L252" s="36" t="n">
        <f aca="false">K252+L251</f>
        <v>-11340.460389504</v>
      </c>
      <c r="M252" s="36" t="n">
        <f aca="false">L252+M251</f>
        <v>-12051.5800674048</v>
      </c>
    </row>
    <row r="253" customFormat="false" ht="15" hidden="false" customHeight="false" outlineLevel="0" collapsed="false">
      <c r="A253" s="9" t="s">
        <v>511</v>
      </c>
      <c r="C253" s="43" t="n">
        <f aca="false">1</f>
        <v>1</v>
      </c>
      <c r="D253" s="43" t="n">
        <f aca="false">1/(1+lv_wacc)^D207</f>
        <v>0.884955752212389</v>
      </c>
      <c r="E253" s="43" t="n">
        <f aca="false">1/(1+lv_wacc)^E207</f>
        <v>0.783146683373796</v>
      </c>
      <c r="F253" s="43" t="n">
        <f aca="false">1/(1+lv_wacc)^F207</f>
        <v>0.693050162277696</v>
      </c>
      <c r="G253" s="43" t="n">
        <f aca="false">1/(1+lv_wacc)^G207</f>
        <v>0.613318727679377</v>
      </c>
      <c r="H253" s="43" t="n">
        <f aca="false">1/(1+lv_wacc)^H207</f>
        <v>0.542759935999449</v>
      </c>
      <c r="I253" s="43" t="n">
        <f aca="false">1/(1+lv_wacc)^I207</f>
        <v>0.48031852743314</v>
      </c>
      <c r="J253" s="43" t="n">
        <f aca="false">1/(1+lv_wacc)^J207</f>
        <v>0.425060643746142</v>
      </c>
      <c r="K253" s="43" t="n">
        <f aca="false">1/(1+lv_wacc)^K207</f>
        <v>0.37615986172225</v>
      </c>
      <c r="L253" s="43" t="n">
        <f aca="false">1/(1+lv_wacc)^L207</f>
        <v>0.332884833382522</v>
      </c>
      <c r="M253" s="43" t="n">
        <f aca="false">1/(1+lv_wacc)^M207</f>
        <v>0.294588348126126</v>
      </c>
    </row>
    <row r="254" customFormat="false" ht="15" hidden="false" customHeight="false" outlineLevel="0" collapsed="false">
      <c r="A254" s="9" t="s">
        <v>512</v>
      </c>
      <c r="C254" s="46" t="n">
        <f aca="false">99</f>
        <v>99</v>
      </c>
      <c r="D254" s="46" t="n">
        <f aca="false">IF(D238&gt;=0,D207,99)</f>
        <v>99</v>
      </c>
      <c r="E254" s="46" t="n">
        <f aca="false">IF(E238&gt;=0,E207,99)</f>
        <v>99</v>
      </c>
      <c r="F254" s="46" t="n">
        <f aca="false">IF(F238&gt;=0,F207,99)</f>
        <v>99</v>
      </c>
      <c r="G254" s="46" t="n">
        <f aca="false">IF(G238&gt;=0,G207,99)</f>
        <v>99</v>
      </c>
      <c r="H254" s="46" t="n">
        <f aca="false">IF(H238&gt;=0,H207,99)</f>
        <v>99</v>
      </c>
      <c r="I254" s="46" t="n">
        <f aca="false">IF(I238&gt;=0,I207,99)</f>
        <v>99</v>
      </c>
      <c r="J254" s="46" t="n">
        <f aca="false">IF(J238&gt;=0,J207,99)</f>
        <v>99</v>
      </c>
      <c r="K254" s="46" t="n">
        <f aca="false">IF(K238&gt;=0,K207,99)</f>
        <v>99</v>
      </c>
      <c r="L254" s="46" t="n">
        <f aca="false">IF(L238&gt;=0,L207,99)</f>
        <v>99</v>
      </c>
      <c r="M254" s="46" t="n">
        <f aca="false">IF(M238&gt;=0,M207,99)</f>
        <v>99</v>
      </c>
    </row>
    <row r="255" customFormat="false" ht="15" hidden="false" customHeight="false" outlineLevel="0" collapsed="false">
      <c r="A255" s="9" t="s">
        <v>513</v>
      </c>
      <c r="C255" s="46" t="n">
        <f aca="false">99</f>
        <v>99</v>
      </c>
      <c r="D255" s="46" t="n">
        <f aca="false">IF(D238+D235&gt;=0,D207,99)</f>
        <v>99</v>
      </c>
      <c r="E255" s="46" t="n">
        <f aca="false">IF(E238+E235&gt;=0,E207,99)</f>
        <v>99</v>
      </c>
      <c r="F255" s="46" t="n">
        <f aca="false">IF(F238+F235&gt;=0,F207,99)</f>
        <v>99</v>
      </c>
      <c r="G255" s="46" t="n">
        <f aca="false">IF(G238+G235&gt;=0,G207,99)</f>
        <v>99</v>
      </c>
      <c r="H255" s="46" t="n">
        <f aca="false">IF(H238+H235&gt;=0,H207,99)</f>
        <v>99</v>
      </c>
      <c r="I255" s="46" t="n">
        <f aca="false">IF(I238+I235&gt;=0,I207,99)</f>
        <v>99</v>
      </c>
      <c r="J255" s="46" t="n">
        <f aca="false">IF(J238+J235&gt;=0,J207,99)</f>
        <v>99</v>
      </c>
      <c r="K255" s="46" t="n">
        <f aca="false">IF(K238+K235&gt;=0,K207,99)</f>
        <v>99</v>
      </c>
      <c r="L255" s="46" t="n">
        <f aca="false">IF(L238+L235&gt;=0,L207,99)</f>
        <v>99</v>
      </c>
      <c r="M255" s="46" t="n">
        <f aca="false">IF(M238+M235&gt;=0,M207,99)</f>
        <v>99</v>
      </c>
    </row>
    <row r="256" customFormat="false" ht="15" hidden="false" customHeight="false" outlineLevel="0" collapsed="false">
      <c r="A256" s="9" t="s">
        <v>514</v>
      </c>
      <c r="C256" s="46" t="n">
        <f aca="false">99</f>
        <v>99</v>
      </c>
      <c r="D256" s="46" t="n">
        <f aca="false">IF(D248&gt;=0,D207,99)</f>
        <v>99</v>
      </c>
      <c r="E256" s="46" t="n">
        <f aca="false">IF(E248&gt;=0,E207,99)</f>
        <v>99</v>
      </c>
      <c r="F256" s="46" t="n">
        <f aca="false">IF(F248&gt;=0,F207,99)</f>
        <v>99</v>
      </c>
      <c r="G256" s="46" t="n">
        <f aca="false">IF(G248&gt;=0,G207,99)</f>
        <v>99</v>
      </c>
      <c r="H256" s="46" t="n">
        <f aca="false">IF(H248&gt;=0,H207,99)</f>
        <v>99</v>
      </c>
      <c r="I256" s="46" t="n">
        <f aca="false">IF(I248&gt;=0,I207,99)</f>
        <v>99</v>
      </c>
      <c r="J256" s="46" t="n">
        <f aca="false">IF(J248&gt;=0,J207,99)</f>
        <v>99</v>
      </c>
      <c r="K256" s="46" t="n">
        <f aca="false">IF(K248&gt;=0,K207,99)</f>
        <v>99</v>
      </c>
      <c r="L256" s="46" t="n">
        <f aca="false">IF(L248&gt;=0,L207,99)</f>
        <v>99</v>
      </c>
      <c r="M256" s="46" t="n">
        <f aca="false">IF(M248&gt;=0,M207,99)</f>
        <v>99</v>
      </c>
    </row>
    <row r="257" customFormat="false" ht="15" hidden="false" customHeight="false" outlineLevel="0" collapsed="false">
      <c r="A257" s="9" t="s">
        <v>515</v>
      </c>
      <c r="C257" s="46" t="n">
        <f aca="false">99</f>
        <v>99</v>
      </c>
      <c r="D257" s="46" t="n">
        <f aca="false">IF(D250&gt;=0,D207,99)</f>
        <v>99</v>
      </c>
      <c r="E257" s="46" t="n">
        <f aca="false">IF(E250&gt;=0,E207,99)</f>
        <v>99</v>
      </c>
      <c r="F257" s="46" t="n">
        <f aca="false">IF(F250&gt;=0,F207,99)</f>
        <v>99</v>
      </c>
      <c r="G257" s="46" t="n">
        <f aca="false">IF(G250&gt;=0,G207,99)</f>
        <v>99</v>
      </c>
      <c r="H257" s="46" t="n">
        <f aca="false">IF(H250&gt;=0,H207,99)</f>
        <v>99</v>
      </c>
      <c r="I257" s="46" t="n">
        <f aca="false">IF(I250&gt;=0,I207,99)</f>
        <v>99</v>
      </c>
      <c r="J257" s="46" t="n">
        <f aca="false">IF(J250&gt;=0,J207,99)</f>
        <v>99</v>
      </c>
      <c r="K257" s="46" t="n">
        <f aca="false">IF(K250&gt;=0,K207,99)</f>
        <v>99</v>
      </c>
      <c r="L257" s="46" t="n">
        <f aca="false">IF(L250&gt;=0,L207,99)</f>
        <v>99</v>
      </c>
      <c r="M257" s="46" t="n">
        <f aca="false">IF(M250&gt;=0,M207,99)</f>
        <v>99</v>
      </c>
    </row>
    <row r="258" customFormat="false" ht="15" hidden="false" customHeight="false" outlineLevel="0" collapsed="false">
      <c r="A258" s="9" t="s">
        <v>516</v>
      </c>
      <c r="C258" s="46" t="n">
        <f aca="false">99</f>
        <v>99</v>
      </c>
      <c r="D258" s="46" t="n">
        <f aca="false">IF(D252&gt;=0,D207,99)</f>
        <v>99</v>
      </c>
      <c r="E258" s="46" t="n">
        <f aca="false">IF(E252&gt;=0,E207,99)</f>
        <v>99</v>
      </c>
      <c r="F258" s="46" t="n">
        <f aca="false">IF(F252&gt;=0,F207,99)</f>
        <v>99</v>
      </c>
      <c r="G258" s="46" t="n">
        <f aca="false">IF(G252&gt;=0,G207,99)</f>
        <v>99</v>
      </c>
      <c r="H258" s="46" t="n">
        <f aca="false">IF(H252&gt;=0,H207,99)</f>
        <v>99</v>
      </c>
      <c r="I258" s="46" t="n">
        <f aca="false">IF(I252&gt;=0,I207,99)</f>
        <v>99</v>
      </c>
      <c r="J258" s="46" t="n">
        <f aca="false">IF(J252&gt;=0,J207,99)</f>
        <v>99</v>
      </c>
      <c r="K258" s="46" t="n">
        <f aca="false">IF(K252&gt;=0,K207,99)</f>
        <v>99</v>
      </c>
      <c r="L258" s="46" t="n">
        <f aca="false">IF(L252&gt;=0,L207,99)</f>
        <v>99</v>
      </c>
      <c r="M258" s="46" t="n">
        <f aca="false">IF(M252&gt;=0,M207,99)</f>
        <v>99</v>
      </c>
    </row>
    <row r="259" customFormat="false" ht="15" hidden="false" customHeight="false" outlineLevel="0" collapsed="false">
      <c r="A259" s="4" t="s">
        <v>517</v>
      </c>
      <c r="C259" s="23" t="n">
        <f aca="false">MIN(D254:M254)</f>
        <v>99</v>
      </c>
    </row>
    <row r="260" customFormat="false" ht="15" hidden="false" customHeight="false" outlineLevel="0" collapsed="false">
      <c r="A260" s="9" t="s">
        <v>518</v>
      </c>
      <c r="C260" s="46" t="n">
        <f aca="false">MIN(D255:M255)</f>
        <v>99</v>
      </c>
    </row>
    <row r="261" customFormat="false" ht="15" hidden="false" customHeight="false" outlineLevel="0" collapsed="false">
      <c r="A261" s="4" t="s">
        <v>519</v>
      </c>
      <c r="C261" s="23" t="n">
        <f aca="false">MIN(D256:M256)</f>
        <v>99</v>
      </c>
    </row>
    <row r="262" customFormat="false" ht="15" hidden="false" customHeight="false" outlineLevel="0" collapsed="false">
      <c r="A262" s="9" t="s">
        <v>520</v>
      </c>
      <c r="C262" s="46" t="n">
        <f aca="false">MIN(D257:M257)</f>
        <v>99</v>
      </c>
    </row>
    <row r="263" customFormat="false" ht="15" hidden="false" customHeight="false" outlineLevel="0" collapsed="false">
      <c r="A263" s="9" t="s">
        <v>521</v>
      </c>
      <c r="C263" s="46" t="n">
        <f aca="false">MIN(D258:M258)</f>
        <v>99</v>
      </c>
    </row>
    <row r="264" customFormat="false" ht="15" hidden="false" customHeight="false" outlineLevel="0" collapsed="false">
      <c r="A264" s="4" t="s">
        <v>522</v>
      </c>
      <c r="C264" s="15" t="n">
        <f aca="false">M252</f>
        <v>-12051.5800674048</v>
      </c>
    </row>
    <row r="265" customFormat="false" ht="15" hidden="false" customHeight="false" outlineLevel="0" collapsed="false">
      <c r="A265" s="9" t="s">
        <v>523</v>
      </c>
      <c r="C265" s="36" t="n">
        <f aca="false">SUMPRODUCT(D220:M220,D253:M253)</f>
        <v>208.806860496414</v>
      </c>
    </row>
    <row r="266" customFormat="false" ht="15" hidden="false" customHeight="false" outlineLevel="0" collapsed="false">
      <c r="A266" s="9" t="s">
        <v>524</v>
      </c>
      <c r="C266" s="36" t="n">
        <f aca="false">M220*(1+a_tg)/(lv_wacc-a_tg)</f>
        <v>1750.616727552</v>
      </c>
    </row>
    <row r="267" customFormat="false" ht="15" hidden="false" customHeight="false" outlineLevel="0" collapsed="false">
      <c r="A267" s="9" t="s">
        <v>314</v>
      </c>
      <c r="C267" s="36" t="n">
        <f aca="false">C266*M253</f>
        <v>515.711289971507</v>
      </c>
    </row>
    <row r="268" customFormat="false" ht="15" hidden="false" customHeight="false" outlineLevel="0" collapsed="false">
      <c r="A268" s="4" t="s">
        <v>525</v>
      </c>
      <c r="C268" s="15" t="n">
        <f aca="false">C265+C267</f>
        <v>724.518150467921</v>
      </c>
    </row>
    <row r="269" customFormat="false" ht="15" hidden="false" customHeight="false" outlineLevel="0" collapsed="false">
      <c r="A269" s="9" t="s">
        <v>526</v>
      </c>
      <c r="C269" s="32" t="n">
        <f aca="false">SUMPRODUCT(D230:M230,D253:M253)-a_recovery*M232*M253</f>
        <v>4069.68260696466</v>
      </c>
    </row>
    <row r="270" customFormat="false" ht="15" hidden="false" customHeight="false" outlineLevel="0" collapsed="false">
      <c r="A270" s="9" t="s">
        <v>527</v>
      </c>
      <c r="C270" s="36" t="n">
        <f aca="false">SUMPRODUCT(D229:M229,D253:M253)*(1-a_tax)</f>
        <v>0</v>
      </c>
    </row>
    <row r="271" customFormat="false" ht="15" hidden="false" customHeight="false" outlineLevel="0" collapsed="false">
      <c r="A271" s="9" t="s">
        <v>528</v>
      </c>
      <c r="C271" s="36" t="n">
        <f aca="false">C228*D253</f>
        <v>141.592920353982</v>
      </c>
    </row>
    <row r="272" customFormat="false" ht="15" hidden="false" customHeight="false" outlineLevel="0" collapsed="false">
      <c r="A272" s="4" t="s">
        <v>529</v>
      </c>
      <c r="C272" s="20" t="n">
        <f aca="false">C268+C270-C269-C271-lv_price</f>
        <v>-7486.75737685072</v>
      </c>
    </row>
    <row r="273" customFormat="false" ht="15" hidden="false" customHeight="false" outlineLevel="0" collapsed="false">
      <c r="A273" s="9" t="s">
        <v>530</v>
      </c>
      <c r="C273" s="32" t="n">
        <f aca="false">C272+SUMPRODUCT(D249:M249,D253:M253)</f>
        <v>-7112.34657700998</v>
      </c>
    </row>
    <row r="274" customFormat="false" ht="15" hidden="false" customHeight="false" outlineLevel="0" collapsed="false">
      <c r="A274" s="4" t="s">
        <v>531</v>
      </c>
      <c r="C274" s="59" t="n">
        <f aca="false">lv_price/D210</f>
        <v>24.2424242424242</v>
      </c>
    </row>
    <row r="275" customFormat="false" ht="15" hidden="false" customHeight="false" outlineLevel="0" collapsed="false">
      <c r="A275" s="9" t="s">
        <v>532</v>
      </c>
      <c r="C275" s="17" t="n">
        <f aca="false">(lv_price+C269)/D210</f>
        <v>48.9071673149374</v>
      </c>
    </row>
    <row r="276" customFormat="false" ht="15" hidden="false" customHeight="false" outlineLevel="0" collapsed="false">
      <c r="A276" s="4" t="s">
        <v>533</v>
      </c>
      <c r="C276" s="15" t="n">
        <f aca="false">(C272+C269)/SUMPRODUCT(D253:M253)</f>
        <v>-629.731191574665</v>
      </c>
    </row>
    <row r="277" customFormat="false" ht="15" hidden="false" customHeight="false" outlineLevel="0" collapsed="false">
      <c r="A277" s="4" t="s">
        <v>534</v>
      </c>
      <c r="C277" s="25" t="n">
        <f aca="false">D240</f>
        <v>5.25613619586614</v>
      </c>
    </row>
    <row r="278" customFormat="false" ht="15" hidden="false" customHeight="false" outlineLevel="0" collapsed="false">
      <c r="A278" s="9" t="s">
        <v>535</v>
      </c>
      <c r="C278" s="50" t="n">
        <f aca="false">F240</f>
        <v>5.21936515748032</v>
      </c>
    </row>
    <row r="279" customFormat="false" ht="15" hidden="false" customHeight="false" outlineLevel="0" collapsed="false">
      <c r="A279" s="4" t="s">
        <v>536</v>
      </c>
      <c r="C279" s="20" t="n">
        <f aca="false">D248</f>
        <v>-1045.475</v>
      </c>
    </row>
    <row r="280" customFormat="false" ht="15" hidden="false" customHeight="false" outlineLevel="0" collapsed="false">
      <c r="A280" s="9" t="s">
        <v>537</v>
      </c>
      <c r="C280" s="32" t="n">
        <f aca="false">cf_cash-lv_mix_cash-C228</f>
        <v>6640</v>
      </c>
    </row>
    <row r="281" customFormat="false" ht="15" hidden="false" customHeight="false" outlineLevel="0" collapsed="false">
      <c r="A281" s="9" t="s">
        <v>538</v>
      </c>
      <c r="C281" s="32" t="n">
        <f aca="false">cf_debt+lv_mix_debt</f>
        <v>350</v>
      </c>
    </row>
    <row r="282" customFormat="false" ht="15" hidden="false" customHeight="false" outlineLevel="0" collapsed="false">
      <c r="A282" s="9" t="s">
        <v>539</v>
      </c>
      <c r="C282" s="34" t="n">
        <f aca="false">C281/cf_ebitda</f>
        <v>0.546875</v>
      </c>
    </row>
    <row r="283" customFormat="false" ht="15" hidden="false" customHeight="false" outlineLevel="0" collapsed="false">
      <c r="A283" s="9" t="s">
        <v>540</v>
      </c>
      <c r="C283" s="32" t="n">
        <f aca="false">C280+SUM(D251:F251)+3*cf_pat</f>
        <v>5373.674</v>
      </c>
    </row>
    <row r="285" customFormat="false" ht="15" hidden="false" customHeight="false" outlineLevel="0" collapsed="false">
      <c r="A285" s="7" t="s">
        <v>598</v>
      </c>
      <c r="B285" s="8"/>
      <c r="C285" s="8"/>
      <c r="D285" s="8"/>
      <c r="E285" s="8"/>
      <c r="F285" s="8"/>
      <c r="G285" s="8"/>
      <c r="H285" s="8"/>
      <c r="I285" s="8"/>
      <c r="J285" s="8"/>
      <c r="K285" s="8"/>
      <c r="L285" s="8"/>
      <c r="M285" s="8"/>
      <c r="N285" s="8"/>
    </row>
    <row r="286" customFormat="false" ht="15" hidden="false" customHeight="false" outlineLevel="0" collapsed="false">
      <c r="A286" s="4" t="s">
        <v>284</v>
      </c>
      <c r="C286" s="39" t="n">
        <v>0</v>
      </c>
      <c r="D286" s="39" t="n">
        <v>1</v>
      </c>
      <c r="E286" s="39" t="n">
        <v>2</v>
      </c>
      <c r="F286" s="39" t="n">
        <v>3</v>
      </c>
      <c r="G286" s="39" t="n">
        <v>4</v>
      </c>
      <c r="H286" s="39" t="n">
        <v>5</v>
      </c>
      <c r="I286" s="39" t="n">
        <v>6</v>
      </c>
      <c r="J286" s="39" t="n">
        <v>7</v>
      </c>
      <c r="K286" s="39" t="n">
        <v>8</v>
      </c>
      <c r="L286" s="39" t="n">
        <v>9</v>
      </c>
      <c r="M286" s="39" t="n">
        <v>10</v>
      </c>
    </row>
    <row r="287" customFormat="false" ht="15" hidden="false" customHeight="false" outlineLevel="0" collapsed="false">
      <c r="A287" s="9" t="s">
        <v>285</v>
      </c>
      <c r="C287" s="40" t="n">
        <f aca="false">cf_arr</f>
        <v>220</v>
      </c>
      <c r="D287" s="36" t="n">
        <f aca="false">C287*(1+lv_g)</f>
        <v>264</v>
      </c>
      <c r="E287" s="36" t="n">
        <f aca="false">D287*(1+lv_g)</f>
        <v>316.8</v>
      </c>
      <c r="F287" s="36" t="n">
        <f aca="false">E287*(1+lv_g)</f>
        <v>380.16</v>
      </c>
      <c r="G287" s="36" t="n">
        <f aca="false">F287*(1+lv_g)</f>
        <v>456.192</v>
      </c>
      <c r="H287" s="36" t="n">
        <f aca="false">G287*(1+lv_g)</f>
        <v>547.4304</v>
      </c>
      <c r="I287" s="36" t="n">
        <f aca="false">H287*(1+lv_g)</f>
        <v>656.91648</v>
      </c>
      <c r="J287" s="36" t="n">
        <f aca="false">I287*(1+lv_g)</f>
        <v>788.299776</v>
      </c>
      <c r="K287" s="36" t="n">
        <f aca="false">J287*(1+lv_g)</f>
        <v>945.9597312</v>
      </c>
      <c r="L287" s="36" t="n">
        <f aca="false">K287*(1+lv_g)</f>
        <v>1135.15167744</v>
      </c>
      <c r="M287" s="36" t="n">
        <f aca="false">L287*(1+lv_g)</f>
        <v>1362.182012928</v>
      </c>
    </row>
    <row r="288" customFormat="false" ht="15" hidden="false" customHeight="false" outlineLevel="0" collapsed="false">
      <c r="A288" s="9" t="s">
        <v>286</v>
      </c>
      <c r="C288" s="18" t="n">
        <f aca="false">1</f>
        <v>1</v>
      </c>
      <c r="D288" s="18" t="n">
        <f aca="false">IF(D286&gt;=a_churn_year,1-lv_churn,1)</f>
        <v>0.625</v>
      </c>
      <c r="E288" s="18" t="n">
        <f aca="false">IF(E286&gt;=a_churn_year,1-lv_churn,1)</f>
        <v>0.625</v>
      </c>
      <c r="F288" s="18" t="n">
        <f aca="false">IF(F286&gt;=a_churn_year,1-lv_churn,1)</f>
        <v>0.625</v>
      </c>
      <c r="G288" s="18" t="n">
        <f aca="false">IF(G286&gt;=a_churn_year,1-lv_churn,1)</f>
        <v>0.625</v>
      </c>
      <c r="H288" s="18" t="n">
        <f aca="false">IF(H286&gt;=a_churn_year,1-lv_churn,1)</f>
        <v>0.625</v>
      </c>
      <c r="I288" s="18" t="n">
        <f aca="false">IF(I286&gt;=a_churn_year,1-lv_churn,1)</f>
        <v>0.625</v>
      </c>
      <c r="J288" s="18" t="n">
        <f aca="false">IF(J286&gt;=a_churn_year,1-lv_churn,1)</f>
        <v>0.625</v>
      </c>
      <c r="K288" s="18" t="n">
        <f aca="false">IF(K286&gt;=a_churn_year,1-lv_churn,1)</f>
        <v>0.625</v>
      </c>
      <c r="L288" s="18" t="n">
        <f aca="false">IF(L286&gt;=a_churn_year,1-lv_churn,1)</f>
        <v>0.625</v>
      </c>
      <c r="M288" s="18" t="n">
        <f aca="false">IF(M286&gt;=a_churn_year,1-lv_churn,1)</f>
        <v>0.625</v>
      </c>
    </row>
    <row r="289" customFormat="false" ht="15" hidden="false" customHeight="false" outlineLevel="0" collapsed="false">
      <c r="A289" s="4" t="s">
        <v>287</v>
      </c>
      <c r="C289" s="41" t="n">
        <f aca="false">C287*C288</f>
        <v>220</v>
      </c>
      <c r="D289" s="41" t="n">
        <f aca="false">D287*D288</f>
        <v>165</v>
      </c>
      <c r="E289" s="41" t="n">
        <f aca="false">E287*E288</f>
        <v>198</v>
      </c>
      <c r="F289" s="41" t="n">
        <f aca="false">F287*F288</f>
        <v>237.6</v>
      </c>
      <c r="G289" s="41" t="n">
        <f aca="false">G287*G288</f>
        <v>285.12</v>
      </c>
      <c r="H289" s="41" t="n">
        <f aca="false">H287*H288</f>
        <v>342.144</v>
      </c>
      <c r="I289" s="41" t="n">
        <f aca="false">I287*I288</f>
        <v>410.5728</v>
      </c>
      <c r="J289" s="41" t="n">
        <f aca="false">J287*J288</f>
        <v>492.68736</v>
      </c>
      <c r="K289" s="41" t="n">
        <f aca="false">K287*K288</f>
        <v>591.224832</v>
      </c>
      <c r="L289" s="41" t="n">
        <f aca="false">L287*L288</f>
        <v>709.4697984</v>
      </c>
      <c r="M289" s="41" t="n">
        <f aca="false">M287*M288</f>
        <v>851.36375808</v>
      </c>
    </row>
    <row r="290" customFormat="false" ht="15" hidden="false" customHeight="false" outlineLevel="0" collapsed="false">
      <c r="A290" s="9" t="s">
        <v>288</v>
      </c>
      <c r="C290" s="18" t="n">
        <f aca="false">MIN(a_m0+a_mstep*C286,a_mcap)</f>
        <v>0</v>
      </c>
      <c r="D290" s="18" t="n">
        <f aca="false">MIN(a_m0+a_mstep*D286,a_mcap)</f>
        <v>0.05</v>
      </c>
      <c r="E290" s="18" t="n">
        <f aca="false">MIN(a_m0+a_mstep*E286,a_mcap)</f>
        <v>0.1</v>
      </c>
      <c r="F290" s="18" t="n">
        <f aca="false">MIN(a_m0+a_mstep*F286,a_mcap)</f>
        <v>0.15</v>
      </c>
      <c r="G290" s="18" t="n">
        <f aca="false">MIN(a_m0+a_mstep*G286,a_mcap)</f>
        <v>0.2</v>
      </c>
      <c r="H290" s="18" t="n">
        <f aca="false">MIN(a_m0+a_mstep*H286,a_mcap)</f>
        <v>0.25</v>
      </c>
      <c r="I290" s="18" t="n">
        <f aca="false">MIN(a_m0+a_mstep*I286,a_mcap)</f>
        <v>0.25</v>
      </c>
      <c r="J290" s="18" t="n">
        <f aca="false">MIN(a_m0+a_mstep*J286,a_mcap)</f>
        <v>0.25</v>
      </c>
      <c r="K290" s="18" t="n">
        <f aca="false">MIN(a_m0+a_mstep*K286,a_mcap)</f>
        <v>0.25</v>
      </c>
      <c r="L290" s="18" t="n">
        <f aca="false">MIN(a_m0+a_mstep*L286,a_mcap)</f>
        <v>0.25</v>
      </c>
      <c r="M290" s="18" t="n">
        <f aca="false">MIN(a_m0+a_mstep*M286,a_mcap)</f>
        <v>0.25</v>
      </c>
    </row>
    <row r="291" customFormat="false" ht="15" hidden="false" customHeight="false" outlineLevel="0" collapsed="false">
      <c r="A291" s="9" t="s">
        <v>289</v>
      </c>
      <c r="C291" s="36" t="n">
        <f aca="false">IF(C286=a_churn_year,a_sticky*(C287-C289)*(1-C290),0)</f>
        <v>0</v>
      </c>
      <c r="D291" s="36" t="n">
        <f aca="false">IF(D286=a_churn_year,a_sticky*(D287-D289)*(1-D290),0)</f>
        <v>47.025</v>
      </c>
      <c r="E291" s="36" t="n">
        <f aca="false">IF(E286=a_churn_year,a_sticky*(E287-E289)*(1-E290),0)</f>
        <v>0</v>
      </c>
      <c r="F291" s="36" t="n">
        <f aca="false">IF(F286=a_churn_year,a_sticky*(F287-F289)*(1-F290),0)</f>
        <v>0</v>
      </c>
      <c r="G291" s="36" t="n">
        <f aca="false">IF(G286=a_churn_year,a_sticky*(G287-G289)*(1-G290),0)</f>
        <v>0</v>
      </c>
      <c r="H291" s="36" t="n">
        <f aca="false">IF(H286=a_churn_year,a_sticky*(H287-H289)*(1-H290),0)</f>
        <v>0</v>
      </c>
      <c r="I291" s="36" t="n">
        <f aca="false">IF(I286=a_churn_year,a_sticky*(I287-I289)*(1-I290),0)</f>
        <v>0</v>
      </c>
      <c r="J291" s="36" t="n">
        <f aca="false">IF(J286=a_churn_year,a_sticky*(J287-J289)*(1-J290),0)</f>
        <v>0</v>
      </c>
      <c r="K291" s="36" t="n">
        <f aca="false">IF(K286=a_churn_year,a_sticky*(K287-K289)*(1-K290),0)</f>
        <v>0</v>
      </c>
      <c r="L291" s="36" t="n">
        <f aca="false">IF(L286=a_churn_year,a_sticky*(L287-L289)*(1-L290),0)</f>
        <v>0</v>
      </c>
      <c r="M291" s="36" t="n">
        <f aca="false">IF(M286=a_churn_year,a_sticky*(M287-M289)*(1-M290),0)</f>
        <v>0</v>
      </c>
    </row>
    <row r="292" customFormat="false" ht="15" hidden="false" customHeight="false" outlineLevel="0" collapsed="false">
      <c r="A292" s="4" t="s">
        <v>290</v>
      </c>
      <c r="C292" s="41" t="n">
        <f aca="false">C289*C290-C291</f>
        <v>0</v>
      </c>
      <c r="D292" s="41" t="n">
        <f aca="false">D289*D290-D291</f>
        <v>-38.775</v>
      </c>
      <c r="E292" s="41" t="n">
        <f aca="false">E289*E290-E291</f>
        <v>19.8</v>
      </c>
      <c r="F292" s="41" t="n">
        <f aca="false">F289*F290-F291</f>
        <v>35.64</v>
      </c>
      <c r="G292" s="41" t="n">
        <f aca="false">G289*G290-G291</f>
        <v>57.024</v>
      </c>
      <c r="H292" s="41" t="n">
        <f aca="false">H289*H290-H291</f>
        <v>85.536</v>
      </c>
      <c r="I292" s="41" t="n">
        <f aca="false">I289*I290-I291</f>
        <v>102.6432</v>
      </c>
      <c r="J292" s="41" t="n">
        <f aca="false">J289*J290-J291</f>
        <v>123.17184</v>
      </c>
      <c r="K292" s="41" t="n">
        <f aca="false">K289*K290-K291</f>
        <v>147.806208</v>
      </c>
      <c r="L292" s="41" t="n">
        <f aca="false">L289*L290-L291</f>
        <v>177.3674496</v>
      </c>
      <c r="M292" s="41" t="n">
        <f aca="false">M289*M290-M291</f>
        <v>212.84093952</v>
      </c>
    </row>
    <row r="293" customFormat="false" ht="15" hidden="false" customHeight="false" outlineLevel="0" collapsed="false">
      <c r="A293" s="9" t="s">
        <v>291</v>
      </c>
      <c r="C293" s="36" t="n">
        <f aca="false">C289*a_da</f>
        <v>6.6</v>
      </c>
      <c r="D293" s="36" t="n">
        <f aca="false">D289*a_da</f>
        <v>4.95</v>
      </c>
      <c r="E293" s="36" t="n">
        <f aca="false">E289*a_da</f>
        <v>5.94</v>
      </c>
      <c r="F293" s="36" t="n">
        <f aca="false">F289*a_da</f>
        <v>7.128</v>
      </c>
      <c r="G293" s="36" t="n">
        <f aca="false">G289*a_da</f>
        <v>8.5536</v>
      </c>
      <c r="H293" s="36" t="n">
        <f aca="false">H289*a_da</f>
        <v>10.26432</v>
      </c>
      <c r="I293" s="36" t="n">
        <f aca="false">I289*a_da</f>
        <v>12.317184</v>
      </c>
      <c r="J293" s="36" t="n">
        <f aca="false">J289*a_da</f>
        <v>14.7806208</v>
      </c>
      <c r="K293" s="36" t="n">
        <f aca="false">K289*a_da</f>
        <v>17.73674496</v>
      </c>
      <c r="L293" s="36" t="n">
        <f aca="false">L289*a_da</f>
        <v>21.284093952</v>
      </c>
      <c r="M293" s="36" t="n">
        <f aca="false">M289*a_da</f>
        <v>25.5409127424</v>
      </c>
    </row>
    <row r="294" customFormat="false" ht="15" hidden="false" customHeight="false" outlineLevel="0" collapsed="false">
      <c r="A294" s="9" t="s">
        <v>292</v>
      </c>
      <c r="C294" s="36" t="n">
        <f aca="false">C292-C293</f>
        <v>-6.6</v>
      </c>
      <c r="D294" s="36" t="n">
        <f aca="false">D292-D293</f>
        <v>-43.725</v>
      </c>
      <c r="E294" s="36" t="n">
        <f aca="false">E292-E293</f>
        <v>13.86</v>
      </c>
      <c r="F294" s="36" t="n">
        <f aca="false">F292-F293</f>
        <v>28.512</v>
      </c>
      <c r="G294" s="36" t="n">
        <f aca="false">G292-G293</f>
        <v>48.4704</v>
      </c>
      <c r="H294" s="36" t="n">
        <f aca="false">H292-H293</f>
        <v>75.27168</v>
      </c>
      <c r="I294" s="36" t="n">
        <f aca="false">I292-I293</f>
        <v>90.326016</v>
      </c>
      <c r="J294" s="36" t="n">
        <f aca="false">J292-J293</f>
        <v>108.3912192</v>
      </c>
      <c r="K294" s="36" t="n">
        <f aca="false">K292-K293</f>
        <v>130.06946304</v>
      </c>
      <c r="L294" s="36" t="n">
        <f aca="false">L292-L293</f>
        <v>156.083355648</v>
      </c>
      <c r="M294" s="36" t="n">
        <f aca="false">M292-M293</f>
        <v>187.3000267776</v>
      </c>
    </row>
    <row r="295" customFormat="false" ht="15" hidden="false" customHeight="false" outlineLevel="0" collapsed="false">
      <c r="A295" s="9" t="s">
        <v>293</v>
      </c>
      <c r="C295" s="36" t="n">
        <f aca="false">MAX(0,C294)*a_tax</f>
        <v>0</v>
      </c>
      <c r="D295" s="36" t="n">
        <f aca="false">MAX(0,D294)*a_tax</f>
        <v>0</v>
      </c>
      <c r="E295" s="36" t="n">
        <f aca="false">MAX(0,E294)*a_tax</f>
        <v>3.465</v>
      </c>
      <c r="F295" s="36" t="n">
        <f aca="false">MAX(0,F294)*a_tax</f>
        <v>7.128</v>
      </c>
      <c r="G295" s="36" t="n">
        <f aca="false">MAX(0,G294)*a_tax</f>
        <v>12.1176</v>
      </c>
      <c r="H295" s="36" t="n">
        <f aca="false">MAX(0,H294)*a_tax</f>
        <v>18.81792</v>
      </c>
      <c r="I295" s="36" t="n">
        <f aca="false">MAX(0,I294)*a_tax</f>
        <v>22.581504</v>
      </c>
      <c r="J295" s="36" t="n">
        <f aca="false">MAX(0,J294)*a_tax</f>
        <v>27.0978048</v>
      </c>
      <c r="K295" s="36" t="n">
        <f aca="false">MAX(0,K294)*a_tax</f>
        <v>32.51736576</v>
      </c>
      <c r="L295" s="36" t="n">
        <f aca="false">MAX(0,L294)*a_tax</f>
        <v>39.020838912</v>
      </c>
      <c r="M295" s="36" t="n">
        <f aca="false">MAX(0,M294)*a_tax</f>
        <v>46.8250066944</v>
      </c>
    </row>
    <row r="296" customFormat="false" ht="15" hidden="false" customHeight="false" outlineLevel="0" collapsed="false">
      <c r="A296" s="4" t="s">
        <v>294</v>
      </c>
      <c r="C296" s="42" t="n">
        <f aca="false">cf_lim_pat</f>
        <v>0</v>
      </c>
      <c r="D296" s="41" t="n">
        <f aca="false">D294-D295</f>
        <v>-43.725</v>
      </c>
      <c r="E296" s="41" t="n">
        <f aca="false">E294-E295</f>
        <v>10.395</v>
      </c>
      <c r="F296" s="41" t="n">
        <f aca="false">F294-F295</f>
        <v>21.384</v>
      </c>
      <c r="G296" s="41" t="n">
        <f aca="false">G294-G295</f>
        <v>36.3528</v>
      </c>
      <c r="H296" s="41" t="n">
        <f aca="false">H294-H295</f>
        <v>56.45376</v>
      </c>
      <c r="I296" s="41" t="n">
        <f aca="false">I294-I295</f>
        <v>67.744512</v>
      </c>
      <c r="J296" s="41" t="n">
        <f aca="false">J294-J295</f>
        <v>81.2934144</v>
      </c>
      <c r="K296" s="41" t="n">
        <f aca="false">K294-K295</f>
        <v>97.55209728</v>
      </c>
      <c r="L296" s="41" t="n">
        <f aca="false">L294-L295</f>
        <v>117.062516736</v>
      </c>
      <c r="M296" s="41" t="n">
        <f aca="false">M294-M295</f>
        <v>140.4750200832</v>
      </c>
    </row>
    <row r="297" customFormat="false" ht="15" hidden="false" customHeight="false" outlineLevel="0" collapsed="false">
      <c r="A297" s="9" t="s">
        <v>295</v>
      </c>
      <c r="C297" s="36" t="n">
        <f aca="false">C289*a_capex</f>
        <v>6.6</v>
      </c>
      <c r="D297" s="36" t="n">
        <f aca="false">D289*a_capex</f>
        <v>4.95</v>
      </c>
      <c r="E297" s="36" t="n">
        <f aca="false">E289*a_capex</f>
        <v>5.94</v>
      </c>
      <c r="F297" s="36" t="n">
        <f aca="false">F289*a_capex</f>
        <v>7.128</v>
      </c>
      <c r="G297" s="36" t="n">
        <f aca="false">G289*a_capex</f>
        <v>8.5536</v>
      </c>
      <c r="H297" s="36" t="n">
        <f aca="false">H289*a_capex</f>
        <v>10.26432</v>
      </c>
      <c r="I297" s="36" t="n">
        <f aca="false">I289*a_capex</f>
        <v>12.317184</v>
      </c>
      <c r="J297" s="36" t="n">
        <f aca="false">J289*a_capex</f>
        <v>14.7806208</v>
      </c>
      <c r="K297" s="36" t="n">
        <f aca="false">K289*a_capex</f>
        <v>17.73674496</v>
      </c>
      <c r="L297" s="36" t="n">
        <f aca="false">L289*a_capex</f>
        <v>21.284093952</v>
      </c>
      <c r="M297" s="36" t="n">
        <f aca="false">M289*a_capex</f>
        <v>25.5409127424</v>
      </c>
    </row>
    <row r="298" customFormat="false" ht="15" hidden="false" customHeight="false" outlineLevel="0" collapsed="false">
      <c r="A298" s="9" t="s">
        <v>296</v>
      </c>
      <c r="C298" s="36" t="n">
        <f aca="false">0</f>
        <v>0</v>
      </c>
      <c r="D298" s="36" t="n">
        <f aca="false">a_wc*(D289-C289)</f>
        <v>-2.75</v>
      </c>
      <c r="E298" s="36" t="n">
        <f aca="false">a_wc*(E289-D289)</f>
        <v>1.65</v>
      </c>
      <c r="F298" s="36" t="n">
        <f aca="false">a_wc*(F289-E289)</f>
        <v>1.98</v>
      </c>
      <c r="G298" s="36" t="n">
        <f aca="false">a_wc*(G289-F289)</f>
        <v>2.376</v>
      </c>
      <c r="H298" s="36" t="n">
        <f aca="false">a_wc*(H289-G289)</f>
        <v>2.8512</v>
      </c>
      <c r="I298" s="36" t="n">
        <f aca="false">a_wc*(I289-H289)</f>
        <v>3.42144</v>
      </c>
      <c r="J298" s="36" t="n">
        <f aca="false">a_wc*(J289-I289)</f>
        <v>4.105728</v>
      </c>
      <c r="K298" s="36" t="n">
        <f aca="false">a_wc*(K289-J289)</f>
        <v>4.9268736</v>
      </c>
      <c r="L298" s="36" t="n">
        <f aca="false">a_wc*(L289-K289)</f>
        <v>5.91224832</v>
      </c>
      <c r="M298" s="36" t="n">
        <f aca="false">a_wc*(M289-L289)</f>
        <v>7.094697984</v>
      </c>
    </row>
    <row r="299" customFormat="false" ht="15" hidden="false" customHeight="false" outlineLevel="0" collapsed="false">
      <c r="A299" s="4" t="s">
        <v>297</v>
      </c>
      <c r="C299" s="36" t="n">
        <f aca="false">0</f>
        <v>0</v>
      </c>
      <c r="D299" s="41" t="n">
        <f aca="false">D296+D293-D297-D298</f>
        <v>-40.975</v>
      </c>
      <c r="E299" s="41" t="n">
        <f aca="false">E296+E293-E297-E298</f>
        <v>8.745</v>
      </c>
      <c r="F299" s="41" t="n">
        <f aca="false">F296+F293-F297-F298</f>
        <v>19.404</v>
      </c>
      <c r="G299" s="41" t="n">
        <f aca="false">G296+G293-G297-G298</f>
        <v>33.9768</v>
      </c>
      <c r="H299" s="41" t="n">
        <f aca="false">H296+H293-H297-H298</f>
        <v>53.60256</v>
      </c>
      <c r="I299" s="41" t="n">
        <f aca="false">I296+I293-I297-I298</f>
        <v>64.323072</v>
      </c>
      <c r="J299" s="41" t="n">
        <f aca="false">J296+J293-J297-J298</f>
        <v>77.1876864</v>
      </c>
      <c r="K299" s="41" t="n">
        <f aca="false">K296+K293-K297-K298</f>
        <v>92.62522368</v>
      </c>
      <c r="L299" s="41" t="n">
        <f aca="false">L296+L293-L297-L298</f>
        <v>111.150268416</v>
      </c>
      <c r="M299" s="41" t="n">
        <f aca="false">M296+M293-M297-M298</f>
        <v>133.3803220992</v>
      </c>
    </row>
    <row r="301" customFormat="false" ht="15" hidden="false" customHeight="false" outlineLevel="0" collapsed="false">
      <c r="A301" s="7" t="s">
        <v>599</v>
      </c>
      <c r="B301" s="8"/>
      <c r="C301" s="8"/>
      <c r="D301" s="8"/>
      <c r="E301" s="8"/>
      <c r="F301" s="8"/>
      <c r="G301" s="8"/>
      <c r="H301" s="8"/>
      <c r="I301" s="8"/>
      <c r="J301" s="8"/>
      <c r="K301" s="8"/>
      <c r="L301" s="8"/>
      <c r="M301" s="8"/>
      <c r="N301" s="8"/>
    </row>
    <row r="302" customFormat="false" ht="15" hidden="false" customHeight="false" outlineLevel="0" collapsed="false">
      <c r="A302" s="9" t="s">
        <v>482</v>
      </c>
      <c r="C302" s="35" t="n">
        <f aca="false">lv_mix_eq/(c_price*(1-a_issue_disc))</f>
        <v>1.024</v>
      </c>
    </row>
    <row r="303" customFormat="false" ht="15" hidden="false" customHeight="false" outlineLevel="0" collapsed="false">
      <c r="A303" s="9" t="s">
        <v>449</v>
      </c>
      <c r="C303" s="35" t="n">
        <f aca="false">cf_shares+C302</f>
        <v>65.024</v>
      </c>
    </row>
    <row r="304" customFormat="false" ht="15" hidden="false" customHeight="false" outlineLevel="0" collapsed="false">
      <c r="A304" s="9" t="s">
        <v>483</v>
      </c>
      <c r="C304" s="36" t="n">
        <f aca="false">lv_mix_cash*a_yield*(1-a_tax)+lv_mix_debt*a_kd*(1-a_tax)</f>
        <v>94.5</v>
      </c>
    </row>
    <row r="305" customFormat="false" ht="15" hidden="false" customHeight="false" outlineLevel="0" collapsed="false">
      <c r="A305" s="9" t="s">
        <v>484</v>
      </c>
      <c r="C305" s="36" t="n">
        <f aca="false">lv_price*a_ppa_share/a_ppa_life*(1-a_tax)</f>
        <v>93.75</v>
      </c>
    </row>
    <row r="306" customFormat="false" ht="15" hidden="false" customHeight="false" outlineLevel="0" collapsed="false">
      <c r="A306" s="9" t="s">
        <v>485</v>
      </c>
      <c r="C306" s="36" t="n">
        <f aca="false">a_ppa_on*C305</f>
        <v>0</v>
      </c>
    </row>
    <row r="307" customFormat="false" ht="15" hidden="false" customHeight="false" outlineLevel="0" collapsed="false">
      <c r="A307" s="9" t="s">
        <v>486</v>
      </c>
      <c r="C307" s="36" t="n">
        <f aca="false">lv_price*a_fees_pct+a_integ_full</f>
        <v>160</v>
      </c>
    </row>
    <row r="308" customFormat="false" ht="15" hidden="false" customHeight="false" outlineLevel="0" collapsed="false">
      <c r="A308" s="9" t="s">
        <v>487</v>
      </c>
      <c r="C308" s="36" t="n">
        <f aca="false">0</f>
        <v>0</v>
      </c>
      <c r="D308" s="36" t="n">
        <f aca="false">a_syn_on*(a_syn_partner_rev_y3+a_syn_xsell_y3)*a_mcap*IF(D286=1,a_syn_ramp1,IF(D286=2,a_syn_ramp2,1))+a_syn_on*IF(D286&gt;=2,a_syn_cost,0)</f>
        <v>0</v>
      </c>
      <c r="E308" s="36" t="n">
        <f aca="false">a_syn_on*(a_syn_partner_rev_y3+a_syn_xsell_y3)*a_mcap*IF(E286=1,a_syn_ramp1,IF(E286=2,a_syn_ramp2,1))+a_syn_on*IF(E286&gt;=2,a_syn_cost,0)</f>
        <v>0</v>
      </c>
      <c r="F308" s="36" t="n">
        <f aca="false">a_syn_on*(a_syn_partner_rev_y3+a_syn_xsell_y3)*a_mcap*IF(F286=1,a_syn_ramp1,IF(F286=2,a_syn_ramp2,1))+a_syn_on*IF(F286&gt;=2,a_syn_cost,0)</f>
        <v>0</v>
      </c>
      <c r="G308" s="36" t="n">
        <f aca="false">a_syn_on*(a_syn_partner_rev_y3+a_syn_xsell_y3)*a_mcap*IF(G286=1,a_syn_ramp1,IF(G286=2,a_syn_ramp2,1))+a_syn_on*IF(G286&gt;=2,a_syn_cost,0)</f>
        <v>0</v>
      </c>
      <c r="H308" s="36" t="n">
        <f aca="false">a_syn_on*(a_syn_partner_rev_y3+a_syn_xsell_y3)*a_mcap*IF(H286=1,a_syn_ramp1,IF(H286=2,a_syn_ramp2,1))+a_syn_on*IF(H286&gt;=2,a_syn_cost,0)</f>
        <v>0</v>
      </c>
      <c r="I308" s="36" t="n">
        <f aca="false">a_syn_on*(a_syn_partner_rev_y3+a_syn_xsell_y3)*a_mcap*IF(I286=1,a_syn_ramp1,IF(I286=2,a_syn_ramp2,1))+a_syn_on*IF(I286&gt;=2,a_syn_cost,0)</f>
        <v>0</v>
      </c>
      <c r="J308" s="36" t="n">
        <f aca="false">a_syn_on*(a_syn_partner_rev_y3+a_syn_xsell_y3)*a_mcap*IF(J286=1,a_syn_ramp1,IF(J286=2,a_syn_ramp2,1))+a_syn_on*IF(J286&gt;=2,a_syn_cost,0)</f>
        <v>0</v>
      </c>
      <c r="K308" s="36" t="n">
        <f aca="false">a_syn_on*(a_syn_partner_rev_y3+a_syn_xsell_y3)*a_mcap*IF(K286=1,a_syn_ramp1,IF(K286=2,a_syn_ramp2,1))+a_syn_on*IF(K286&gt;=2,a_syn_cost,0)</f>
        <v>0</v>
      </c>
      <c r="L308" s="36" t="n">
        <f aca="false">a_syn_on*(a_syn_partner_rev_y3+a_syn_xsell_y3)*a_mcap*IF(L286=1,a_syn_ramp1,IF(L286=2,a_syn_ramp2,1))+a_syn_on*IF(L286&gt;=2,a_syn_cost,0)</f>
        <v>0</v>
      </c>
      <c r="M308" s="36" t="n">
        <f aca="false">a_syn_on*(a_syn_partner_rev_y3+a_syn_xsell_y3)*a_mcap*IF(M286=1,a_syn_ramp1,IF(M286=2,a_syn_ramp2,1))+a_syn_on*IF(M286&gt;=2,a_syn_cost,0)</f>
        <v>0</v>
      </c>
    </row>
    <row r="309" customFormat="false" ht="15" hidden="false" customHeight="false" outlineLevel="0" collapsed="false">
      <c r="A309" s="9" t="s">
        <v>488</v>
      </c>
      <c r="C309" s="36" t="n">
        <f aca="false">0</f>
        <v>0</v>
      </c>
      <c r="D309" s="36" t="n">
        <f aca="false">CHOOSE(lv_drag_mode,Capital_Drag!$B$40,Capital_Drag!$B$40*D289/cf_arr,Capital_Drag!$B$40*(1-a_tax))</f>
        <v>750</v>
      </c>
      <c r="E309" s="36" t="n">
        <f aca="false">CHOOSE(lv_drag_mode,Capital_Drag!$B$40,Capital_Drag!$B$40*E289/cf_arr,Capital_Drag!$B$40*(1-a_tax))</f>
        <v>750</v>
      </c>
      <c r="F309" s="36" t="n">
        <f aca="false">CHOOSE(lv_drag_mode,Capital_Drag!$B$40,Capital_Drag!$B$40*F289/cf_arr,Capital_Drag!$B$40*(1-a_tax))</f>
        <v>750</v>
      </c>
      <c r="G309" s="36" t="n">
        <f aca="false">CHOOSE(lv_drag_mode,Capital_Drag!$B$40,Capital_Drag!$B$40*G289/cf_arr,Capital_Drag!$B$40*(1-a_tax))</f>
        <v>750</v>
      </c>
      <c r="H309" s="36" t="n">
        <f aca="false">CHOOSE(lv_drag_mode,Capital_Drag!$B$40,Capital_Drag!$B$40*H289/cf_arr,Capital_Drag!$B$40*(1-a_tax))</f>
        <v>750</v>
      </c>
      <c r="I309" s="36" t="n">
        <f aca="false">CHOOSE(lv_drag_mode,Capital_Drag!$B$40,Capital_Drag!$B$40*I289/cf_arr,Capital_Drag!$B$40*(1-a_tax))</f>
        <v>750</v>
      </c>
      <c r="J309" s="36" t="n">
        <f aca="false">CHOOSE(lv_drag_mode,Capital_Drag!$B$40,Capital_Drag!$B$40*J289/cf_arr,Capital_Drag!$B$40*(1-a_tax))</f>
        <v>750</v>
      </c>
      <c r="K309" s="36" t="n">
        <f aca="false">CHOOSE(lv_drag_mode,Capital_Drag!$B$40,Capital_Drag!$B$40*K289/cf_arr,Capital_Drag!$B$40*(1-a_tax))</f>
        <v>750</v>
      </c>
      <c r="L309" s="36" t="n">
        <f aca="false">CHOOSE(lv_drag_mode,Capital_Drag!$B$40,Capital_Drag!$B$40*L289/cf_arr,Capital_Drag!$B$40*(1-a_tax))</f>
        <v>750</v>
      </c>
      <c r="M309" s="36" t="n">
        <f aca="false">CHOOSE(lv_drag_mode,Capital_Drag!$B$40,Capital_Drag!$B$40*M289/cf_arr,Capital_Drag!$B$40*(1-a_tax))</f>
        <v>750</v>
      </c>
    </row>
    <row r="310" customFormat="false" ht="15" hidden="false" customHeight="false" outlineLevel="0" collapsed="false">
      <c r="A310" s="9" t="s">
        <v>489</v>
      </c>
      <c r="C310" s="36" t="n">
        <f aca="false">0</f>
        <v>0</v>
      </c>
      <c r="D310" s="36" t="n">
        <f aca="false">IF(lv_drag_mode=3,Capital_Drag!$B$40*(1-a_tax),0)</f>
        <v>0</v>
      </c>
      <c r="E310" s="36" t="n">
        <f aca="false">IF(lv_drag_mode=3,Capital_Drag!$B$40*(1-a_tax),0)</f>
        <v>0</v>
      </c>
      <c r="F310" s="36" t="n">
        <f aca="false">IF(lv_drag_mode=3,Capital_Drag!$B$40*(1-a_tax),0)</f>
        <v>0</v>
      </c>
      <c r="G310" s="36" t="n">
        <f aca="false">IF(lv_drag_mode=3,Capital_Drag!$B$40*(1-a_tax),0)</f>
        <v>0</v>
      </c>
      <c r="H310" s="36" t="n">
        <f aca="false">IF(lv_drag_mode=3,Capital_Drag!$B$40*(1-a_tax),0)</f>
        <v>0</v>
      </c>
      <c r="I310" s="36" t="n">
        <f aca="false">IF(lv_drag_mode=3,Capital_Drag!$B$40*(1-a_tax),0)</f>
        <v>0</v>
      </c>
      <c r="J310" s="36" t="n">
        <f aca="false">IF(lv_drag_mode=3,Capital_Drag!$B$40*(1-a_tax),0)</f>
        <v>0</v>
      </c>
      <c r="K310" s="36" t="n">
        <f aca="false">IF(lv_drag_mode=3,Capital_Drag!$B$40*(1-a_tax),0)</f>
        <v>0</v>
      </c>
      <c r="L310" s="36" t="n">
        <f aca="false">IF(lv_drag_mode=3,Capital_Drag!$B$40*(1-a_tax),0)</f>
        <v>0</v>
      </c>
      <c r="M310" s="36" t="n">
        <f aca="false">IF(lv_drag_mode=3,Capital_Drag!$B$40*(1-a_tax),0)</f>
        <v>0</v>
      </c>
    </row>
    <row r="311" customFormat="false" ht="15" hidden="false" customHeight="false" outlineLevel="0" collapsed="false">
      <c r="A311" s="9" t="s">
        <v>490</v>
      </c>
      <c r="C311" s="36" t="n">
        <f aca="false">0</f>
        <v>0</v>
      </c>
      <c r="D311" s="36" t="n">
        <f aca="false">IF(lv_drag_mode=3,0,C311+D309)</f>
        <v>750</v>
      </c>
      <c r="E311" s="36" t="n">
        <f aca="false">IF(lv_drag_mode=3,0,D311+E309)</f>
        <v>1500</v>
      </c>
      <c r="F311" s="36" t="n">
        <f aca="false">IF(lv_drag_mode=3,0,E311+F309)</f>
        <v>2250</v>
      </c>
      <c r="G311" s="36" t="n">
        <f aca="false">IF(lv_drag_mode=3,0,F311+G309)</f>
        <v>3000</v>
      </c>
      <c r="H311" s="36" t="n">
        <f aca="false">IF(lv_drag_mode=3,0,G311+H309)</f>
        <v>3750</v>
      </c>
      <c r="I311" s="36" t="n">
        <f aca="false">IF(lv_drag_mode=3,0,H311+I309)</f>
        <v>4500</v>
      </c>
      <c r="J311" s="36" t="n">
        <f aca="false">IF(lv_drag_mode=3,0,I311+J309)</f>
        <v>5250</v>
      </c>
      <c r="K311" s="36" t="n">
        <f aca="false">IF(lv_drag_mode=3,0,J311+K309)</f>
        <v>6000</v>
      </c>
      <c r="L311" s="36" t="n">
        <f aca="false">IF(lv_drag_mode=3,0,K311+L309)</f>
        <v>6750</v>
      </c>
      <c r="M311" s="36" t="n">
        <f aca="false">IF(lv_drag_mode=3,0,L311+M309)</f>
        <v>7500</v>
      </c>
    </row>
    <row r="312" customFormat="false" ht="15" hidden="false" customHeight="false" outlineLevel="0" collapsed="false">
      <c r="A312" s="9" t="s">
        <v>491</v>
      </c>
      <c r="C312" s="36" t="n">
        <f aca="false">0</f>
        <v>0</v>
      </c>
      <c r="D312" s="36" t="n">
        <f aca="false">C311*a_yield*(1-a_tax)</f>
        <v>0</v>
      </c>
      <c r="E312" s="36" t="n">
        <f aca="false">D311*a_yield*(1-a_tax)</f>
        <v>33.75</v>
      </c>
      <c r="F312" s="36" t="n">
        <f aca="false">E311*a_yield*(1-a_tax)</f>
        <v>67.5</v>
      </c>
      <c r="G312" s="36" t="n">
        <f aca="false">F311*a_yield*(1-a_tax)</f>
        <v>101.25</v>
      </c>
      <c r="H312" s="36" t="n">
        <f aca="false">G311*a_yield*(1-a_tax)</f>
        <v>135</v>
      </c>
      <c r="I312" s="36" t="n">
        <f aca="false">H311*a_yield*(1-a_tax)</f>
        <v>168.75</v>
      </c>
      <c r="J312" s="36" t="n">
        <f aca="false">I311*a_yield*(1-a_tax)</f>
        <v>202.5</v>
      </c>
      <c r="K312" s="36" t="n">
        <f aca="false">J311*a_yield*(1-a_tax)</f>
        <v>236.25</v>
      </c>
      <c r="L312" s="36" t="n">
        <f aca="false">K311*a_yield*(1-a_tax)</f>
        <v>270</v>
      </c>
      <c r="M312" s="36" t="n">
        <f aca="false">L311*a_yield*(1-a_tax)</f>
        <v>303.75</v>
      </c>
    </row>
    <row r="313" customFormat="false" ht="15" hidden="false" customHeight="false" outlineLevel="0" collapsed="false">
      <c r="A313" s="9" t="s">
        <v>492</v>
      </c>
      <c r="C313" s="36" t="n">
        <f aca="false">cf_pat</f>
        <v>480</v>
      </c>
      <c r="D313" s="36" t="n">
        <f aca="false">cf_pat*(1+a_pat_growth)^D286</f>
        <v>480</v>
      </c>
      <c r="E313" s="36" t="n">
        <f aca="false">cf_pat*(1+a_pat_growth)^E286</f>
        <v>480</v>
      </c>
      <c r="F313" s="36" t="n">
        <f aca="false">cf_pat*(1+a_pat_growth)^F286</f>
        <v>480</v>
      </c>
      <c r="G313" s="36" t="n">
        <f aca="false">cf_pat*(1+a_pat_growth)^G286</f>
        <v>480</v>
      </c>
      <c r="H313" s="36" t="n">
        <f aca="false">cf_pat*(1+a_pat_growth)^H286</f>
        <v>480</v>
      </c>
      <c r="I313" s="36" t="n">
        <f aca="false">cf_pat*(1+a_pat_growth)^I286</f>
        <v>480</v>
      </c>
      <c r="J313" s="36" t="n">
        <f aca="false">cf_pat*(1+a_pat_growth)^J286</f>
        <v>480</v>
      </c>
      <c r="K313" s="36" t="n">
        <f aca="false">cf_pat*(1+a_pat_growth)^K286</f>
        <v>480</v>
      </c>
      <c r="L313" s="36" t="n">
        <f aca="false">cf_pat*(1+a_pat_growth)^L286</f>
        <v>480</v>
      </c>
      <c r="M313" s="36" t="n">
        <f aca="false">cf_pat*(1+a_pat_growth)^M286</f>
        <v>480</v>
      </c>
    </row>
    <row r="314" customFormat="false" ht="15" hidden="false" customHeight="false" outlineLevel="0" collapsed="false">
      <c r="A314" s="9" t="s">
        <v>493</v>
      </c>
      <c r="C314" s="36" t="n">
        <f aca="false">0</f>
        <v>0</v>
      </c>
      <c r="D314" s="36" t="n">
        <f aca="false">cf_mdr*a_mdr_flow*(1-a_tax)</f>
        <v>69</v>
      </c>
      <c r="E314" s="36" t="n">
        <f aca="false">cf_mdr*a_mdr_flow*(1-a_tax)</f>
        <v>69</v>
      </c>
      <c r="F314" s="36" t="n">
        <f aca="false">cf_mdr*a_mdr_flow*(1-a_tax)</f>
        <v>69</v>
      </c>
      <c r="G314" s="36" t="n">
        <f aca="false">cf_mdr*a_mdr_flow*(1-a_tax)</f>
        <v>69</v>
      </c>
      <c r="H314" s="36" t="n">
        <f aca="false">cf_mdr*a_mdr_flow*(1-a_tax)</f>
        <v>69</v>
      </c>
      <c r="I314" s="36" t="n">
        <f aca="false">cf_mdr*a_mdr_flow*(1-a_tax)</f>
        <v>69</v>
      </c>
      <c r="J314" s="36" t="n">
        <f aca="false">cf_mdr*a_mdr_flow*(1-a_tax)</f>
        <v>69</v>
      </c>
      <c r="K314" s="36" t="n">
        <f aca="false">cf_mdr*a_mdr_flow*(1-a_tax)</f>
        <v>69</v>
      </c>
      <c r="L314" s="36" t="n">
        <f aca="false">cf_mdr*a_mdr_flow*(1-a_tax)</f>
        <v>69</v>
      </c>
      <c r="M314" s="36" t="n">
        <f aca="false">cf_mdr*a_mdr_flow*(1-a_tax)</f>
        <v>69</v>
      </c>
    </row>
    <row r="315" customFormat="false" ht="15" hidden="false" customHeight="false" outlineLevel="0" collapsed="false">
      <c r="A315" s="9" t="s">
        <v>494</v>
      </c>
      <c r="C315" s="50" t="n">
        <f aca="false">cf_eps</f>
        <v>7.5</v>
      </c>
      <c r="D315" s="50" t="n">
        <f aca="false">D313/cf_shares</f>
        <v>7.5</v>
      </c>
      <c r="E315" s="50" t="n">
        <f aca="false">E313/cf_shares</f>
        <v>7.5</v>
      </c>
      <c r="F315" s="50" t="n">
        <f aca="false">F313/cf_shares</f>
        <v>7.5</v>
      </c>
      <c r="G315" s="50" t="n">
        <f aca="false">G313/cf_shares</f>
        <v>7.5</v>
      </c>
      <c r="H315" s="50" t="n">
        <f aca="false">H313/cf_shares</f>
        <v>7.5</v>
      </c>
      <c r="I315" s="50" t="n">
        <f aca="false">I313/cf_shares</f>
        <v>7.5</v>
      </c>
      <c r="J315" s="50" t="n">
        <f aca="false">J313/cf_shares</f>
        <v>7.5</v>
      </c>
      <c r="K315" s="50" t="n">
        <f aca="false">K313/cf_shares</f>
        <v>7.5</v>
      </c>
      <c r="L315" s="50" t="n">
        <f aca="false">L313/cf_shares</f>
        <v>7.5</v>
      </c>
      <c r="M315" s="50" t="n">
        <f aca="false">M313/cf_shares</f>
        <v>7.5</v>
      </c>
    </row>
    <row r="316" customFormat="false" ht="15" hidden="false" customHeight="false" outlineLevel="0" collapsed="false">
      <c r="A316" s="9" t="s">
        <v>495</v>
      </c>
      <c r="C316" s="50" t="n">
        <f aca="false">cf_eps</f>
        <v>7.5</v>
      </c>
      <c r="D316" s="50" t="n">
        <f aca="false">(D313+D314)/cf_shares</f>
        <v>8.578125</v>
      </c>
      <c r="E316" s="50" t="n">
        <f aca="false">(E313+E314)/cf_shares</f>
        <v>8.578125</v>
      </c>
      <c r="F316" s="50" t="n">
        <f aca="false">(F313+F314)/cf_shares</f>
        <v>8.578125</v>
      </c>
      <c r="G316" s="50" t="n">
        <f aca="false">(G313+G314)/cf_shares</f>
        <v>8.578125</v>
      </c>
      <c r="H316" s="50" t="n">
        <f aca="false">(H313+H314)/cf_shares</f>
        <v>8.578125</v>
      </c>
      <c r="I316" s="50" t="n">
        <f aca="false">(I313+I314)/cf_shares</f>
        <v>8.578125</v>
      </c>
      <c r="J316" s="50" t="n">
        <f aca="false">(J313+J314)/cf_shares</f>
        <v>8.578125</v>
      </c>
      <c r="K316" s="50" t="n">
        <f aca="false">(K313+K314)/cf_shares</f>
        <v>8.578125</v>
      </c>
      <c r="L316" s="50" t="n">
        <f aca="false">(L313+L314)/cf_shares</f>
        <v>8.578125</v>
      </c>
      <c r="M316" s="50" t="n">
        <f aca="false">(M313+M314)/cf_shares</f>
        <v>8.578125</v>
      </c>
    </row>
    <row r="317" customFormat="false" ht="15" hidden="false" customHeight="false" outlineLevel="0" collapsed="false">
      <c r="A317" s="4" t="s">
        <v>496</v>
      </c>
      <c r="C317" s="41" t="n">
        <f aca="false">-C304-C306</f>
        <v>-94.5</v>
      </c>
      <c r="D317" s="41" t="n">
        <f aca="false">D296+D308*(1-a_tax)-C304-C306-D310-D312</f>
        <v>-138.225</v>
      </c>
      <c r="E317" s="41" t="n">
        <f aca="false">E296+E308*(1-a_tax)-C304-C306-E310-E312</f>
        <v>-117.855</v>
      </c>
      <c r="F317" s="41" t="n">
        <f aca="false">F296+F308*(1-a_tax)-C304-C306-F310-F312</f>
        <v>-140.616</v>
      </c>
      <c r="G317" s="41" t="n">
        <f aca="false">G296+G308*(1-a_tax)-C304-C306-G310-G312</f>
        <v>-159.3972</v>
      </c>
      <c r="H317" s="41" t="n">
        <f aca="false">H296+H308*(1-a_tax)-C304-C306-H310-H312</f>
        <v>-173.04624</v>
      </c>
      <c r="I317" s="41" t="n">
        <f aca="false">I296+I308*(1-a_tax)-C304-C306-I310-I312</f>
        <v>-195.505488</v>
      </c>
      <c r="J317" s="41" t="n">
        <f aca="false">J296+J308*(1-a_tax)-C304-C306-J310-J312</f>
        <v>-215.7065856</v>
      </c>
      <c r="K317" s="41" t="n">
        <f aca="false">K296+K308*(1-a_tax)-C304-C306-K310-K312</f>
        <v>-233.19790272</v>
      </c>
      <c r="L317" s="41" t="n">
        <f aca="false">L296+L308*(1-a_tax)-C304-C306-L310-L312</f>
        <v>-247.437483264</v>
      </c>
      <c r="M317" s="41" t="n">
        <f aca="false">M296+M308*(1-a_tax)-C304-C306-M310-M312</f>
        <v>-257.7749799168</v>
      </c>
    </row>
    <row r="318" customFormat="false" ht="15" hidden="false" customHeight="false" outlineLevel="0" collapsed="false">
      <c r="A318" s="9" t="s">
        <v>497</v>
      </c>
      <c r="C318" s="36" t="n">
        <f aca="false">C313+C317</f>
        <v>385.5</v>
      </c>
      <c r="D318" s="36" t="n">
        <f aca="false">D313+D317</f>
        <v>341.775</v>
      </c>
      <c r="E318" s="36" t="n">
        <f aca="false">E313+E317</f>
        <v>362.145</v>
      </c>
      <c r="F318" s="36" t="n">
        <f aca="false">F313+F317</f>
        <v>339.384</v>
      </c>
      <c r="G318" s="36" t="n">
        <f aca="false">G313+G317</f>
        <v>320.6028</v>
      </c>
      <c r="H318" s="36" t="n">
        <f aca="false">H313+H317</f>
        <v>306.95376</v>
      </c>
      <c r="I318" s="36" t="n">
        <f aca="false">I313+I317</f>
        <v>284.494512</v>
      </c>
      <c r="J318" s="36" t="n">
        <f aca="false">J313+J317</f>
        <v>264.2934144</v>
      </c>
      <c r="K318" s="36" t="n">
        <f aca="false">K313+K317</f>
        <v>246.80209728</v>
      </c>
      <c r="L318" s="36" t="n">
        <f aca="false">L313+L317</f>
        <v>232.562516736</v>
      </c>
      <c r="M318" s="36" t="n">
        <f aca="false">M313+M317</f>
        <v>222.2250200832</v>
      </c>
    </row>
    <row r="319" customFormat="false" ht="15" hidden="false" customHeight="false" outlineLevel="0" collapsed="false">
      <c r="A319" s="4" t="s">
        <v>498</v>
      </c>
      <c r="C319" s="48" t="n">
        <f aca="false">C318/C303</f>
        <v>5.92858021653543</v>
      </c>
      <c r="D319" s="48" t="n">
        <f aca="false">D318/C303</f>
        <v>5.25613619586614</v>
      </c>
      <c r="E319" s="48" t="n">
        <f aca="false">E318/C303</f>
        <v>5.56940514271654</v>
      </c>
      <c r="F319" s="48" t="n">
        <f aca="false">F318/C303</f>
        <v>5.21936515748032</v>
      </c>
      <c r="G319" s="48" t="n">
        <f aca="false">G318/C303</f>
        <v>4.93053026574803</v>
      </c>
      <c r="H319" s="48" t="n">
        <f aca="false">H318/C303</f>
        <v>4.72062253937008</v>
      </c>
      <c r="I319" s="48" t="n">
        <f aca="false">I318/C303</f>
        <v>4.37522317913386</v>
      </c>
      <c r="J319" s="48" t="n">
        <f aca="false">J318/C303</f>
        <v>4.06455177165354</v>
      </c>
      <c r="K319" s="48" t="n">
        <f aca="false">K318/C303</f>
        <v>3.79555390748031</v>
      </c>
      <c r="L319" s="48" t="n">
        <f aca="false">L318/C303</f>
        <v>3.57656429527559</v>
      </c>
      <c r="M319" s="48" t="n">
        <f aca="false">M318/C303</f>
        <v>3.41758458543307</v>
      </c>
    </row>
    <row r="320" customFormat="false" ht="15" hidden="false" customHeight="false" outlineLevel="0" collapsed="false">
      <c r="A320" s="4" t="s">
        <v>499</v>
      </c>
      <c r="C320" s="14" t="n">
        <f aca="false">C319/cf_eps-1</f>
        <v>-0.209522637795276</v>
      </c>
      <c r="D320" s="14" t="n">
        <f aca="false">D319/cf_eps-1</f>
        <v>-0.299181840551181</v>
      </c>
      <c r="E320" s="14" t="n">
        <f aca="false">E319/cf_eps-1</f>
        <v>-0.257412647637795</v>
      </c>
      <c r="F320" s="14" t="n">
        <f aca="false">F319/cf_eps-1</f>
        <v>-0.304084645669291</v>
      </c>
      <c r="G320" s="14" t="n">
        <f aca="false">G319/cf_eps-1</f>
        <v>-0.342595964566929</v>
      </c>
      <c r="H320" s="14" t="n">
        <f aca="false">H319/cf_eps-1</f>
        <v>-0.370583661417323</v>
      </c>
      <c r="I320" s="14" t="n">
        <f aca="false">I319/cf_eps-1</f>
        <v>-0.416636909448819</v>
      </c>
      <c r="J320" s="14" t="n">
        <f aca="false">J319/cf_eps-1</f>
        <v>-0.458059763779528</v>
      </c>
      <c r="K320" s="14" t="n">
        <f aca="false">K319/cf_eps-1</f>
        <v>-0.493926145669291</v>
      </c>
      <c r="L320" s="14" t="n">
        <f aca="false">L319/cf_eps-1</f>
        <v>-0.523124760629921</v>
      </c>
      <c r="M320" s="14" t="n">
        <f aca="false">M319/cf_eps-1</f>
        <v>-0.544322055275591</v>
      </c>
    </row>
    <row r="321" customFormat="false" ht="15" hidden="false" customHeight="false" outlineLevel="0" collapsed="false">
      <c r="A321" s="9" t="s">
        <v>500</v>
      </c>
      <c r="C321" s="50" t="n">
        <f aca="false">C319</f>
        <v>5.92858021653543</v>
      </c>
      <c r="D321" s="50" t="n">
        <f aca="false">(D318+D314)/C303</f>
        <v>6.31728284940945</v>
      </c>
      <c r="E321" s="50" t="n">
        <f aca="false">(E318+E314)/C303</f>
        <v>6.63055179625984</v>
      </c>
      <c r="F321" s="50" t="n">
        <f aca="false">(F318+F314)/C303</f>
        <v>6.28051181102362</v>
      </c>
      <c r="G321" s="50" t="n">
        <f aca="false">(G318+G314)/C303</f>
        <v>5.99167691929134</v>
      </c>
      <c r="H321" s="50" t="n">
        <f aca="false">(H318+H314)/C303</f>
        <v>5.78176919291339</v>
      </c>
      <c r="I321" s="50" t="n">
        <f aca="false">(I318+I314)/C303</f>
        <v>5.43636983267717</v>
      </c>
      <c r="J321" s="50" t="n">
        <f aca="false">(J318+J314)/C303</f>
        <v>5.12569842519685</v>
      </c>
      <c r="K321" s="50" t="n">
        <f aca="false">(K318+K314)/C303</f>
        <v>4.85670056102362</v>
      </c>
      <c r="L321" s="50" t="n">
        <f aca="false">(L318+L314)/C303</f>
        <v>4.6377109488189</v>
      </c>
      <c r="M321" s="50" t="n">
        <f aca="false">(M318+M314)/C303</f>
        <v>4.47873123897638</v>
      </c>
    </row>
    <row r="322" customFormat="false" ht="15" hidden="false" customHeight="false" outlineLevel="0" collapsed="false">
      <c r="A322" s="9" t="s">
        <v>501</v>
      </c>
      <c r="C322" s="18" t="n">
        <f aca="false">C320</f>
        <v>-0.209522637795276</v>
      </c>
      <c r="D322" s="18" t="n">
        <f aca="false">D321/D316-1</f>
        <v>-0.263559012090702</v>
      </c>
      <c r="E322" s="18" t="n">
        <f aca="false">E321/E316-1</f>
        <v>-0.227039499160966</v>
      </c>
      <c r="F322" s="18" t="n">
        <f aca="false">F321/F316-1</f>
        <v>-0.267845617658448</v>
      </c>
      <c r="G322" s="18" t="n">
        <f aca="false">G321/G316-1</f>
        <v>-0.301516716148186</v>
      </c>
      <c r="H322" s="18" t="n">
        <f aca="false">H321/H316-1</f>
        <v>-0.325986833613012</v>
      </c>
      <c r="I322" s="18" t="n">
        <f aca="false">I321/I316-1</f>
        <v>-0.366251968503937</v>
      </c>
      <c r="J322" s="18" t="n">
        <f aca="false">J321/J316-1</f>
        <v>-0.402468671743901</v>
      </c>
      <c r="K322" s="18" t="n">
        <f aca="false">K321/K316-1</f>
        <v>-0.433827257002711</v>
      </c>
      <c r="L322" s="18" t="n">
        <f aca="false">L321/L316-1</f>
        <v>-0.459356100684136</v>
      </c>
      <c r="M322" s="18" t="n">
        <f aca="false">M321/M316-1</f>
        <v>-0.477889254472699</v>
      </c>
    </row>
    <row r="323" customFormat="false" ht="15" hidden="false" customHeight="false" outlineLevel="0" collapsed="false">
      <c r="A323" s="9" t="s">
        <v>502</v>
      </c>
      <c r="C323" s="50" t="n">
        <f aca="false">(C318+C306)/C303</f>
        <v>5.92858021653543</v>
      </c>
      <c r="D323" s="50" t="n">
        <f aca="false">(D318+C306)/C303</f>
        <v>5.25613619586614</v>
      </c>
      <c r="E323" s="50" t="n">
        <f aca="false">(E318+C306)/C303</f>
        <v>5.56940514271654</v>
      </c>
      <c r="F323" s="50" t="n">
        <f aca="false">(F318+C306)/C303</f>
        <v>5.21936515748032</v>
      </c>
      <c r="G323" s="50" t="n">
        <f aca="false">(G318+C306)/C303</f>
        <v>4.93053026574803</v>
      </c>
      <c r="H323" s="50" t="n">
        <f aca="false">(H318+C306)/C303</f>
        <v>4.72062253937008</v>
      </c>
      <c r="I323" s="50" t="n">
        <f aca="false">(I318+C306)/C303</f>
        <v>4.37522317913386</v>
      </c>
      <c r="J323" s="50" t="n">
        <f aca="false">(J318+C306)/C303</f>
        <v>4.06455177165354</v>
      </c>
      <c r="K323" s="50" t="n">
        <f aca="false">(K318+C306)/C303</f>
        <v>3.79555390748031</v>
      </c>
      <c r="L323" s="50" t="n">
        <f aca="false">(L318+C306)/C303</f>
        <v>3.57656429527559</v>
      </c>
      <c r="M323" s="50" t="n">
        <f aca="false">(M318+C306)/C303</f>
        <v>3.41758458543307</v>
      </c>
    </row>
    <row r="324" customFormat="false" ht="15" hidden="false" customHeight="false" outlineLevel="0" collapsed="false">
      <c r="A324" s="9" t="s">
        <v>503</v>
      </c>
      <c r="C324" s="50" t="n">
        <f aca="false">(C318-C305+C306)/C303</f>
        <v>4.48680487204724</v>
      </c>
      <c r="D324" s="50" t="n">
        <f aca="false">(D318-C305+C306)/C303</f>
        <v>3.81436085137795</v>
      </c>
      <c r="E324" s="50" t="n">
        <f aca="false">(E318-C305+C306)/C303</f>
        <v>4.12762979822835</v>
      </c>
      <c r="F324" s="50" t="n">
        <f aca="false">(F318-C305+C306)/C303</f>
        <v>3.77758981299213</v>
      </c>
      <c r="G324" s="50" t="n">
        <f aca="false">(G318-C305+C306)/C303</f>
        <v>3.48875492125984</v>
      </c>
      <c r="H324" s="50" t="n">
        <f aca="false">(H318-C305+C306)/C303</f>
        <v>3.27884719488189</v>
      </c>
      <c r="I324" s="50" t="n">
        <f aca="false">(I318-C305+C306)/C303</f>
        <v>2.93344783464567</v>
      </c>
      <c r="J324" s="50" t="n">
        <f aca="false">(J318-C305+C306)/C303</f>
        <v>2.62277642716535</v>
      </c>
      <c r="K324" s="50" t="n">
        <f aca="false">(K318-C305+C306)/C303</f>
        <v>2.35377856299213</v>
      </c>
      <c r="L324" s="50" t="n">
        <f aca="false">(L318-C305+C306)/C303</f>
        <v>2.1347889507874</v>
      </c>
      <c r="M324" s="50" t="n">
        <f aca="false">(M318-C305+C306)/C303</f>
        <v>1.97580924094488</v>
      </c>
    </row>
    <row r="325" customFormat="false" ht="15" hidden="false" customHeight="false" outlineLevel="0" collapsed="false">
      <c r="A325" s="9" t="s">
        <v>504</v>
      </c>
      <c r="C325" s="50" t="n">
        <f aca="false">C313/C303</f>
        <v>7.38188976377953</v>
      </c>
      <c r="D325" s="50" t="n">
        <f aca="false">D313/C303</f>
        <v>7.38188976377953</v>
      </c>
      <c r="E325" s="50" t="n">
        <f aca="false">E313/C303</f>
        <v>7.38188976377953</v>
      </c>
      <c r="F325" s="50" t="n">
        <f aca="false">F313/C303</f>
        <v>7.38188976377953</v>
      </c>
      <c r="G325" s="50" t="n">
        <f aca="false">G313/C303</f>
        <v>7.38188976377953</v>
      </c>
      <c r="H325" s="50" t="n">
        <f aca="false">H313/C303</f>
        <v>7.38188976377953</v>
      </c>
      <c r="I325" s="50" t="n">
        <f aca="false">I313/C303</f>
        <v>7.38188976377953</v>
      </c>
      <c r="J325" s="50" t="n">
        <f aca="false">J313/C303</f>
        <v>7.38188976377953</v>
      </c>
      <c r="K325" s="50" t="n">
        <f aca="false">K313/C303</f>
        <v>7.38188976377953</v>
      </c>
      <c r="L325" s="50" t="n">
        <f aca="false">L313/C303</f>
        <v>7.38188976377953</v>
      </c>
      <c r="M325" s="50" t="n">
        <f aca="false">M313/C303</f>
        <v>7.38188976377953</v>
      </c>
    </row>
    <row r="326" customFormat="false" ht="15" hidden="false" customHeight="false" outlineLevel="0" collapsed="false">
      <c r="A326" s="9" t="s">
        <v>505</v>
      </c>
      <c r="D326" s="36" t="n">
        <f aca="false">D299+D308*(1-a_tax)-D309-IF(D286=1,C307,0)</f>
        <v>-950.975</v>
      </c>
      <c r="E326" s="36" t="n">
        <f aca="false">E299+E308*(1-a_tax)-E309-IF(E286=1,C307,0)</f>
        <v>-741.255</v>
      </c>
      <c r="F326" s="36" t="n">
        <f aca="false">F299+F308*(1-a_tax)-F309-IF(F286=1,C307,0)</f>
        <v>-730.596</v>
      </c>
      <c r="G326" s="36" t="n">
        <f aca="false">G299+G308*(1-a_tax)-G309-IF(G286=1,C307,0)</f>
        <v>-716.0232</v>
      </c>
      <c r="H326" s="36" t="n">
        <f aca="false">H299+H308*(1-a_tax)-H309-IF(H286=1,C307,0)</f>
        <v>-696.39744</v>
      </c>
      <c r="I326" s="36" t="n">
        <f aca="false">I299+I308*(1-a_tax)-I309-IF(I286=1,C307,0)</f>
        <v>-685.676928</v>
      </c>
      <c r="J326" s="36" t="n">
        <f aca="false">J299+J308*(1-a_tax)-J309-IF(J286=1,C307,0)</f>
        <v>-672.8123136</v>
      </c>
      <c r="K326" s="36" t="n">
        <f aca="false">K299+K308*(1-a_tax)-K309-IF(K286=1,C307,0)</f>
        <v>-657.37477632</v>
      </c>
      <c r="L326" s="36" t="n">
        <f aca="false">L299+L308*(1-a_tax)-L309-IF(L286=1,C307,0)</f>
        <v>-638.849731584</v>
      </c>
      <c r="M326" s="36" t="n">
        <f aca="false">M299+M308*(1-a_tax)-M309-IF(M286=1,C307,0)</f>
        <v>-616.6196779008</v>
      </c>
    </row>
    <row r="327" customFormat="false" ht="15" hidden="false" customHeight="false" outlineLevel="0" collapsed="false">
      <c r="A327" s="4" t="s">
        <v>506</v>
      </c>
      <c r="D327" s="41" t="n">
        <f aca="false">D326-C304</f>
        <v>-1045.475</v>
      </c>
      <c r="E327" s="41" t="n">
        <f aca="false">E326-C304</f>
        <v>-835.755</v>
      </c>
      <c r="F327" s="41" t="n">
        <f aca="false">F326-C304</f>
        <v>-825.096</v>
      </c>
      <c r="G327" s="41" t="n">
        <f aca="false">G326-C304</f>
        <v>-810.5232</v>
      </c>
      <c r="H327" s="41" t="n">
        <f aca="false">H326-C304</f>
        <v>-790.89744</v>
      </c>
      <c r="I327" s="41" t="n">
        <f aca="false">I326-C304</f>
        <v>-780.176928</v>
      </c>
      <c r="J327" s="41" t="n">
        <f aca="false">J326-C304</f>
        <v>-767.3123136</v>
      </c>
      <c r="K327" s="41" t="n">
        <f aca="false">K326-C304</f>
        <v>-751.87477632</v>
      </c>
      <c r="L327" s="41" t="n">
        <f aca="false">L326-C304</f>
        <v>-733.349731584</v>
      </c>
      <c r="M327" s="41" t="n">
        <f aca="false">M326-C304</f>
        <v>-711.1196779008</v>
      </c>
    </row>
    <row r="328" customFormat="false" ht="15" hidden="false" customHeight="false" outlineLevel="0" collapsed="false">
      <c r="A328" s="9" t="s">
        <v>507</v>
      </c>
      <c r="C328" s="36" t="n">
        <f aca="false">0</f>
        <v>0</v>
      </c>
      <c r="D328" s="36" t="n">
        <f aca="false">D314</f>
        <v>69</v>
      </c>
      <c r="E328" s="36" t="n">
        <f aca="false">E314</f>
        <v>69</v>
      </c>
      <c r="F328" s="36" t="n">
        <f aca="false">F314</f>
        <v>69</v>
      </c>
      <c r="G328" s="36" t="n">
        <f aca="false">G314</f>
        <v>69</v>
      </c>
      <c r="H328" s="36" t="n">
        <f aca="false">H314</f>
        <v>69</v>
      </c>
      <c r="I328" s="36" t="n">
        <f aca="false">I314</f>
        <v>69</v>
      </c>
      <c r="J328" s="36" t="n">
        <f aca="false">J314</f>
        <v>69</v>
      </c>
      <c r="K328" s="36" t="n">
        <f aca="false">K314</f>
        <v>69</v>
      </c>
      <c r="L328" s="36" t="n">
        <f aca="false">L314</f>
        <v>69</v>
      </c>
      <c r="M328" s="36" t="n">
        <f aca="false">M314</f>
        <v>69</v>
      </c>
    </row>
    <row r="329" customFormat="false" ht="15" hidden="false" customHeight="false" outlineLevel="0" collapsed="false">
      <c r="A329" s="9" t="s">
        <v>508</v>
      </c>
      <c r="D329" s="36" t="n">
        <f aca="false">D327+D328</f>
        <v>-976.475</v>
      </c>
      <c r="E329" s="36" t="n">
        <f aca="false">E327+E328</f>
        <v>-766.755</v>
      </c>
      <c r="F329" s="36" t="n">
        <f aca="false">F327+F328</f>
        <v>-756.096</v>
      </c>
      <c r="G329" s="36" t="n">
        <f aca="false">G327+G328</f>
        <v>-741.5232</v>
      </c>
      <c r="H329" s="36" t="n">
        <f aca="false">H327+H328</f>
        <v>-721.89744</v>
      </c>
      <c r="I329" s="36" t="n">
        <f aca="false">I327+I328</f>
        <v>-711.176928</v>
      </c>
      <c r="J329" s="36" t="n">
        <f aca="false">J327+J328</f>
        <v>-698.3123136</v>
      </c>
      <c r="K329" s="36" t="n">
        <f aca="false">K327+K328</f>
        <v>-682.87477632</v>
      </c>
      <c r="L329" s="36" t="n">
        <f aca="false">L327+L328</f>
        <v>-664.349731584</v>
      </c>
      <c r="M329" s="36" t="n">
        <f aca="false">M327+M328</f>
        <v>-642.1196779008</v>
      </c>
    </row>
    <row r="330" customFormat="false" ht="15" hidden="false" customHeight="false" outlineLevel="0" collapsed="false">
      <c r="A330" s="9" t="s">
        <v>509</v>
      </c>
      <c r="D330" s="36" t="n">
        <f aca="false">IF(lv_mdr_in_deal=1,D329,D327)</f>
        <v>-1045.475</v>
      </c>
      <c r="E330" s="36" t="n">
        <f aca="false">IF(lv_mdr_in_deal=1,E329,E327)</f>
        <v>-835.755</v>
      </c>
      <c r="F330" s="36" t="n">
        <f aca="false">IF(lv_mdr_in_deal=1,F329,F327)</f>
        <v>-825.096</v>
      </c>
      <c r="G330" s="36" t="n">
        <f aca="false">IF(lv_mdr_in_deal=1,G329,G327)</f>
        <v>-810.5232</v>
      </c>
      <c r="H330" s="36" t="n">
        <f aca="false">IF(lv_mdr_in_deal=1,H329,H327)</f>
        <v>-790.89744</v>
      </c>
      <c r="I330" s="36" t="n">
        <f aca="false">IF(lv_mdr_in_deal=1,I329,I327)</f>
        <v>-780.176928</v>
      </c>
      <c r="J330" s="36" t="n">
        <f aca="false">IF(lv_mdr_in_deal=1,J329,J327)</f>
        <v>-767.3123136</v>
      </c>
      <c r="K330" s="36" t="n">
        <f aca="false">IF(lv_mdr_in_deal=1,K329,K327)</f>
        <v>-751.87477632</v>
      </c>
      <c r="L330" s="36" t="n">
        <f aca="false">IF(lv_mdr_in_deal=1,L329,L327)</f>
        <v>-733.349731584</v>
      </c>
      <c r="M330" s="36" t="n">
        <f aca="false">IF(lv_mdr_in_deal=1,M329,M327)</f>
        <v>-711.1196779008</v>
      </c>
    </row>
    <row r="331" customFormat="false" ht="15" hidden="false" customHeight="false" outlineLevel="0" collapsed="false">
      <c r="A331" s="9" t="s">
        <v>510</v>
      </c>
      <c r="C331" s="36" t="n">
        <f aca="false">-lv_price</f>
        <v>-4000</v>
      </c>
      <c r="D331" s="36" t="n">
        <f aca="false">C331+D330</f>
        <v>-5045.475</v>
      </c>
      <c r="E331" s="36" t="n">
        <f aca="false">D331+E330</f>
        <v>-5881.23</v>
      </c>
      <c r="F331" s="36" t="n">
        <f aca="false">E331+F330</f>
        <v>-6706.326</v>
      </c>
      <c r="G331" s="36" t="n">
        <f aca="false">F331+G330</f>
        <v>-7516.8492</v>
      </c>
      <c r="H331" s="36" t="n">
        <f aca="false">G331+H330</f>
        <v>-8307.74664</v>
      </c>
      <c r="I331" s="36" t="n">
        <f aca="false">H331+I330</f>
        <v>-9087.923568</v>
      </c>
      <c r="J331" s="36" t="n">
        <f aca="false">I331+J330</f>
        <v>-9855.2358816</v>
      </c>
      <c r="K331" s="36" t="n">
        <f aca="false">J331+K330</f>
        <v>-10607.11065792</v>
      </c>
      <c r="L331" s="36" t="n">
        <f aca="false">K331+L330</f>
        <v>-11340.460389504</v>
      </c>
      <c r="M331" s="36" t="n">
        <f aca="false">L331+M330</f>
        <v>-12051.5800674048</v>
      </c>
    </row>
    <row r="332" customFormat="false" ht="15" hidden="false" customHeight="false" outlineLevel="0" collapsed="false">
      <c r="A332" s="9" t="s">
        <v>511</v>
      </c>
      <c r="C332" s="43" t="n">
        <f aca="false">1</f>
        <v>1</v>
      </c>
      <c r="D332" s="43" t="n">
        <f aca="false">1/(1+lv_wacc)^D286</f>
        <v>0.884955752212389</v>
      </c>
      <c r="E332" s="43" t="n">
        <f aca="false">1/(1+lv_wacc)^E286</f>
        <v>0.783146683373796</v>
      </c>
      <c r="F332" s="43" t="n">
        <f aca="false">1/(1+lv_wacc)^F286</f>
        <v>0.693050162277696</v>
      </c>
      <c r="G332" s="43" t="n">
        <f aca="false">1/(1+lv_wacc)^G286</f>
        <v>0.613318727679377</v>
      </c>
      <c r="H332" s="43" t="n">
        <f aca="false">1/(1+lv_wacc)^H286</f>
        <v>0.542759935999449</v>
      </c>
      <c r="I332" s="43" t="n">
        <f aca="false">1/(1+lv_wacc)^I286</f>
        <v>0.48031852743314</v>
      </c>
      <c r="J332" s="43" t="n">
        <f aca="false">1/(1+lv_wacc)^J286</f>
        <v>0.425060643746142</v>
      </c>
      <c r="K332" s="43" t="n">
        <f aca="false">1/(1+lv_wacc)^K286</f>
        <v>0.37615986172225</v>
      </c>
      <c r="L332" s="43" t="n">
        <f aca="false">1/(1+lv_wacc)^L286</f>
        <v>0.332884833382522</v>
      </c>
      <c r="M332" s="43" t="n">
        <f aca="false">1/(1+lv_wacc)^M286</f>
        <v>0.294588348126126</v>
      </c>
    </row>
    <row r="333" customFormat="false" ht="15" hidden="false" customHeight="false" outlineLevel="0" collapsed="false">
      <c r="A333" s="9" t="s">
        <v>512</v>
      </c>
      <c r="C333" s="46" t="n">
        <f aca="false">99</f>
        <v>99</v>
      </c>
      <c r="D333" s="46" t="n">
        <f aca="false">IF(D317&gt;=0,D286,99)</f>
        <v>99</v>
      </c>
      <c r="E333" s="46" t="n">
        <f aca="false">IF(E317&gt;=0,E286,99)</f>
        <v>99</v>
      </c>
      <c r="F333" s="46" t="n">
        <f aca="false">IF(F317&gt;=0,F286,99)</f>
        <v>99</v>
      </c>
      <c r="G333" s="46" t="n">
        <f aca="false">IF(G317&gt;=0,G286,99)</f>
        <v>99</v>
      </c>
      <c r="H333" s="46" t="n">
        <f aca="false">IF(H317&gt;=0,H286,99)</f>
        <v>99</v>
      </c>
      <c r="I333" s="46" t="n">
        <f aca="false">IF(I317&gt;=0,I286,99)</f>
        <v>99</v>
      </c>
      <c r="J333" s="46" t="n">
        <f aca="false">IF(J317&gt;=0,J286,99)</f>
        <v>99</v>
      </c>
      <c r="K333" s="46" t="n">
        <f aca="false">IF(K317&gt;=0,K286,99)</f>
        <v>99</v>
      </c>
      <c r="L333" s="46" t="n">
        <f aca="false">IF(L317&gt;=0,L286,99)</f>
        <v>99</v>
      </c>
      <c r="M333" s="46" t="n">
        <f aca="false">IF(M317&gt;=0,M286,99)</f>
        <v>99</v>
      </c>
    </row>
    <row r="334" customFormat="false" ht="15" hidden="false" customHeight="false" outlineLevel="0" collapsed="false">
      <c r="A334" s="9" t="s">
        <v>513</v>
      </c>
      <c r="C334" s="46" t="n">
        <f aca="false">99</f>
        <v>99</v>
      </c>
      <c r="D334" s="46" t="n">
        <f aca="false">IF(D317+D314&gt;=0,D286,99)</f>
        <v>99</v>
      </c>
      <c r="E334" s="46" t="n">
        <f aca="false">IF(E317+E314&gt;=0,E286,99)</f>
        <v>99</v>
      </c>
      <c r="F334" s="46" t="n">
        <f aca="false">IF(F317+F314&gt;=0,F286,99)</f>
        <v>99</v>
      </c>
      <c r="G334" s="46" t="n">
        <f aca="false">IF(G317+G314&gt;=0,G286,99)</f>
        <v>99</v>
      </c>
      <c r="H334" s="46" t="n">
        <f aca="false">IF(H317+H314&gt;=0,H286,99)</f>
        <v>99</v>
      </c>
      <c r="I334" s="46" t="n">
        <f aca="false">IF(I317+I314&gt;=0,I286,99)</f>
        <v>99</v>
      </c>
      <c r="J334" s="46" t="n">
        <f aca="false">IF(J317+J314&gt;=0,J286,99)</f>
        <v>99</v>
      </c>
      <c r="K334" s="46" t="n">
        <f aca="false">IF(K317+K314&gt;=0,K286,99)</f>
        <v>99</v>
      </c>
      <c r="L334" s="46" t="n">
        <f aca="false">IF(L317+L314&gt;=0,L286,99)</f>
        <v>99</v>
      </c>
      <c r="M334" s="46" t="n">
        <f aca="false">IF(M317+M314&gt;=0,M286,99)</f>
        <v>99</v>
      </c>
    </row>
    <row r="335" customFormat="false" ht="15" hidden="false" customHeight="false" outlineLevel="0" collapsed="false">
      <c r="A335" s="9" t="s">
        <v>514</v>
      </c>
      <c r="C335" s="46" t="n">
        <f aca="false">99</f>
        <v>99</v>
      </c>
      <c r="D335" s="46" t="n">
        <f aca="false">IF(D327&gt;=0,D286,99)</f>
        <v>99</v>
      </c>
      <c r="E335" s="46" t="n">
        <f aca="false">IF(E327&gt;=0,E286,99)</f>
        <v>99</v>
      </c>
      <c r="F335" s="46" t="n">
        <f aca="false">IF(F327&gt;=0,F286,99)</f>
        <v>99</v>
      </c>
      <c r="G335" s="46" t="n">
        <f aca="false">IF(G327&gt;=0,G286,99)</f>
        <v>99</v>
      </c>
      <c r="H335" s="46" t="n">
        <f aca="false">IF(H327&gt;=0,H286,99)</f>
        <v>99</v>
      </c>
      <c r="I335" s="46" t="n">
        <f aca="false">IF(I327&gt;=0,I286,99)</f>
        <v>99</v>
      </c>
      <c r="J335" s="46" t="n">
        <f aca="false">IF(J327&gt;=0,J286,99)</f>
        <v>99</v>
      </c>
      <c r="K335" s="46" t="n">
        <f aca="false">IF(K327&gt;=0,K286,99)</f>
        <v>99</v>
      </c>
      <c r="L335" s="46" t="n">
        <f aca="false">IF(L327&gt;=0,L286,99)</f>
        <v>99</v>
      </c>
      <c r="M335" s="46" t="n">
        <f aca="false">IF(M327&gt;=0,M286,99)</f>
        <v>99</v>
      </c>
    </row>
    <row r="336" customFormat="false" ht="15" hidden="false" customHeight="false" outlineLevel="0" collapsed="false">
      <c r="A336" s="9" t="s">
        <v>515</v>
      </c>
      <c r="C336" s="46" t="n">
        <f aca="false">99</f>
        <v>99</v>
      </c>
      <c r="D336" s="46" t="n">
        <f aca="false">IF(D329&gt;=0,D286,99)</f>
        <v>99</v>
      </c>
      <c r="E336" s="46" t="n">
        <f aca="false">IF(E329&gt;=0,E286,99)</f>
        <v>99</v>
      </c>
      <c r="F336" s="46" t="n">
        <f aca="false">IF(F329&gt;=0,F286,99)</f>
        <v>99</v>
      </c>
      <c r="G336" s="46" t="n">
        <f aca="false">IF(G329&gt;=0,G286,99)</f>
        <v>99</v>
      </c>
      <c r="H336" s="46" t="n">
        <f aca="false">IF(H329&gt;=0,H286,99)</f>
        <v>99</v>
      </c>
      <c r="I336" s="46" t="n">
        <f aca="false">IF(I329&gt;=0,I286,99)</f>
        <v>99</v>
      </c>
      <c r="J336" s="46" t="n">
        <f aca="false">IF(J329&gt;=0,J286,99)</f>
        <v>99</v>
      </c>
      <c r="K336" s="46" t="n">
        <f aca="false">IF(K329&gt;=0,K286,99)</f>
        <v>99</v>
      </c>
      <c r="L336" s="46" t="n">
        <f aca="false">IF(L329&gt;=0,L286,99)</f>
        <v>99</v>
      </c>
      <c r="M336" s="46" t="n">
        <f aca="false">IF(M329&gt;=0,M286,99)</f>
        <v>99</v>
      </c>
    </row>
    <row r="337" customFormat="false" ht="15" hidden="false" customHeight="false" outlineLevel="0" collapsed="false">
      <c r="A337" s="9" t="s">
        <v>516</v>
      </c>
      <c r="C337" s="46" t="n">
        <f aca="false">99</f>
        <v>99</v>
      </c>
      <c r="D337" s="46" t="n">
        <f aca="false">IF(D331&gt;=0,D286,99)</f>
        <v>99</v>
      </c>
      <c r="E337" s="46" t="n">
        <f aca="false">IF(E331&gt;=0,E286,99)</f>
        <v>99</v>
      </c>
      <c r="F337" s="46" t="n">
        <f aca="false">IF(F331&gt;=0,F286,99)</f>
        <v>99</v>
      </c>
      <c r="G337" s="46" t="n">
        <f aca="false">IF(G331&gt;=0,G286,99)</f>
        <v>99</v>
      </c>
      <c r="H337" s="46" t="n">
        <f aca="false">IF(H331&gt;=0,H286,99)</f>
        <v>99</v>
      </c>
      <c r="I337" s="46" t="n">
        <f aca="false">IF(I331&gt;=0,I286,99)</f>
        <v>99</v>
      </c>
      <c r="J337" s="46" t="n">
        <f aca="false">IF(J331&gt;=0,J286,99)</f>
        <v>99</v>
      </c>
      <c r="K337" s="46" t="n">
        <f aca="false">IF(K331&gt;=0,K286,99)</f>
        <v>99</v>
      </c>
      <c r="L337" s="46" t="n">
        <f aca="false">IF(L331&gt;=0,L286,99)</f>
        <v>99</v>
      </c>
      <c r="M337" s="46" t="n">
        <f aca="false">IF(M331&gt;=0,M286,99)</f>
        <v>99</v>
      </c>
    </row>
    <row r="338" customFormat="false" ht="15" hidden="false" customHeight="false" outlineLevel="0" collapsed="false">
      <c r="A338" s="4" t="s">
        <v>517</v>
      </c>
      <c r="C338" s="23" t="n">
        <f aca="false">MIN(D333:M333)</f>
        <v>99</v>
      </c>
    </row>
    <row r="339" customFormat="false" ht="15" hidden="false" customHeight="false" outlineLevel="0" collapsed="false">
      <c r="A339" s="9" t="s">
        <v>518</v>
      </c>
      <c r="C339" s="46" t="n">
        <f aca="false">MIN(D334:M334)</f>
        <v>99</v>
      </c>
    </row>
    <row r="340" customFormat="false" ht="15" hidden="false" customHeight="false" outlineLevel="0" collapsed="false">
      <c r="A340" s="4" t="s">
        <v>519</v>
      </c>
      <c r="C340" s="23" t="n">
        <f aca="false">MIN(D335:M335)</f>
        <v>99</v>
      </c>
    </row>
    <row r="341" customFormat="false" ht="15" hidden="false" customHeight="false" outlineLevel="0" collapsed="false">
      <c r="A341" s="9" t="s">
        <v>520</v>
      </c>
      <c r="C341" s="46" t="n">
        <f aca="false">MIN(D336:M336)</f>
        <v>99</v>
      </c>
    </row>
    <row r="342" customFormat="false" ht="15" hidden="false" customHeight="false" outlineLevel="0" collapsed="false">
      <c r="A342" s="9" t="s">
        <v>521</v>
      </c>
      <c r="C342" s="46" t="n">
        <f aca="false">MIN(D337:M337)</f>
        <v>99</v>
      </c>
    </row>
    <row r="343" customFormat="false" ht="15" hidden="false" customHeight="false" outlineLevel="0" collapsed="false">
      <c r="A343" s="4" t="s">
        <v>522</v>
      </c>
      <c r="C343" s="15" t="n">
        <f aca="false">M331</f>
        <v>-12051.5800674048</v>
      </c>
    </row>
    <row r="344" customFormat="false" ht="15" hidden="false" customHeight="false" outlineLevel="0" collapsed="false">
      <c r="A344" s="9" t="s">
        <v>523</v>
      </c>
      <c r="C344" s="36" t="n">
        <f aca="false">SUMPRODUCT(D299:M299,D332:M332)</f>
        <v>208.806860496414</v>
      </c>
    </row>
    <row r="345" customFormat="false" ht="15" hidden="false" customHeight="false" outlineLevel="0" collapsed="false">
      <c r="A345" s="9" t="s">
        <v>524</v>
      </c>
      <c r="C345" s="36" t="n">
        <f aca="false">M299*(1+a_tg)/(lv_wacc-a_tg)</f>
        <v>1750.616727552</v>
      </c>
    </row>
    <row r="346" customFormat="false" ht="15" hidden="false" customHeight="false" outlineLevel="0" collapsed="false">
      <c r="A346" s="9" t="s">
        <v>314</v>
      </c>
      <c r="C346" s="36" t="n">
        <f aca="false">C345*M332</f>
        <v>515.711289971507</v>
      </c>
    </row>
    <row r="347" customFormat="false" ht="15" hidden="false" customHeight="false" outlineLevel="0" collapsed="false">
      <c r="A347" s="4" t="s">
        <v>525</v>
      </c>
      <c r="C347" s="15" t="n">
        <f aca="false">C344+C346</f>
        <v>724.518150467921</v>
      </c>
    </row>
    <row r="348" customFormat="false" ht="15" hidden="false" customHeight="false" outlineLevel="0" collapsed="false">
      <c r="A348" s="9" t="s">
        <v>526</v>
      </c>
      <c r="C348" s="32" t="n">
        <f aca="false">SUMPRODUCT(D309:M309,D332:M332)-a_recovery*M311*M332</f>
        <v>4069.68260696466</v>
      </c>
    </row>
    <row r="349" customFormat="false" ht="15" hidden="false" customHeight="false" outlineLevel="0" collapsed="false">
      <c r="A349" s="9" t="s">
        <v>527</v>
      </c>
      <c r="C349" s="36" t="n">
        <f aca="false">SUMPRODUCT(D308:M308,D332:M332)*(1-a_tax)</f>
        <v>0</v>
      </c>
    </row>
    <row r="350" customFormat="false" ht="15" hidden="false" customHeight="false" outlineLevel="0" collapsed="false">
      <c r="A350" s="9" t="s">
        <v>528</v>
      </c>
      <c r="C350" s="36" t="n">
        <f aca="false">C307*D332</f>
        <v>141.592920353982</v>
      </c>
    </row>
    <row r="351" customFormat="false" ht="15" hidden="false" customHeight="false" outlineLevel="0" collapsed="false">
      <c r="A351" s="4" t="s">
        <v>529</v>
      </c>
      <c r="C351" s="20" t="n">
        <f aca="false">C347+C349-C348-C350-lv_price</f>
        <v>-7486.75737685072</v>
      </c>
    </row>
    <row r="352" customFormat="false" ht="15" hidden="false" customHeight="false" outlineLevel="0" collapsed="false">
      <c r="A352" s="9" t="s">
        <v>530</v>
      </c>
      <c r="C352" s="32" t="n">
        <f aca="false">C351+SUMPRODUCT(D328:M328,D332:M332)</f>
        <v>-7112.34657700998</v>
      </c>
    </row>
    <row r="353" customFormat="false" ht="15" hidden="false" customHeight="false" outlineLevel="0" collapsed="false">
      <c r="A353" s="4" t="s">
        <v>531</v>
      </c>
      <c r="C353" s="59" t="n">
        <f aca="false">lv_price/D289</f>
        <v>24.2424242424242</v>
      </c>
    </row>
    <row r="354" customFormat="false" ht="15" hidden="false" customHeight="false" outlineLevel="0" collapsed="false">
      <c r="A354" s="9" t="s">
        <v>532</v>
      </c>
      <c r="C354" s="17" t="n">
        <f aca="false">(lv_price+C348)/D289</f>
        <v>48.9071673149374</v>
      </c>
    </row>
    <row r="355" customFormat="false" ht="15" hidden="false" customHeight="false" outlineLevel="0" collapsed="false">
      <c r="A355" s="4" t="s">
        <v>533</v>
      </c>
      <c r="C355" s="15" t="n">
        <f aca="false">(C351+C348)/SUMPRODUCT(D332:M332)</f>
        <v>-629.731191574665</v>
      </c>
    </row>
    <row r="356" customFormat="false" ht="15" hidden="false" customHeight="false" outlineLevel="0" collapsed="false">
      <c r="A356" s="4" t="s">
        <v>534</v>
      </c>
      <c r="C356" s="25" t="n">
        <f aca="false">D319</f>
        <v>5.25613619586614</v>
      </c>
    </row>
    <row r="357" customFormat="false" ht="15" hidden="false" customHeight="false" outlineLevel="0" collapsed="false">
      <c r="A357" s="9" t="s">
        <v>535</v>
      </c>
      <c r="C357" s="50" t="n">
        <f aca="false">F319</f>
        <v>5.21936515748032</v>
      </c>
    </row>
    <row r="358" customFormat="false" ht="15" hidden="false" customHeight="false" outlineLevel="0" collapsed="false">
      <c r="A358" s="4" t="s">
        <v>536</v>
      </c>
      <c r="C358" s="20" t="n">
        <f aca="false">D327</f>
        <v>-1045.475</v>
      </c>
    </row>
    <row r="359" customFormat="false" ht="15" hidden="false" customHeight="false" outlineLevel="0" collapsed="false">
      <c r="A359" s="9" t="s">
        <v>537</v>
      </c>
      <c r="C359" s="32" t="n">
        <f aca="false">cf_cash-lv_mix_cash-C307</f>
        <v>6640</v>
      </c>
    </row>
    <row r="360" customFormat="false" ht="15" hidden="false" customHeight="false" outlineLevel="0" collapsed="false">
      <c r="A360" s="9" t="s">
        <v>538</v>
      </c>
      <c r="C360" s="32" t="n">
        <f aca="false">cf_debt+lv_mix_debt</f>
        <v>350</v>
      </c>
    </row>
    <row r="361" customFormat="false" ht="15" hidden="false" customHeight="false" outlineLevel="0" collapsed="false">
      <c r="A361" s="9" t="s">
        <v>539</v>
      </c>
      <c r="C361" s="34" t="n">
        <f aca="false">C360/cf_ebitda</f>
        <v>0.546875</v>
      </c>
    </row>
    <row r="362" customFormat="false" ht="15" hidden="false" customHeight="false" outlineLevel="0" collapsed="false">
      <c r="A362" s="9" t="s">
        <v>540</v>
      </c>
      <c r="C362" s="32" t="n">
        <f aca="false">C359+SUM(D330:F330)+3*cf_pat</f>
        <v>5373.674</v>
      </c>
    </row>
    <row r="364" customFormat="false" ht="15" hidden="false" customHeight="false" outlineLevel="0" collapsed="false">
      <c r="A364" s="7" t="s">
        <v>600</v>
      </c>
      <c r="B364" s="8"/>
      <c r="C364" s="8"/>
      <c r="D364" s="8"/>
      <c r="E364" s="8"/>
      <c r="F364" s="8"/>
      <c r="G364" s="8"/>
      <c r="H364" s="8"/>
      <c r="I364" s="8"/>
      <c r="J364" s="8"/>
      <c r="K364" s="8"/>
      <c r="L364" s="8"/>
      <c r="M364" s="8"/>
      <c r="N364" s="8"/>
    </row>
    <row r="365" customFormat="false" ht="15" hidden="false" customHeight="false" outlineLevel="0" collapsed="false">
      <c r="A365" s="4" t="s">
        <v>284</v>
      </c>
      <c r="C365" s="39" t="n">
        <v>0</v>
      </c>
      <c r="D365" s="39" t="n">
        <v>1</v>
      </c>
      <c r="E365" s="39" t="n">
        <v>2</v>
      </c>
      <c r="F365" s="39" t="n">
        <v>3</v>
      </c>
      <c r="G365" s="39" t="n">
        <v>4</v>
      </c>
      <c r="H365" s="39" t="n">
        <v>5</v>
      </c>
      <c r="I365" s="39" t="n">
        <v>6</v>
      </c>
      <c r="J365" s="39" t="n">
        <v>7</v>
      </c>
      <c r="K365" s="39" t="n">
        <v>8</v>
      </c>
      <c r="L365" s="39" t="n">
        <v>9</v>
      </c>
      <c r="M365" s="39" t="n">
        <v>10</v>
      </c>
    </row>
    <row r="366" customFormat="false" ht="15" hidden="false" customHeight="false" outlineLevel="0" collapsed="false">
      <c r="A366" s="9" t="s">
        <v>285</v>
      </c>
      <c r="C366" s="40" t="n">
        <f aca="false">cf_arr</f>
        <v>220</v>
      </c>
      <c r="D366" s="36" t="n">
        <f aca="false">C366*(1+lv_g)</f>
        <v>264</v>
      </c>
      <c r="E366" s="36" t="n">
        <f aca="false">D366*(1+lv_g)</f>
        <v>316.8</v>
      </c>
      <c r="F366" s="36" t="n">
        <f aca="false">E366*(1+lv_g)</f>
        <v>380.16</v>
      </c>
      <c r="G366" s="36" t="n">
        <f aca="false">F366*(1+lv_g)</f>
        <v>456.192</v>
      </c>
      <c r="H366" s="36" t="n">
        <f aca="false">G366*(1+lv_g)</f>
        <v>547.4304</v>
      </c>
      <c r="I366" s="36" t="n">
        <f aca="false">H366*(1+lv_g)</f>
        <v>656.91648</v>
      </c>
      <c r="J366" s="36" t="n">
        <f aca="false">I366*(1+lv_g)</f>
        <v>788.299776</v>
      </c>
      <c r="K366" s="36" t="n">
        <f aca="false">J366*(1+lv_g)</f>
        <v>945.9597312</v>
      </c>
      <c r="L366" s="36" t="n">
        <f aca="false">K366*(1+lv_g)</f>
        <v>1135.15167744</v>
      </c>
      <c r="M366" s="36" t="n">
        <f aca="false">L366*(1+lv_g)</f>
        <v>1362.182012928</v>
      </c>
    </row>
    <row r="367" customFormat="false" ht="15" hidden="false" customHeight="false" outlineLevel="0" collapsed="false">
      <c r="A367" s="9" t="s">
        <v>286</v>
      </c>
      <c r="C367" s="18" t="n">
        <f aca="false">1</f>
        <v>1</v>
      </c>
      <c r="D367" s="18" t="n">
        <f aca="false">IF(D365&gt;=a_churn_year,1-lv_churn,1)</f>
        <v>0.625</v>
      </c>
      <c r="E367" s="18" t="n">
        <f aca="false">IF(E365&gt;=a_churn_year,1-lv_churn,1)</f>
        <v>0.625</v>
      </c>
      <c r="F367" s="18" t="n">
        <f aca="false">IF(F365&gt;=a_churn_year,1-lv_churn,1)</f>
        <v>0.625</v>
      </c>
      <c r="G367" s="18" t="n">
        <f aca="false">IF(G365&gt;=a_churn_year,1-lv_churn,1)</f>
        <v>0.625</v>
      </c>
      <c r="H367" s="18" t="n">
        <f aca="false">IF(H365&gt;=a_churn_year,1-lv_churn,1)</f>
        <v>0.625</v>
      </c>
      <c r="I367" s="18" t="n">
        <f aca="false">IF(I365&gt;=a_churn_year,1-lv_churn,1)</f>
        <v>0.625</v>
      </c>
      <c r="J367" s="18" t="n">
        <f aca="false">IF(J365&gt;=a_churn_year,1-lv_churn,1)</f>
        <v>0.625</v>
      </c>
      <c r="K367" s="18" t="n">
        <f aca="false">IF(K365&gt;=a_churn_year,1-lv_churn,1)</f>
        <v>0.625</v>
      </c>
      <c r="L367" s="18" t="n">
        <f aca="false">IF(L365&gt;=a_churn_year,1-lv_churn,1)</f>
        <v>0.625</v>
      </c>
      <c r="M367" s="18" t="n">
        <f aca="false">IF(M365&gt;=a_churn_year,1-lv_churn,1)</f>
        <v>0.625</v>
      </c>
    </row>
    <row r="368" customFormat="false" ht="15" hidden="false" customHeight="false" outlineLevel="0" collapsed="false">
      <c r="A368" s="4" t="s">
        <v>287</v>
      </c>
      <c r="C368" s="41" t="n">
        <f aca="false">C366*C367</f>
        <v>220</v>
      </c>
      <c r="D368" s="41" t="n">
        <f aca="false">D366*D367</f>
        <v>165</v>
      </c>
      <c r="E368" s="41" t="n">
        <f aca="false">E366*E367</f>
        <v>198</v>
      </c>
      <c r="F368" s="41" t="n">
        <f aca="false">F366*F367</f>
        <v>237.6</v>
      </c>
      <c r="G368" s="41" t="n">
        <f aca="false">G366*G367</f>
        <v>285.12</v>
      </c>
      <c r="H368" s="41" t="n">
        <f aca="false">H366*H367</f>
        <v>342.144</v>
      </c>
      <c r="I368" s="41" t="n">
        <f aca="false">I366*I367</f>
        <v>410.5728</v>
      </c>
      <c r="J368" s="41" t="n">
        <f aca="false">J366*J367</f>
        <v>492.68736</v>
      </c>
      <c r="K368" s="41" t="n">
        <f aca="false">K366*K367</f>
        <v>591.224832</v>
      </c>
      <c r="L368" s="41" t="n">
        <f aca="false">L366*L367</f>
        <v>709.4697984</v>
      </c>
      <c r="M368" s="41" t="n">
        <f aca="false">M366*M367</f>
        <v>851.36375808</v>
      </c>
    </row>
    <row r="369" customFormat="false" ht="15" hidden="false" customHeight="false" outlineLevel="0" collapsed="false">
      <c r="A369" s="9" t="s">
        <v>288</v>
      </c>
      <c r="C369" s="18" t="n">
        <f aca="false">MIN(a_m0+a_mstep*C365,a_mcap)</f>
        <v>0</v>
      </c>
      <c r="D369" s="18" t="n">
        <f aca="false">MIN(a_m0+a_mstep*D365,a_mcap)</f>
        <v>0.05</v>
      </c>
      <c r="E369" s="18" t="n">
        <f aca="false">MIN(a_m0+a_mstep*E365,a_mcap)</f>
        <v>0.1</v>
      </c>
      <c r="F369" s="18" t="n">
        <f aca="false">MIN(a_m0+a_mstep*F365,a_mcap)</f>
        <v>0.15</v>
      </c>
      <c r="G369" s="18" t="n">
        <f aca="false">MIN(a_m0+a_mstep*G365,a_mcap)</f>
        <v>0.2</v>
      </c>
      <c r="H369" s="18" t="n">
        <f aca="false">MIN(a_m0+a_mstep*H365,a_mcap)</f>
        <v>0.25</v>
      </c>
      <c r="I369" s="18" t="n">
        <f aca="false">MIN(a_m0+a_mstep*I365,a_mcap)</f>
        <v>0.25</v>
      </c>
      <c r="J369" s="18" t="n">
        <f aca="false">MIN(a_m0+a_mstep*J365,a_mcap)</f>
        <v>0.25</v>
      </c>
      <c r="K369" s="18" t="n">
        <f aca="false">MIN(a_m0+a_mstep*K365,a_mcap)</f>
        <v>0.25</v>
      </c>
      <c r="L369" s="18" t="n">
        <f aca="false">MIN(a_m0+a_mstep*L365,a_mcap)</f>
        <v>0.25</v>
      </c>
      <c r="M369" s="18" t="n">
        <f aca="false">MIN(a_m0+a_mstep*M365,a_mcap)</f>
        <v>0.25</v>
      </c>
    </row>
    <row r="370" customFormat="false" ht="15" hidden="false" customHeight="false" outlineLevel="0" collapsed="false">
      <c r="A370" s="9" t="s">
        <v>289</v>
      </c>
      <c r="C370" s="36" t="n">
        <f aca="false">IF(C365=a_churn_year,a_sticky*(C366-C368)*(1-C369),0)</f>
        <v>0</v>
      </c>
      <c r="D370" s="36" t="n">
        <f aca="false">IF(D365=a_churn_year,a_sticky*(D366-D368)*(1-D369),0)</f>
        <v>47.025</v>
      </c>
      <c r="E370" s="36" t="n">
        <f aca="false">IF(E365=a_churn_year,a_sticky*(E366-E368)*(1-E369),0)</f>
        <v>0</v>
      </c>
      <c r="F370" s="36" t="n">
        <f aca="false">IF(F365=a_churn_year,a_sticky*(F366-F368)*(1-F369),0)</f>
        <v>0</v>
      </c>
      <c r="G370" s="36" t="n">
        <f aca="false">IF(G365=a_churn_year,a_sticky*(G366-G368)*(1-G369),0)</f>
        <v>0</v>
      </c>
      <c r="H370" s="36" t="n">
        <f aca="false">IF(H365=a_churn_year,a_sticky*(H366-H368)*(1-H369),0)</f>
        <v>0</v>
      </c>
      <c r="I370" s="36" t="n">
        <f aca="false">IF(I365=a_churn_year,a_sticky*(I366-I368)*(1-I369),0)</f>
        <v>0</v>
      </c>
      <c r="J370" s="36" t="n">
        <f aca="false">IF(J365=a_churn_year,a_sticky*(J366-J368)*(1-J369),0)</f>
        <v>0</v>
      </c>
      <c r="K370" s="36" t="n">
        <f aca="false">IF(K365=a_churn_year,a_sticky*(K366-K368)*(1-K369),0)</f>
        <v>0</v>
      </c>
      <c r="L370" s="36" t="n">
        <f aca="false">IF(L365=a_churn_year,a_sticky*(L366-L368)*(1-L369),0)</f>
        <v>0</v>
      </c>
      <c r="M370" s="36" t="n">
        <f aca="false">IF(M365=a_churn_year,a_sticky*(M366-M368)*(1-M369),0)</f>
        <v>0</v>
      </c>
    </row>
    <row r="371" customFormat="false" ht="15" hidden="false" customHeight="false" outlineLevel="0" collapsed="false">
      <c r="A371" s="4" t="s">
        <v>290</v>
      </c>
      <c r="C371" s="41" t="n">
        <f aca="false">C368*C369-C370</f>
        <v>0</v>
      </c>
      <c r="D371" s="41" t="n">
        <f aca="false">D368*D369-D370</f>
        <v>-38.775</v>
      </c>
      <c r="E371" s="41" t="n">
        <f aca="false">E368*E369-E370</f>
        <v>19.8</v>
      </c>
      <c r="F371" s="41" t="n">
        <f aca="false">F368*F369-F370</f>
        <v>35.64</v>
      </c>
      <c r="G371" s="41" t="n">
        <f aca="false">G368*G369-G370</f>
        <v>57.024</v>
      </c>
      <c r="H371" s="41" t="n">
        <f aca="false">H368*H369-H370</f>
        <v>85.536</v>
      </c>
      <c r="I371" s="41" t="n">
        <f aca="false">I368*I369-I370</f>
        <v>102.6432</v>
      </c>
      <c r="J371" s="41" t="n">
        <f aca="false">J368*J369-J370</f>
        <v>123.17184</v>
      </c>
      <c r="K371" s="41" t="n">
        <f aca="false">K368*K369-K370</f>
        <v>147.806208</v>
      </c>
      <c r="L371" s="41" t="n">
        <f aca="false">L368*L369-L370</f>
        <v>177.3674496</v>
      </c>
      <c r="M371" s="41" t="n">
        <f aca="false">M368*M369-M370</f>
        <v>212.84093952</v>
      </c>
    </row>
    <row r="372" customFormat="false" ht="15" hidden="false" customHeight="false" outlineLevel="0" collapsed="false">
      <c r="A372" s="9" t="s">
        <v>291</v>
      </c>
      <c r="C372" s="36" t="n">
        <f aca="false">C368*a_da</f>
        <v>6.6</v>
      </c>
      <c r="D372" s="36" t="n">
        <f aca="false">D368*a_da</f>
        <v>4.95</v>
      </c>
      <c r="E372" s="36" t="n">
        <f aca="false">E368*a_da</f>
        <v>5.94</v>
      </c>
      <c r="F372" s="36" t="n">
        <f aca="false">F368*a_da</f>
        <v>7.128</v>
      </c>
      <c r="G372" s="36" t="n">
        <f aca="false">G368*a_da</f>
        <v>8.5536</v>
      </c>
      <c r="H372" s="36" t="n">
        <f aca="false">H368*a_da</f>
        <v>10.26432</v>
      </c>
      <c r="I372" s="36" t="n">
        <f aca="false">I368*a_da</f>
        <v>12.317184</v>
      </c>
      <c r="J372" s="36" t="n">
        <f aca="false">J368*a_da</f>
        <v>14.7806208</v>
      </c>
      <c r="K372" s="36" t="n">
        <f aca="false">K368*a_da</f>
        <v>17.73674496</v>
      </c>
      <c r="L372" s="36" t="n">
        <f aca="false">L368*a_da</f>
        <v>21.284093952</v>
      </c>
      <c r="M372" s="36" t="n">
        <f aca="false">M368*a_da</f>
        <v>25.5409127424</v>
      </c>
    </row>
    <row r="373" customFormat="false" ht="15" hidden="false" customHeight="false" outlineLevel="0" collapsed="false">
      <c r="A373" s="9" t="s">
        <v>292</v>
      </c>
      <c r="C373" s="36" t="n">
        <f aca="false">C371-C372</f>
        <v>-6.6</v>
      </c>
      <c r="D373" s="36" t="n">
        <f aca="false">D371-D372</f>
        <v>-43.725</v>
      </c>
      <c r="E373" s="36" t="n">
        <f aca="false">E371-E372</f>
        <v>13.86</v>
      </c>
      <c r="F373" s="36" t="n">
        <f aca="false">F371-F372</f>
        <v>28.512</v>
      </c>
      <c r="G373" s="36" t="n">
        <f aca="false">G371-G372</f>
        <v>48.4704</v>
      </c>
      <c r="H373" s="36" t="n">
        <f aca="false">H371-H372</f>
        <v>75.27168</v>
      </c>
      <c r="I373" s="36" t="n">
        <f aca="false">I371-I372</f>
        <v>90.326016</v>
      </c>
      <c r="J373" s="36" t="n">
        <f aca="false">J371-J372</f>
        <v>108.3912192</v>
      </c>
      <c r="K373" s="36" t="n">
        <f aca="false">K371-K372</f>
        <v>130.06946304</v>
      </c>
      <c r="L373" s="36" t="n">
        <f aca="false">L371-L372</f>
        <v>156.083355648</v>
      </c>
      <c r="M373" s="36" t="n">
        <f aca="false">M371-M372</f>
        <v>187.3000267776</v>
      </c>
    </row>
    <row r="374" customFormat="false" ht="15" hidden="false" customHeight="false" outlineLevel="0" collapsed="false">
      <c r="A374" s="9" t="s">
        <v>293</v>
      </c>
      <c r="C374" s="36" t="n">
        <f aca="false">MAX(0,C373)*a_tax</f>
        <v>0</v>
      </c>
      <c r="D374" s="36" t="n">
        <f aca="false">MAX(0,D373)*a_tax</f>
        <v>0</v>
      </c>
      <c r="E374" s="36" t="n">
        <f aca="false">MAX(0,E373)*a_tax</f>
        <v>3.465</v>
      </c>
      <c r="F374" s="36" t="n">
        <f aca="false">MAX(0,F373)*a_tax</f>
        <v>7.128</v>
      </c>
      <c r="G374" s="36" t="n">
        <f aca="false">MAX(0,G373)*a_tax</f>
        <v>12.1176</v>
      </c>
      <c r="H374" s="36" t="n">
        <f aca="false">MAX(0,H373)*a_tax</f>
        <v>18.81792</v>
      </c>
      <c r="I374" s="36" t="n">
        <f aca="false">MAX(0,I373)*a_tax</f>
        <v>22.581504</v>
      </c>
      <c r="J374" s="36" t="n">
        <f aca="false">MAX(0,J373)*a_tax</f>
        <v>27.0978048</v>
      </c>
      <c r="K374" s="36" t="n">
        <f aca="false">MAX(0,K373)*a_tax</f>
        <v>32.51736576</v>
      </c>
      <c r="L374" s="36" t="n">
        <f aca="false">MAX(0,L373)*a_tax</f>
        <v>39.020838912</v>
      </c>
      <c r="M374" s="36" t="n">
        <f aca="false">MAX(0,M373)*a_tax</f>
        <v>46.8250066944</v>
      </c>
    </row>
    <row r="375" customFormat="false" ht="15" hidden="false" customHeight="false" outlineLevel="0" collapsed="false">
      <c r="A375" s="4" t="s">
        <v>294</v>
      </c>
      <c r="C375" s="42" t="n">
        <f aca="false">cf_lim_pat</f>
        <v>0</v>
      </c>
      <c r="D375" s="41" t="n">
        <f aca="false">D373-D374</f>
        <v>-43.725</v>
      </c>
      <c r="E375" s="41" t="n">
        <f aca="false">E373-E374</f>
        <v>10.395</v>
      </c>
      <c r="F375" s="41" t="n">
        <f aca="false">F373-F374</f>
        <v>21.384</v>
      </c>
      <c r="G375" s="41" t="n">
        <f aca="false">G373-G374</f>
        <v>36.3528</v>
      </c>
      <c r="H375" s="41" t="n">
        <f aca="false">H373-H374</f>
        <v>56.45376</v>
      </c>
      <c r="I375" s="41" t="n">
        <f aca="false">I373-I374</f>
        <v>67.744512</v>
      </c>
      <c r="J375" s="41" t="n">
        <f aca="false">J373-J374</f>
        <v>81.2934144</v>
      </c>
      <c r="K375" s="41" t="n">
        <f aca="false">K373-K374</f>
        <v>97.55209728</v>
      </c>
      <c r="L375" s="41" t="n">
        <f aca="false">L373-L374</f>
        <v>117.062516736</v>
      </c>
      <c r="M375" s="41" t="n">
        <f aca="false">M373-M374</f>
        <v>140.4750200832</v>
      </c>
    </row>
    <row r="376" customFormat="false" ht="15" hidden="false" customHeight="false" outlineLevel="0" collapsed="false">
      <c r="A376" s="9" t="s">
        <v>295</v>
      </c>
      <c r="C376" s="36" t="n">
        <f aca="false">C368*a_capex</f>
        <v>6.6</v>
      </c>
      <c r="D376" s="36" t="n">
        <f aca="false">D368*a_capex</f>
        <v>4.95</v>
      </c>
      <c r="E376" s="36" t="n">
        <f aca="false">E368*a_capex</f>
        <v>5.94</v>
      </c>
      <c r="F376" s="36" t="n">
        <f aca="false">F368*a_capex</f>
        <v>7.128</v>
      </c>
      <c r="G376" s="36" t="n">
        <f aca="false">G368*a_capex</f>
        <v>8.5536</v>
      </c>
      <c r="H376" s="36" t="n">
        <f aca="false">H368*a_capex</f>
        <v>10.26432</v>
      </c>
      <c r="I376" s="36" t="n">
        <f aca="false">I368*a_capex</f>
        <v>12.317184</v>
      </c>
      <c r="J376" s="36" t="n">
        <f aca="false">J368*a_capex</f>
        <v>14.7806208</v>
      </c>
      <c r="K376" s="36" t="n">
        <f aca="false">K368*a_capex</f>
        <v>17.73674496</v>
      </c>
      <c r="L376" s="36" t="n">
        <f aca="false">L368*a_capex</f>
        <v>21.284093952</v>
      </c>
      <c r="M376" s="36" t="n">
        <f aca="false">M368*a_capex</f>
        <v>25.5409127424</v>
      </c>
    </row>
    <row r="377" customFormat="false" ht="15" hidden="false" customHeight="false" outlineLevel="0" collapsed="false">
      <c r="A377" s="9" t="s">
        <v>296</v>
      </c>
      <c r="C377" s="36" t="n">
        <f aca="false">0</f>
        <v>0</v>
      </c>
      <c r="D377" s="36" t="n">
        <f aca="false">a_wc*(D368-C368)</f>
        <v>-2.75</v>
      </c>
      <c r="E377" s="36" t="n">
        <f aca="false">a_wc*(E368-D368)</f>
        <v>1.65</v>
      </c>
      <c r="F377" s="36" t="n">
        <f aca="false">a_wc*(F368-E368)</f>
        <v>1.98</v>
      </c>
      <c r="G377" s="36" t="n">
        <f aca="false">a_wc*(G368-F368)</f>
        <v>2.376</v>
      </c>
      <c r="H377" s="36" t="n">
        <f aca="false">a_wc*(H368-G368)</f>
        <v>2.8512</v>
      </c>
      <c r="I377" s="36" t="n">
        <f aca="false">a_wc*(I368-H368)</f>
        <v>3.42144</v>
      </c>
      <c r="J377" s="36" t="n">
        <f aca="false">a_wc*(J368-I368)</f>
        <v>4.105728</v>
      </c>
      <c r="K377" s="36" t="n">
        <f aca="false">a_wc*(K368-J368)</f>
        <v>4.9268736</v>
      </c>
      <c r="L377" s="36" t="n">
        <f aca="false">a_wc*(L368-K368)</f>
        <v>5.91224832</v>
      </c>
      <c r="M377" s="36" t="n">
        <f aca="false">a_wc*(M368-L368)</f>
        <v>7.094697984</v>
      </c>
    </row>
    <row r="378" customFormat="false" ht="15" hidden="false" customHeight="false" outlineLevel="0" collapsed="false">
      <c r="A378" s="4" t="s">
        <v>297</v>
      </c>
      <c r="C378" s="36" t="n">
        <f aca="false">0</f>
        <v>0</v>
      </c>
      <c r="D378" s="41" t="n">
        <f aca="false">D375+D372-D376-D377</f>
        <v>-40.975</v>
      </c>
      <c r="E378" s="41" t="n">
        <f aca="false">E375+E372-E376-E377</f>
        <v>8.745</v>
      </c>
      <c r="F378" s="41" t="n">
        <f aca="false">F375+F372-F376-F377</f>
        <v>19.404</v>
      </c>
      <c r="G378" s="41" t="n">
        <f aca="false">G375+G372-G376-G377</f>
        <v>33.9768</v>
      </c>
      <c r="H378" s="41" t="n">
        <f aca="false">H375+H372-H376-H377</f>
        <v>53.60256</v>
      </c>
      <c r="I378" s="41" t="n">
        <f aca="false">I375+I372-I376-I377</f>
        <v>64.323072</v>
      </c>
      <c r="J378" s="41" t="n">
        <f aca="false">J375+J372-J376-J377</f>
        <v>77.1876864</v>
      </c>
      <c r="K378" s="41" t="n">
        <f aca="false">K375+K372-K376-K377</f>
        <v>92.62522368</v>
      </c>
      <c r="L378" s="41" t="n">
        <f aca="false">L375+L372-L376-L377</f>
        <v>111.150268416</v>
      </c>
      <c r="M378" s="41" t="n">
        <f aca="false">M375+M372-M376-M377</f>
        <v>133.3803220992</v>
      </c>
    </row>
    <row r="380" customFormat="false" ht="15" hidden="false" customHeight="false" outlineLevel="0" collapsed="false">
      <c r="A380" s="7" t="s">
        <v>601</v>
      </c>
      <c r="B380" s="8"/>
      <c r="C380" s="8"/>
      <c r="D380" s="8"/>
      <c r="E380" s="8"/>
      <c r="F380" s="8"/>
      <c r="G380" s="8"/>
      <c r="H380" s="8"/>
      <c r="I380" s="8"/>
      <c r="J380" s="8"/>
      <c r="K380" s="8"/>
      <c r="L380" s="8"/>
      <c r="M380" s="8"/>
      <c r="N380" s="8"/>
    </row>
    <row r="381" customFormat="false" ht="15" hidden="false" customHeight="false" outlineLevel="0" collapsed="false">
      <c r="A381" s="9" t="s">
        <v>482</v>
      </c>
      <c r="C381" s="35" t="n">
        <f aca="false">lv_mix_eq/(c_price*(1-a_issue_disc))</f>
        <v>1.024</v>
      </c>
    </row>
    <row r="382" customFormat="false" ht="15" hidden="false" customHeight="false" outlineLevel="0" collapsed="false">
      <c r="A382" s="9" t="s">
        <v>449</v>
      </c>
      <c r="C382" s="35" t="n">
        <f aca="false">cf_shares+C381</f>
        <v>65.024</v>
      </c>
    </row>
    <row r="383" customFormat="false" ht="15" hidden="false" customHeight="false" outlineLevel="0" collapsed="false">
      <c r="A383" s="9" t="s">
        <v>483</v>
      </c>
      <c r="C383" s="36" t="n">
        <f aca="false">lv_mix_cash*a_yield*(1-a_tax)+lv_mix_debt*a_kd*(1-a_tax)</f>
        <v>94.5</v>
      </c>
    </row>
    <row r="384" customFormat="false" ht="15" hidden="false" customHeight="false" outlineLevel="0" collapsed="false">
      <c r="A384" s="9" t="s">
        <v>484</v>
      </c>
      <c r="C384" s="36" t="n">
        <f aca="false">lv_price*a_ppa_share/a_ppa_life*(1-a_tax)</f>
        <v>93.75</v>
      </c>
    </row>
    <row r="385" customFormat="false" ht="15" hidden="false" customHeight="false" outlineLevel="0" collapsed="false">
      <c r="A385" s="9" t="s">
        <v>485</v>
      </c>
      <c r="C385" s="36" t="n">
        <f aca="false">a_ppa_on*C384</f>
        <v>0</v>
      </c>
    </row>
    <row r="386" customFormat="false" ht="15" hidden="false" customHeight="false" outlineLevel="0" collapsed="false">
      <c r="A386" s="9" t="s">
        <v>486</v>
      </c>
      <c r="C386" s="36" t="n">
        <f aca="false">lv_price*a_fees_pct+a_integ_full</f>
        <v>160</v>
      </c>
    </row>
    <row r="387" customFormat="false" ht="15" hidden="false" customHeight="false" outlineLevel="0" collapsed="false">
      <c r="A387" s="9" t="s">
        <v>487</v>
      </c>
      <c r="C387" s="36" t="n">
        <f aca="false">0</f>
        <v>0</v>
      </c>
      <c r="D387" s="36" t="n">
        <f aca="false">a_syn_on*(a_syn_partner_rev_y3+a_syn_xsell_y3)*a_mcap*IF(D365=1,a_syn_ramp1,IF(D365=2,a_syn_ramp2,1))+a_syn_on*IF(D365&gt;=2,a_syn_cost,0)</f>
        <v>0</v>
      </c>
      <c r="E387" s="36" t="n">
        <f aca="false">a_syn_on*(a_syn_partner_rev_y3+a_syn_xsell_y3)*a_mcap*IF(E365=1,a_syn_ramp1,IF(E365=2,a_syn_ramp2,1))+a_syn_on*IF(E365&gt;=2,a_syn_cost,0)</f>
        <v>0</v>
      </c>
      <c r="F387" s="36" t="n">
        <f aca="false">a_syn_on*(a_syn_partner_rev_y3+a_syn_xsell_y3)*a_mcap*IF(F365=1,a_syn_ramp1,IF(F365=2,a_syn_ramp2,1))+a_syn_on*IF(F365&gt;=2,a_syn_cost,0)</f>
        <v>0</v>
      </c>
      <c r="G387" s="36" t="n">
        <f aca="false">a_syn_on*(a_syn_partner_rev_y3+a_syn_xsell_y3)*a_mcap*IF(G365=1,a_syn_ramp1,IF(G365=2,a_syn_ramp2,1))+a_syn_on*IF(G365&gt;=2,a_syn_cost,0)</f>
        <v>0</v>
      </c>
      <c r="H387" s="36" t="n">
        <f aca="false">a_syn_on*(a_syn_partner_rev_y3+a_syn_xsell_y3)*a_mcap*IF(H365=1,a_syn_ramp1,IF(H365=2,a_syn_ramp2,1))+a_syn_on*IF(H365&gt;=2,a_syn_cost,0)</f>
        <v>0</v>
      </c>
      <c r="I387" s="36" t="n">
        <f aca="false">a_syn_on*(a_syn_partner_rev_y3+a_syn_xsell_y3)*a_mcap*IF(I365=1,a_syn_ramp1,IF(I365=2,a_syn_ramp2,1))+a_syn_on*IF(I365&gt;=2,a_syn_cost,0)</f>
        <v>0</v>
      </c>
      <c r="J387" s="36" t="n">
        <f aca="false">a_syn_on*(a_syn_partner_rev_y3+a_syn_xsell_y3)*a_mcap*IF(J365=1,a_syn_ramp1,IF(J365=2,a_syn_ramp2,1))+a_syn_on*IF(J365&gt;=2,a_syn_cost,0)</f>
        <v>0</v>
      </c>
      <c r="K387" s="36" t="n">
        <f aca="false">a_syn_on*(a_syn_partner_rev_y3+a_syn_xsell_y3)*a_mcap*IF(K365=1,a_syn_ramp1,IF(K365=2,a_syn_ramp2,1))+a_syn_on*IF(K365&gt;=2,a_syn_cost,0)</f>
        <v>0</v>
      </c>
      <c r="L387" s="36" t="n">
        <f aca="false">a_syn_on*(a_syn_partner_rev_y3+a_syn_xsell_y3)*a_mcap*IF(L365=1,a_syn_ramp1,IF(L365=2,a_syn_ramp2,1))+a_syn_on*IF(L365&gt;=2,a_syn_cost,0)</f>
        <v>0</v>
      </c>
      <c r="M387" s="36" t="n">
        <f aca="false">a_syn_on*(a_syn_partner_rev_y3+a_syn_xsell_y3)*a_mcap*IF(M365=1,a_syn_ramp1,IF(M365=2,a_syn_ramp2,1))+a_syn_on*IF(M365&gt;=2,a_syn_cost,0)</f>
        <v>0</v>
      </c>
    </row>
    <row r="388" customFormat="false" ht="15" hidden="false" customHeight="false" outlineLevel="0" collapsed="false">
      <c r="A388" s="9" t="s">
        <v>488</v>
      </c>
      <c r="C388" s="36" t="n">
        <f aca="false">0</f>
        <v>0</v>
      </c>
      <c r="D388" s="36" t="n">
        <f aca="false">CHOOSE(lv_drag_mode,Capital_Drag!$B$41,Capital_Drag!$B$41*D368/cf_arr,Capital_Drag!$B$41*(1-a_tax))</f>
        <v>1000</v>
      </c>
      <c r="E388" s="36" t="n">
        <f aca="false">CHOOSE(lv_drag_mode,Capital_Drag!$B$41,Capital_Drag!$B$41*E368/cf_arr,Capital_Drag!$B$41*(1-a_tax))</f>
        <v>1000</v>
      </c>
      <c r="F388" s="36" t="n">
        <f aca="false">CHOOSE(lv_drag_mode,Capital_Drag!$B$41,Capital_Drag!$B$41*F368/cf_arr,Capital_Drag!$B$41*(1-a_tax))</f>
        <v>1000</v>
      </c>
      <c r="G388" s="36" t="n">
        <f aca="false">CHOOSE(lv_drag_mode,Capital_Drag!$B$41,Capital_Drag!$B$41*G368/cf_arr,Capital_Drag!$B$41*(1-a_tax))</f>
        <v>1000</v>
      </c>
      <c r="H388" s="36" t="n">
        <f aca="false">CHOOSE(lv_drag_mode,Capital_Drag!$B$41,Capital_Drag!$B$41*H368/cf_arr,Capital_Drag!$B$41*(1-a_tax))</f>
        <v>1000</v>
      </c>
      <c r="I388" s="36" t="n">
        <f aca="false">CHOOSE(lv_drag_mode,Capital_Drag!$B$41,Capital_Drag!$B$41*I368/cf_arr,Capital_Drag!$B$41*(1-a_tax))</f>
        <v>1000</v>
      </c>
      <c r="J388" s="36" t="n">
        <f aca="false">CHOOSE(lv_drag_mode,Capital_Drag!$B$41,Capital_Drag!$B$41*J368/cf_arr,Capital_Drag!$B$41*(1-a_tax))</f>
        <v>1000</v>
      </c>
      <c r="K388" s="36" t="n">
        <f aca="false">CHOOSE(lv_drag_mode,Capital_Drag!$B$41,Capital_Drag!$B$41*K368/cf_arr,Capital_Drag!$B$41*(1-a_tax))</f>
        <v>1000</v>
      </c>
      <c r="L388" s="36" t="n">
        <f aca="false">CHOOSE(lv_drag_mode,Capital_Drag!$B$41,Capital_Drag!$B$41*L368/cf_arr,Capital_Drag!$B$41*(1-a_tax))</f>
        <v>1000</v>
      </c>
      <c r="M388" s="36" t="n">
        <f aca="false">CHOOSE(lv_drag_mode,Capital_Drag!$B$41,Capital_Drag!$B$41*M368/cf_arr,Capital_Drag!$B$41*(1-a_tax))</f>
        <v>1000</v>
      </c>
    </row>
    <row r="389" customFormat="false" ht="15" hidden="false" customHeight="false" outlineLevel="0" collapsed="false">
      <c r="A389" s="9" t="s">
        <v>489</v>
      </c>
      <c r="C389" s="36" t="n">
        <f aca="false">0</f>
        <v>0</v>
      </c>
      <c r="D389" s="36" t="n">
        <f aca="false">IF(lv_drag_mode=3,Capital_Drag!$B$41*(1-a_tax),0)</f>
        <v>0</v>
      </c>
      <c r="E389" s="36" t="n">
        <f aca="false">IF(lv_drag_mode=3,Capital_Drag!$B$41*(1-a_tax),0)</f>
        <v>0</v>
      </c>
      <c r="F389" s="36" t="n">
        <f aca="false">IF(lv_drag_mode=3,Capital_Drag!$B$41*(1-a_tax),0)</f>
        <v>0</v>
      </c>
      <c r="G389" s="36" t="n">
        <f aca="false">IF(lv_drag_mode=3,Capital_Drag!$B$41*(1-a_tax),0)</f>
        <v>0</v>
      </c>
      <c r="H389" s="36" t="n">
        <f aca="false">IF(lv_drag_mode=3,Capital_Drag!$B$41*(1-a_tax),0)</f>
        <v>0</v>
      </c>
      <c r="I389" s="36" t="n">
        <f aca="false">IF(lv_drag_mode=3,Capital_Drag!$B$41*(1-a_tax),0)</f>
        <v>0</v>
      </c>
      <c r="J389" s="36" t="n">
        <f aca="false">IF(lv_drag_mode=3,Capital_Drag!$B$41*(1-a_tax),0)</f>
        <v>0</v>
      </c>
      <c r="K389" s="36" t="n">
        <f aca="false">IF(lv_drag_mode=3,Capital_Drag!$B$41*(1-a_tax),0)</f>
        <v>0</v>
      </c>
      <c r="L389" s="36" t="n">
        <f aca="false">IF(lv_drag_mode=3,Capital_Drag!$B$41*(1-a_tax),0)</f>
        <v>0</v>
      </c>
      <c r="M389" s="36" t="n">
        <f aca="false">IF(lv_drag_mode=3,Capital_Drag!$B$41*(1-a_tax),0)</f>
        <v>0</v>
      </c>
    </row>
    <row r="390" customFormat="false" ht="15" hidden="false" customHeight="false" outlineLevel="0" collapsed="false">
      <c r="A390" s="9" t="s">
        <v>490</v>
      </c>
      <c r="C390" s="36" t="n">
        <f aca="false">0</f>
        <v>0</v>
      </c>
      <c r="D390" s="36" t="n">
        <f aca="false">IF(lv_drag_mode=3,0,C390+D388)</f>
        <v>1000</v>
      </c>
      <c r="E390" s="36" t="n">
        <f aca="false">IF(lv_drag_mode=3,0,D390+E388)</f>
        <v>2000</v>
      </c>
      <c r="F390" s="36" t="n">
        <f aca="false">IF(lv_drag_mode=3,0,E390+F388)</f>
        <v>3000</v>
      </c>
      <c r="G390" s="36" t="n">
        <f aca="false">IF(lv_drag_mode=3,0,F390+G388)</f>
        <v>4000</v>
      </c>
      <c r="H390" s="36" t="n">
        <f aca="false">IF(lv_drag_mode=3,0,G390+H388)</f>
        <v>5000</v>
      </c>
      <c r="I390" s="36" t="n">
        <f aca="false">IF(lv_drag_mode=3,0,H390+I388)</f>
        <v>6000</v>
      </c>
      <c r="J390" s="36" t="n">
        <f aca="false">IF(lv_drag_mode=3,0,I390+J388)</f>
        <v>7000</v>
      </c>
      <c r="K390" s="36" t="n">
        <f aca="false">IF(lv_drag_mode=3,0,J390+K388)</f>
        <v>8000</v>
      </c>
      <c r="L390" s="36" t="n">
        <f aca="false">IF(lv_drag_mode=3,0,K390+L388)</f>
        <v>9000</v>
      </c>
      <c r="M390" s="36" t="n">
        <f aca="false">IF(lv_drag_mode=3,0,L390+M388)</f>
        <v>10000</v>
      </c>
    </row>
    <row r="391" customFormat="false" ht="15" hidden="false" customHeight="false" outlineLevel="0" collapsed="false">
      <c r="A391" s="9" t="s">
        <v>491</v>
      </c>
      <c r="C391" s="36" t="n">
        <f aca="false">0</f>
        <v>0</v>
      </c>
      <c r="D391" s="36" t="n">
        <f aca="false">C390*a_yield*(1-a_tax)</f>
        <v>0</v>
      </c>
      <c r="E391" s="36" t="n">
        <f aca="false">D390*a_yield*(1-a_tax)</f>
        <v>45</v>
      </c>
      <c r="F391" s="36" t="n">
        <f aca="false">E390*a_yield*(1-a_tax)</f>
        <v>90</v>
      </c>
      <c r="G391" s="36" t="n">
        <f aca="false">F390*a_yield*(1-a_tax)</f>
        <v>135</v>
      </c>
      <c r="H391" s="36" t="n">
        <f aca="false">G390*a_yield*(1-a_tax)</f>
        <v>180</v>
      </c>
      <c r="I391" s="36" t="n">
        <f aca="false">H390*a_yield*(1-a_tax)</f>
        <v>225</v>
      </c>
      <c r="J391" s="36" t="n">
        <f aca="false">I390*a_yield*(1-a_tax)</f>
        <v>270</v>
      </c>
      <c r="K391" s="36" t="n">
        <f aca="false">J390*a_yield*(1-a_tax)</f>
        <v>315</v>
      </c>
      <c r="L391" s="36" t="n">
        <f aca="false">K390*a_yield*(1-a_tax)</f>
        <v>360</v>
      </c>
      <c r="M391" s="36" t="n">
        <f aca="false">L390*a_yield*(1-a_tax)</f>
        <v>405</v>
      </c>
    </row>
    <row r="392" customFormat="false" ht="15" hidden="false" customHeight="false" outlineLevel="0" collapsed="false">
      <c r="A392" s="9" t="s">
        <v>492</v>
      </c>
      <c r="C392" s="36" t="n">
        <f aca="false">cf_pat</f>
        <v>480</v>
      </c>
      <c r="D392" s="36" t="n">
        <f aca="false">cf_pat*(1+a_pat_growth)^D365</f>
        <v>480</v>
      </c>
      <c r="E392" s="36" t="n">
        <f aca="false">cf_pat*(1+a_pat_growth)^E365</f>
        <v>480</v>
      </c>
      <c r="F392" s="36" t="n">
        <f aca="false">cf_pat*(1+a_pat_growth)^F365</f>
        <v>480</v>
      </c>
      <c r="G392" s="36" t="n">
        <f aca="false">cf_pat*(1+a_pat_growth)^G365</f>
        <v>480</v>
      </c>
      <c r="H392" s="36" t="n">
        <f aca="false">cf_pat*(1+a_pat_growth)^H365</f>
        <v>480</v>
      </c>
      <c r="I392" s="36" t="n">
        <f aca="false">cf_pat*(1+a_pat_growth)^I365</f>
        <v>480</v>
      </c>
      <c r="J392" s="36" t="n">
        <f aca="false">cf_pat*(1+a_pat_growth)^J365</f>
        <v>480</v>
      </c>
      <c r="K392" s="36" t="n">
        <f aca="false">cf_pat*(1+a_pat_growth)^K365</f>
        <v>480</v>
      </c>
      <c r="L392" s="36" t="n">
        <f aca="false">cf_pat*(1+a_pat_growth)^L365</f>
        <v>480</v>
      </c>
      <c r="M392" s="36" t="n">
        <f aca="false">cf_pat*(1+a_pat_growth)^M365</f>
        <v>480</v>
      </c>
    </row>
    <row r="393" customFormat="false" ht="15" hidden="false" customHeight="false" outlineLevel="0" collapsed="false">
      <c r="A393" s="9" t="s">
        <v>493</v>
      </c>
      <c r="C393" s="36" t="n">
        <f aca="false">0</f>
        <v>0</v>
      </c>
      <c r="D393" s="36" t="n">
        <f aca="false">cf_mdr*a_mdr_flow*(1-a_tax)</f>
        <v>69</v>
      </c>
      <c r="E393" s="36" t="n">
        <f aca="false">cf_mdr*a_mdr_flow*(1-a_tax)</f>
        <v>69</v>
      </c>
      <c r="F393" s="36" t="n">
        <f aca="false">cf_mdr*a_mdr_flow*(1-a_tax)</f>
        <v>69</v>
      </c>
      <c r="G393" s="36" t="n">
        <f aca="false">cf_mdr*a_mdr_flow*(1-a_tax)</f>
        <v>69</v>
      </c>
      <c r="H393" s="36" t="n">
        <f aca="false">cf_mdr*a_mdr_flow*(1-a_tax)</f>
        <v>69</v>
      </c>
      <c r="I393" s="36" t="n">
        <f aca="false">cf_mdr*a_mdr_flow*(1-a_tax)</f>
        <v>69</v>
      </c>
      <c r="J393" s="36" t="n">
        <f aca="false">cf_mdr*a_mdr_flow*(1-a_tax)</f>
        <v>69</v>
      </c>
      <c r="K393" s="36" t="n">
        <f aca="false">cf_mdr*a_mdr_flow*(1-a_tax)</f>
        <v>69</v>
      </c>
      <c r="L393" s="36" t="n">
        <f aca="false">cf_mdr*a_mdr_flow*(1-a_tax)</f>
        <v>69</v>
      </c>
      <c r="M393" s="36" t="n">
        <f aca="false">cf_mdr*a_mdr_flow*(1-a_tax)</f>
        <v>69</v>
      </c>
    </row>
    <row r="394" customFormat="false" ht="15" hidden="false" customHeight="false" outlineLevel="0" collapsed="false">
      <c r="A394" s="9" t="s">
        <v>494</v>
      </c>
      <c r="C394" s="50" t="n">
        <f aca="false">cf_eps</f>
        <v>7.5</v>
      </c>
      <c r="D394" s="50" t="n">
        <f aca="false">D392/cf_shares</f>
        <v>7.5</v>
      </c>
      <c r="E394" s="50" t="n">
        <f aca="false">E392/cf_shares</f>
        <v>7.5</v>
      </c>
      <c r="F394" s="50" t="n">
        <f aca="false">F392/cf_shares</f>
        <v>7.5</v>
      </c>
      <c r="G394" s="50" t="n">
        <f aca="false">G392/cf_shares</f>
        <v>7.5</v>
      </c>
      <c r="H394" s="50" t="n">
        <f aca="false">H392/cf_shares</f>
        <v>7.5</v>
      </c>
      <c r="I394" s="50" t="n">
        <f aca="false">I392/cf_shares</f>
        <v>7.5</v>
      </c>
      <c r="J394" s="50" t="n">
        <f aca="false">J392/cf_shares</f>
        <v>7.5</v>
      </c>
      <c r="K394" s="50" t="n">
        <f aca="false">K392/cf_shares</f>
        <v>7.5</v>
      </c>
      <c r="L394" s="50" t="n">
        <f aca="false">L392/cf_shares</f>
        <v>7.5</v>
      </c>
      <c r="M394" s="50" t="n">
        <f aca="false">M392/cf_shares</f>
        <v>7.5</v>
      </c>
    </row>
    <row r="395" customFormat="false" ht="15" hidden="false" customHeight="false" outlineLevel="0" collapsed="false">
      <c r="A395" s="9" t="s">
        <v>495</v>
      </c>
      <c r="C395" s="50" t="n">
        <f aca="false">cf_eps</f>
        <v>7.5</v>
      </c>
      <c r="D395" s="50" t="n">
        <f aca="false">(D392+D393)/cf_shares</f>
        <v>8.578125</v>
      </c>
      <c r="E395" s="50" t="n">
        <f aca="false">(E392+E393)/cf_shares</f>
        <v>8.578125</v>
      </c>
      <c r="F395" s="50" t="n">
        <f aca="false">(F392+F393)/cf_shares</f>
        <v>8.578125</v>
      </c>
      <c r="G395" s="50" t="n">
        <f aca="false">(G392+G393)/cf_shares</f>
        <v>8.578125</v>
      </c>
      <c r="H395" s="50" t="n">
        <f aca="false">(H392+H393)/cf_shares</f>
        <v>8.578125</v>
      </c>
      <c r="I395" s="50" t="n">
        <f aca="false">(I392+I393)/cf_shares</f>
        <v>8.578125</v>
      </c>
      <c r="J395" s="50" t="n">
        <f aca="false">(J392+J393)/cf_shares</f>
        <v>8.578125</v>
      </c>
      <c r="K395" s="50" t="n">
        <f aca="false">(K392+K393)/cf_shares</f>
        <v>8.578125</v>
      </c>
      <c r="L395" s="50" t="n">
        <f aca="false">(L392+L393)/cf_shares</f>
        <v>8.578125</v>
      </c>
      <c r="M395" s="50" t="n">
        <f aca="false">(M392+M393)/cf_shares</f>
        <v>8.578125</v>
      </c>
    </row>
    <row r="396" customFormat="false" ht="15" hidden="false" customHeight="false" outlineLevel="0" collapsed="false">
      <c r="A396" s="4" t="s">
        <v>496</v>
      </c>
      <c r="C396" s="41" t="n">
        <f aca="false">-C383-C385</f>
        <v>-94.5</v>
      </c>
      <c r="D396" s="41" t="n">
        <f aca="false">D375+D387*(1-a_tax)-C383-C385-D389-D391</f>
        <v>-138.225</v>
      </c>
      <c r="E396" s="41" t="n">
        <f aca="false">E375+E387*(1-a_tax)-C383-C385-E389-E391</f>
        <v>-129.105</v>
      </c>
      <c r="F396" s="41" t="n">
        <f aca="false">F375+F387*(1-a_tax)-C383-C385-F389-F391</f>
        <v>-163.116</v>
      </c>
      <c r="G396" s="41" t="n">
        <f aca="false">G375+G387*(1-a_tax)-C383-C385-G389-G391</f>
        <v>-193.1472</v>
      </c>
      <c r="H396" s="41" t="n">
        <f aca="false">H375+H387*(1-a_tax)-C383-C385-H389-H391</f>
        <v>-218.04624</v>
      </c>
      <c r="I396" s="41" t="n">
        <f aca="false">I375+I387*(1-a_tax)-C383-C385-I389-I391</f>
        <v>-251.755488</v>
      </c>
      <c r="J396" s="41" t="n">
        <f aca="false">J375+J387*(1-a_tax)-C383-C385-J389-J391</f>
        <v>-283.2065856</v>
      </c>
      <c r="K396" s="41" t="n">
        <f aca="false">K375+K387*(1-a_tax)-C383-C385-K389-K391</f>
        <v>-311.94790272</v>
      </c>
      <c r="L396" s="41" t="n">
        <f aca="false">L375+L387*(1-a_tax)-C383-C385-L389-L391</f>
        <v>-337.437483264</v>
      </c>
      <c r="M396" s="41" t="n">
        <f aca="false">M375+M387*(1-a_tax)-C383-C385-M389-M391</f>
        <v>-359.0249799168</v>
      </c>
    </row>
    <row r="397" customFormat="false" ht="15" hidden="false" customHeight="false" outlineLevel="0" collapsed="false">
      <c r="A397" s="9" t="s">
        <v>497</v>
      </c>
      <c r="C397" s="36" t="n">
        <f aca="false">C392+C396</f>
        <v>385.5</v>
      </c>
      <c r="D397" s="36" t="n">
        <f aca="false">D392+D396</f>
        <v>341.775</v>
      </c>
      <c r="E397" s="36" t="n">
        <f aca="false">E392+E396</f>
        <v>350.895</v>
      </c>
      <c r="F397" s="36" t="n">
        <f aca="false">F392+F396</f>
        <v>316.884</v>
      </c>
      <c r="G397" s="36" t="n">
        <f aca="false">G392+G396</f>
        <v>286.8528</v>
      </c>
      <c r="H397" s="36" t="n">
        <f aca="false">H392+H396</f>
        <v>261.95376</v>
      </c>
      <c r="I397" s="36" t="n">
        <f aca="false">I392+I396</f>
        <v>228.244512</v>
      </c>
      <c r="J397" s="36" t="n">
        <f aca="false">J392+J396</f>
        <v>196.7934144</v>
      </c>
      <c r="K397" s="36" t="n">
        <f aca="false">K392+K396</f>
        <v>168.05209728</v>
      </c>
      <c r="L397" s="36" t="n">
        <f aca="false">L392+L396</f>
        <v>142.562516736</v>
      </c>
      <c r="M397" s="36" t="n">
        <f aca="false">M392+M396</f>
        <v>120.9750200832</v>
      </c>
    </row>
    <row r="398" customFormat="false" ht="15" hidden="false" customHeight="false" outlineLevel="0" collapsed="false">
      <c r="A398" s="4" t="s">
        <v>498</v>
      </c>
      <c r="C398" s="48" t="n">
        <f aca="false">C397/C382</f>
        <v>5.92858021653543</v>
      </c>
      <c r="D398" s="48" t="n">
        <f aca="false">D397/C382</f>
        <v>5.25613619586614</v>
      </c>
      <c r="E398" s="48" t="n">
        <f aca="false">E397/C382</f>
        <v>5.39639210137795</v>
      </c>
      <c r="F398" s="48" t="n">
        <f aca="false">F397/C382</f>
        <v>4.87333907480315</v>
      </c>
      <c r="G398" s="48" t="n">
        <f aca="false">G397/C382</f>
        <v>4.41149114173228</v>
      </c>
      <c r="H398" s="48" t="n">
        <f aca="false">H397/C382</f>
        <v>4.02857037401575</v>
      </c>
      <c r="I398" s="48" t="n">
        <f aca="false">I397/C382</f>
        <v>3.51015797244094</v>
      </c>
      <c r="J398" s="48" t="n">
        <f aca="false">J397/C382</f>
        <v>3.02647352362205</v>
      </c>
      <c r="K398" s="48" t="n">
        <f aca="false">K397/C382</f>
        <v>2.58446261811024</v>
      </c>
      <c r="L398" s="48" t="n">
        <f aca="false">L397/C382</f>
        <v>2.19245996456693</v>
      </c>
      <c r="M398" s="48" t="n">
        <f aca="false">M397/C382</f>
        <v>1.86046721338583</v>
      </c>
    </row>
    <row r="399" customFormat="false" ht="15" hidden="false" customHeight="false" outlineLevel="0" collapsed="false">
      <c r="A399" s="4" t="s">
        <v>499</v>
      </c>
      <c r="C399" s="14" t="n">
        <f aca="false">C398/cf_eps-1</f>
        <v>-0.209522637795276</v>
      </c>
      <c r="D399" s="14" t="n">
        <f aca="false">D398/cf_eps-1</f>
        <v>-0.299181840551181</v>
      </c>
      <c r="E399" s="14" t="n">
        <f aca="false">E398/cf_eps-1</f>
        <v>-0.280481053149606</v>
      </c>
      <c r="F399" s="14" t="n">
        <f aca="false">F398/cf_eps-1</f>
        <v>-0.350221456692913</v>
      </c>
      <c r="G399" s="14" t="n">
        <f aca="false">G398/cf_eps-1</f>
        <v>-0.411801181102362</v>
      </c>
      <c r="H399" s="14" t="n">
        <f aca="false">H398/cf_eps-1</f>
        <v>-0.462857283464567</v>
      </c>
      <c r="I399" s="14" t="n">
        <f aca="false">I398/cf_eps-1</f>
        <v>-0.531978937007874</v>
      </c>
      <c r="J399" s="14" t="n">
        <f aca="false">J398/cf_eps-1</f>
        <v>-0.596470196850394</v>
      </c>
      <c r="K399" s="14" t="n">
        <f aca="false">K398/cf_eps-1</f>
        <v>-0.655404984251969</v>
      </c>
      <c r="L399" s="14" t="n">
        <f aca="false">L398/cf_eps-1</f>
        <v>-0.70767200472441</v>
      </c>
      <c r="M399" s="14" t="n">
        <f aca="false">M398/cf_eps-1</f>
        <v>-0.75193770488189</v>
      </c>
    </row>
    <row r="400" customFormat="false" ht="15" hidden="false" customHeight="false" outlineLevel="0" collapsed="false">
      <c r="A400" s="9" t="s">
        <v>500</v>
      </c>
      <c r="C400" s="50" t="n">
        <f aca="false">C398</f>
        <v>5.92858021653543</v>
      </c>
      <c r="D400" s="50" t="n">
        <f aca="false">(D397+D393)/C382</f>
        <v>6.31728284940945</v>
      </c>
      <c r="E400" s="50" t="n">
        <f aca="false">(E397+E393)/C382</f>
        <v>6.45753875492126</v>
      </c>
      <c r="F400" s="50" t="n">
        <f aca="false">(F397+F393)/C382</f>
        <v>5.93448572834646</v>
      </c>
      <c r="G400" s="50" t="n">
        <f aca="false">(G397+G393)/C382</f>
        <v>5.47263779527559</v>
      </c>
      <c r="H400" s="50" t="n">
        <f aca="false">(H397+H393)/C382</f>
        <v>5.08971702755906</v>
      </c>
      <c r="I400" s="50" t="n">
        <f aca="false">(I397+I393)/C382</f>
        <v>4.57130462598425</v>
      </c>
      <c r="J400" s="50" t="n">
        <f aca="false">(J397+J393)/C382</f>
        <v>4.08762017716535</v>
      </c>
      <c r="K400" s="50" t="n">
        <f aca="false">(K397+K393)/C382</f>
        <v>3.64560927165354</v>
      </c>
      <c r="L400" s="50" t="n">
        <f aca="false">(L397+L393)/C382</f>
        <v>3.25360661811024</v>
      </c>
      <c r="M400" s="50" t="n">
        <f aca="false">(M397+M393)/C382</f>
        <v>2.92161386692913</v>
      </c>
    </row>
    <row r="401" customFormat="false" ht="15" hidden="false" customHeight="false" outlineLevel="0" collapsed="false">
      <c r="A401" s="9" t="s">
        <v>501</v>
      </c>
      <c r="C401" s="18" t="n">
        <f aca="false">C399</f>
        <v>-0.209522637795276</v>
      </c>
      <c r="D401" s="18" t="n">
        <f aca="false">D400/D395-1</f>
        <v>-0.263559012090702</v>
      </c>
      <c r="E401" s="18" t="n">
        <f aca="false">E400/E395-1</f>
        <v>-0.24720859687621</v>
      </c>
      <c r="F401" s="18" t="n">
        <f aca="false">F400/F395-1</f>
        <v>-0.308183813088938</v>
      </c>
      <c r="G401" s="18" t="n">
        <f aca="false">G400/G395-1</f>
        <v>-0.36202400929392</v>
      </c>
      <c r="H401" s="18" t="n">
        <f aca="false">H400/H395-1</f>
        <v>-0.40666322447399</v>
      </c>
      <c r="I401" s="18" t="n">
        <f aca="false">I400/I395-1</f>
        <v>-0.46709745708016</v>
      </c>
      <c r="J401" s="18" t="n">
        <f aca="false">J400/J395-1</f>
        <v>-0.523483258035369</v>
      </c>
      <c r="K401" s="18" t="n">
        <f aca="false">K400/K395-1</f>
        <v>-0.575010941009423</v>
      </c>
      <c r="L401" s="18" t="n">
        <f aca="false">L400/L395-1</f>
        <v>-0.620708882406093</v>
      </c>
      <c r="M401" s="18" t="n">
        <f aca="false">M400/M395-1</f>
        <v>-0.659411133909901</v>
      </c>
    </row>
    <row r="402" customFormat="false" ht="15" hidden="false" customHeight="false" outlineLevel="0" collapsed="false">
      <c r="A402" s="9" t="s">
        <v>502</v>
      </c>
      <c r="C402" s="50" t="n">
        <f aca="false">(C397+C385)/C382</f>
        <v>5.92858021653543</v>
      </c>
      <c r="D402" s="50" t="n">
        <f aca="false">(D397+C385)/C382</f>
        <v>5.25613619586614</v>
      </c>
      <c r="E402" s="50" t="n">
        <f aca="false">(E397+C385)/C382</f>
        <v>5.39639210137795</v>
      </c>
      <c r="F402" s="50" t="n">
        <f aca="false">(F397+C385)/C382</f>
        <v>4.87333907480315</v>
      </c>
      <c r="G402" s="50" t="n">
        <f aca="false">(G397+C385)/C382</f>
        <v>4.41149114173228</v>
      </c>
      <c r="H402" s="50" t="n">
        <f aca="false">(H397+C385)/C382</f>
        <v>4.02857037401575</v>
      </c>
      <c r="I402" s="50" t="n">
        <f aca="false">(I397+C385)/C382</f>
        <v>3.51015797244094</v>
      </c>
      <c r="J402" s="50" t="n">
        <f aca="false">(J397+C385)/C382</f>
        <v>3.02647352362205</v>
      </c>
      <c r="K402" s="50" t="n">
        <f aca="false">(K397+C385)/C382</f>
        <v>2.58446261811024</v>
      </c>
      <c r="L402" s="50" t="n">
        <f aca="false">(L397+C385)/C382</f>
        <v>2.19245996456693</v>
      </c>
      <c r="M402" s="50" t="n">
        <f aca="false">(M397+C385)/C382</f>
        <v>1.86046721338583</v>
      </c>
    </row>
    <row r="403" customFormat="false" ht="15" hidden="false" customHeight="false" outlineLevel="0" collapsed="false">
      <c r="A403" s="9" t="s">
        <v>503</v>
      </c>
      <c r="C403" s="50" t="n">
        <f aca="false">(C397-C384+C385)/C382</f>
        <v>4.48680487204724</v>
      </c>
      <c r="D403" s="50" t="n">
        <f aca="false">(D397-C384+C385)/C382</f>
        <v>3.81436085137795</v>
      </c>
      <c r="E403" s="50" t="n">
        <f aca="false">(E397-C384+C385)/C382</f>
        <v>3.95461675688976</v>
      </c>
      <c r="F403" s="50" t="n">
        <f aca="false">(F397-C384+C385)/C382</f>
        <v>3.43156373031496</v>
      </c>
      <c r="G403" s="50" t="n">
        <f aca="false">(G397-C384+C385)/C382</f>
        <v>2.96971579724409</v>
      </c>
      <c r="H403" s="50" t="n">
        <f aca="false">(H397-C384+C385)/C382</f>
        <v>2.58679502952756</v>
      </c>
      <c r="I403" s="50" t="n">
        <f aca="false">(I397-C384+C385)/C382</f>
        <v>2.06838262795276</v>
      </c>
      <c r="J403" s="50" t="n">
        <f aca="false">(J397-C384+C385)/C382</f>
        <v>1.58469817913386</v>
      </c>
      <c r="K403" s="50" t="n">
        <f aca="false">(K397-C384+C385)/C382</f>
        <v>1.14268727362205</v>
      </c>
      <c r="L403" s="50" t="n">
        <f aca="false">(L397-C384+C385)/C382</f>
        <v>0.75068462007874</v>
      </c>
      <c r="M403" s="50" t="n">
        <f aca="false">(M397-C384+C385)/C382</f>
        <v>0.418691868897638</v>
      </c>
    </row>
    <row r="404" customFormat="false" ht="15" hidden="false" customHeight="false" outlineLevel="0" collapsed="false">
      <c r="A404" s="9" t="s">
        <v>504</v>
      </c>
      <c r="C404" s="50" t="n">
        <f aca="false">C392/C382</f>
        <v>7.38188976377953</v>
      </c>
      <c r="D404" s="50" t="n">
        <f aca="false">D392/C382</f>
        <v>7.38188976377953</v>
      </c>
      <c r="E404" s="50" t="n">
        <f aca="false">E392/C382</f>
        <v>7.38188976377953</v>
      </c>
      <c r="F404" s="50" t="n">
        <f aca="false">F392/C382</f>
        <v>7.38188976377953</v>
      </c>
      <c r="G404" s="50" t="n">
        <f aca="false">G392/C382</f>
        <v>7.38188976377953</v>
      </c>
      <c r="H404" s="50" t="n">
        <f aca="false">H392/C382</f>
        <v>7.38188976377953</v>
      </c>
      <c r="I404" s="50" t="n">
        <f aca="false">I392/C382</f>
        <v>7.38188976377953</v>
      </c>
      <c r="J404" s="50" t="n">
        <f aca="false">J392/C382</f>
        <v>7.38188976377953</v>
      </c>
      <c r="K404" s="50" t="n">
        <f aca="false">K392/C382</f>
        <v>7.38188976377953</v>
      </c>
      <c r="L404" s="50" t="n">
        <f aca="false">L392/C382</f>
        <v>7.38188976377953</v>
      </c>
      <c r="M404" s="50" t="n">
        <f aca="false">M392/C382</f>
        <v>7.38188976377953</v>
      </c>
    </row>
    <row r="405" customFormat="false" ht="15" hidden="false" customHeight="false" outlineLevel="0" collapsed="false">
      <c r="A405" s="9" t="s">
        <v>505</v>
      </c>
      <c r="D405" s="36" t="n">
        <f aca="false">D378+D387*(1-a_tax)-D388-IF(D365=1,C386,0)</f>
        <v>-1200.975</v>
      </c>
      <c r="E405" s="36" t="n">
        <f aca="false">E378+E387*(1-a_tax)-E388-IF(E365=1,C386,0)</f>
        <v>-991.255</v>
      </c>
      <c r="F405" s="36" t="n">
        <f aca="false">F378+F387*(1-a_tax)-F388-IF(F365=1,C386,0)</f>
        <v>-980.596</v>
      </c>
      <c r="G405" s="36" t="n">
        <f aca="false">G378+G387*(1-a_tax)-G388-IF(G365=1,C386,0)</f>
        <v>-966.0232</v>
      </c>
      <c r="H405" s="36" t="n">
        <f aca="false">H378+H387*(1-a_tax)-H388-IF(H365=1,C386,0)</f>
        <v>-946.39744</v>
      </c>
      <c r="I405" s="36" t="n">
        <f aca="false">I378+I387*(1-a_tax)-I388-IF(I365=1,C386,0)</f>
        <v>-935.676928</v>
      </c>
      <c r="J405" s="36" t="n">
        <f aca="false">J378+J387*(1-a_tax)-J388-IF(J365=1,C386,0)</f>
        <v>-922.8123136</v>
      </c>
      <c r="K405" s="36" t="n">
        <f aca="false">K378+K387*(1-a_tax)-K388-IF(K365=1,C386,0)</f>
        <v>-907.37477632</v>
      </c>
      <c r="L405" s="36" t="n">
        <f aca="false">L378+L387*(1-a_tax)-L388-IF(L365=1,C386,0)</f>
        <v>-888.849731584</v>
      </c>
      <c r="M405" s="36" t="n">
        <f aca="false">M378+M387*(1-a_tax)-M388-IF(M365=1,C386,0)</f>
        <v>-866.6196779008</v>
      </c>
    </row>
    <row r="406" customFormat="false" ht="15" hidden="false" customHeight="false" outlineLevel="0" collapsed="false">
      <c r="A406" s="4" t="s">
        <v>506</v>
      </c>
      <c r="D406" s="41" t="n">
        <f aca="false">D405-C383</f>
        <v>-1295.475</v>
      </c>
      <c r="E406" s="41" t="n">
        <f aca="false">E405-C383</f>
        <v>-1085.755</v>
      </c>
      <c r="F406" s="41" t="n">
        <f aca="false">F405-C383</f>
        <v>-1075.096</v>
      </c>
      <c r="G406" s="41" t="n">
        <f aca="false">G405-C383</f>
        <v>-1060.5232</v>
      </c>
      <c r="H406" s="41" t="n">
        <f aca="false">H405-C383</f>
        <v>-1040.89744</v>
      </c>
      <c r="I406" s="41" t="n">
        <f aca="false">I405-C383</f>
        <v>-1030.176928</v>
      </c>
      <c r="J406" s="41" t="n">
        <f aca="false">J405-C383</f>
        <v>-1017.3123136</v>
      </c>
      <c r="K406" s="41" t="n">
        <f aca="false">K405-C383</f>
        <v>-1001.87477632</v>
      </c>
      <c r="L406" s="41" t="n">
        <f aca="false">L405-C383</f>
        <v>-983.349731584</v>
      </c>
      <c r="M406" s="41" t="n">
        <f aca="false">M405-C383</f>
        <v>-961.1196779008</v>
      </c>
    </row>
    <row r="407" customFormat="false" ht="15" hidden="false" customHeight="false" outlineLevel="0" collapsed="false">
      <c r="A407" s="9" t="s">
        <v>507</v>
      </c>
      <c r="C407" s="36" t="n">
        <f aca="false">0</f>
        <v>0</v>
      </c>
      <c r="D407" s="36" t="n">
        <f aca="false">D393</f>
        <v>69</v>
      </c>
      <c r="E407" s="36" t="n">
        <f aca="false">E393</f>
        <v>69</v>
      </c>
      <c r="F407" s="36" t="n">
        <f aca="false">F393</f>
        <v>69</v>
      </c>
      <c r="G407" s="36" t="n">
        <f aca="false">G393</f>
        <v>69</v>
      </c>
      <c r="H407" s="36" t="n">
        <f aca="false">H393</f>
        <v>69</v>
      </c>
      <c r="I407" s="36" t="n">
        <f aca="false">I393</f>
        <v>69</v>
      </c>
      <c r="J407" s="36" t="n">
        <f aca="false">J393</f>
        <v>69</v>
      </c>
      <c r="K407" s="36" t="n">
        <f aca="false">K393</f>
        <v>69</v>
      </c>
      <c r="L407" s="36" t="n">
        <f aca="false">L393</f>
        <v>69</v>
      </c>
      <c r="M407" s="36" t="n">
        <f aca="false">M393</f>
        <v>69</v>
      </c>
    </row>
    <row r="408" customFormat="false" ht="15" hidden="false" customHeight="false" outlineLevel="0" collapsed="false">
      <c r="A408" s="9" t="s">
        <v>508</v>
      </c>
      <c r="D408" s="36" t="n">
        <f aca="false">D406+D407</f>
        <v>-1226.475</v>
      </c>
      <c r="E408" s="36" t="n">
        <f aca="false">E406+E407</f>
        <v>-1016.755</v>
      </c>
      <c r="F408" s="36" t="n">
        <f aca="false">F406+F407</f>
        <v>-1006.096</v>
      </c>
      <c r="G408" s="36" t="n">
        <f aca="false">G406+G407</f>
        <v>-991.5232</v>
      </c>
      <c r="H408" s="36" t="n">
        <f aca="false">H406+H407</f>
        <v>-971.89744</v>
      </c>
      <c r="I408" s="36" t="n">
        <f aca="false">I406+I407</f>
        <v>-961.176928</v>
      </c>
      <c r="J408" s="36" t="n">
        <f aca="false">J406+J407</f>
        <v>-948.3123136</v>
      </c>
      <c r="K408" s="36" t="n">
        <f aca="false">K406+K407</f>
        <v>-932.87477632</v>
      </c>
      <c r="L408" s="36" t="n">
        <f aca="false">L406+L407</f>
        <v>-914.349731584</v>
      </c>
      <c r="M408" s="36" t="n">
        <f aca="false">M406+M407</f>
        <v>-892.1196779008</v>
      </c>
    </row>
    <row r="409" customFormat="false" ht="15" hidden="false" customHeight="false" outlineLevel="0" collapsed="false">
      <c r="A409" s="9" t="s">
        <v>509</v>
      </c>
      <c r="D409" s="36" t="n">
        <f aca="false">IF(lv_mdr_in_deal=1,D408,D406)</f>
        <v>-1295.475</v>
      </c>
      <c r="E409" s="36" t="n">
        <f aca="false">IF(lv_mdr_in_deal=1,E408,E406)</f>
        <v>-1085.755</v>
      </c>
      <c r="F409" s="36" t="n">
        <f aca="false">IF(lv_mdr_in_deal=1,F408,F406)</f>
        <v>-1075.096</v>
      </c>
      <c r="G409" s="36" t="n">
        <f aca="false">IF(lv_mdr_in_deal=1,G408,G406)</f>
        <v>-1060.5232</v>
      </c>
      <c r="H409" s="36" t="n">
        <f aca="false">IF(lv_mdr_in_deal=1,H408,H406)</f>
        <v>-1040.89744</v>
      </c>
      <c r="I409" s="36" t="n">
        <f aca="false">IF(lv_mdr_in_deal=1,I408,I406)</f>
        <v>-1030.176928</v>
      </c>
      <c r="J409" s="36" t="n">
        <f aca="false">IF(lv_mdr_in_deal=1,J408,J406)</f>
        <v>-1017.3123136</v>
      </c>
      <c r="K409" s="36" t="n">
        <f aca="false">IF(lv_mdr_in_deal=1,K408,K406)</f>
        <v>-1001.87477632</v>
      </c>
      <c r="L409" s="36" t="n">
        <f aca="false">IF(lv_mdr_in_deal=1,L408,L406)</f>
        <v>-983.349731584</v>
      </c>
      <c r="M409" s="36" t="n">
        <f aca="false">IF(lv_mdr_in_deal=1,M408,M406)</f>
        <v>-961.1196779008</v>
      </c>
    </row>
    <row r="410" customFormat="false" ht="15" hidden="false" customHeight="false" outlineLevel="0" collapsed="false">
      <c r="A410" s="9" t="s">
        <v>510</v>
      </c>
      <c r="C410" s="36" t="n">
        <f aca="false">-lv_price</f>
        <v>-4000</v>
      </c>
      <c r="D410" s="36" t="n">
        <f aca="false">C410+D409</f>
        <v>-5295.475</v>
      </c>
      <c r="E410" s="36" t="n">
        <f aca="false">D410+E409</f>
        <v>-6381.23</v>
      </c>
      <c r="F410" s="36" t="n">
        <f aca="false">E410+F409</f>
        <v>-7456.326</v>
      </c>
      <c r="G410" s="36" t="n">
        <f aca="false">F410+G409</f>
        <v>-8516.8492</v>
      </c>
      <c r="H410" s="36" t="n">
        <f aca="false">G410+H409</f>
        <v>-9557.74664</v>
      </c>
      <c r="I410" s="36" t="n">
        <f aca="false">H410+I409</f>
        <v>-10587.923568</v>
      </c>
      <c r="J410" s="36" t="n">
        <f aca="false">I410+J409</f>
        <v>-11605.2358816</v>
      </c>
      <c r="K410" s="36" t="n">
        <f aca="false">J410+K409</f>
        <v>-12607.11065792</v>
      </c>
      <c r="L410" s="36" t="n">
        <f aca="false">K410+L409</f>
        <v>-13590.460389504</v>
      </c>
      <c r="M410" s="36" t="n">
        <f aca="false">L410+M409</f>
        <v>-14551.5800674048</v>
      </c>
    </row>
    <row r="411" customFormat="false" ht="15" hidden="false" customHeight="false" outlineLevel="0" collapsed="false">
      <c r="A411" s="9" t="s">
        <v>511</v>
      </c>
      <c r="C411" s="43" t="n">
        <f aca="false">1</f>
        <v>1</v>
      </c>
      <c r="D411" s="43" t="n">
        <f aca="false">1/(1+lv_wacc)^D365</f>
        <v>0.884955752212389</v>
      </c>
      <c r="E411" s="43" t="n">
        <f aca="false">1/(1+lv_wacc)^E365</f>
        <v>0.783146683373796</v>
      </c>
      <c r="F411" s="43" t="n">
        <f aca="false">1/(1+lv_wacc)^F365</f>
        <v>0.693050162277696</v>
      </c>
      <c r="G411" s="43" t="n">
        <f aca="false">1/(1+lv_wacc)^G365</f>
        <v>0.613318727679377</v>
      </c>
      <c r="H411" s="43" t="n">
        <f aca="false">1/(1+lv_wacc)^H365</f>
        <v>0.542759935999449</v>
      </c>
      <c r="I411" s="43" t="n">
        <f aca="false">1/(1+lv_wacc)^I365</f>
        <v>0.48031852743314</v>
      </c>
      <c r="J411" s="43" t="n">
        <f aca="false">1/(1+lv_wacc)^J365</f>
        <v>0.425060643746142</v>
      </c>
      <c r="K411" s="43" t="n">
        <f aca="false">1/(1+lv_wacc)^K365</f>
        <v>0.37615986172225</v>
      </c>
      <c r="L411" s="43" t="n">
        <f aca="false">1/(1+lv_wacc)^L365</f>
        <v>0.332884833382522</v>
      </c>
      <c r="M411" s="43" t="n">
        <f aca="false">1/(1+lv_wacc)^M365</f>
        <v>0.294588348126126</v>
      </c>
    </row>
    <row r="412" customFormat="false" ht="15" hidden="false" customHeight="false" outlineLevel="0" collapsed="false">
      <c r="A412" s="9" t="s">
        <v>512</v>
      </c>
      <c r="C412" s="46" t="n">
        <f aca="false">99</f>
        <v>99</v>
      </c>
      <c r="D412" s="46" t="n">
        <f aca="false">IF(D396&gt;=0,D365,99)</f>
        <v>99</v>
      </c>
      <c r="E412" s="46" t="n">
        <f aca="false">IF(E396&gt;=0,E365,99)</f>
        <v>99</v>
      </c>
      <c r="F412" s="46" t="n">
        <f aca="false">IF(F396&gt;=0,F365,99)</f>
        <v>99</v>
      </c>
      <c r="G412" s="46" t="n">
        <f aca="false">IF(G396&gt;=0,G365,99)</f>
        <v>99</v>
      </c>
      <c r="H412" s="46" t="n">
        <f aca="false">IF(H396&gt;=0,H365,99)</f>
        <v>99</v>
      </c>
      <c r="I412" s="46" t="n">
        <f aca="false">IF(I396&gt;=0,I365,99)</f>
        <v>99</v>
      </c>
      <c r="J412" s="46" t="n">
        <f aca="false">IF(J396&gt;=0,J365,99)</f>
        <v>99</v>
      </c>
      <c r="K412" s="46" t="n">
        <f aca="false">IF(K396&gt;=0,K365,99)</f>
        <v>99</v>
      </c>
      <c r="L412" s="46" t="n">
        <f aca="false">IF(L396&gt;=0,L365,99)</f>
        <v>99</v>
      </c>
      <c r="M412" s="46" t="n">
        <f aca="false">IF(M396&gt;=0,M365,99)</f>
        <v>99</v>
      </c>
    </row>
    <row r="413" customFormat="false" ht="15" hidden="false" customHeight="false" outlineLevel="0" collapsed="false">
      <c r="A413" s="9" t="s">
        <v>513</v>
      </c>
      <c r="C413" s="46" t="n">
        <f aca="false">99</f>
        <v>99</v>
      </c>
      <c r="D413" s="46" t="n">
        <f aca="false">IF(D396+D393&gt;=0,D365,99)</f>
        <v>99</v>
      </c>
      <c r="E413" s="46" t="n">
        <f aca="false">IF(E396+E393&gt;=0,E365,99)</f>
        <v>99</v>
      </c>
      <c r="F413" s="46" t="n">
        <f aca="false">IF(F396+F393&gt;=0,F365,99)</f>
        <v>99</v>
      </c>
      <c r="G413" s="46" t="n">
        <f aca="false">IF(G396+G393&gt;=0,G365,99)</f>
        <v>99</v>
      </c>
      <c r="H413" s="46" t="n">
        <f aca="false">IF(H396+H393&gt;=0,H365,99)</f>
        <v>99</v>
      </c>
      <c r="I413" s="46" t="n">
        <f aca="false">IF(I396+I393&gt;=0,I365,99)</f>
        <v>99</v>
      </c>
      <c r="J413" s="46" t="n">
        <f aca="false">IF(J396+J393&gt;=0,J365,99)</f>
        <v>99</v>
      </c>
      <c r="K413" s="46" t="n">
        <f aca="false">IF(K396+K393&gt;=0,K365,99)</f>
        <v>99</v>
      </c>
      <c r="L413" s="46" t="n">
        <f aca="false">IF(L396+L393&gt;=0,L365,99)</f>
        <v>99</v>
      </c>
      <c r="M413" s="46" t="n">
        <f aca="false">IF(M396+M393&gt;=0,M365,99)</f>
        <v>99</v>
      </c>
    </row>
    <row r="414" customFormat="false" ht="15" hidden="false" customHeight="false" outlineLevel="0" collapsed="false">
      <c r="A414" s="9" t="s">
        <v>514</v>
      </c>
      <c r="C414" s="46" t="n">
        <f aca="false">99</f>
        <v>99</v>
      </c>
      <c r="D414" s="46" t="n">
        <f aca="false">IF(D406&gt;=0,D365,99)</f>
        <v>99</v>
      </c>
      <c r="E414" s="46" t="n">
        <f aca="false">IF(E406&gt;=0,E365,99)</f>
        <v>99</v>
      </c>
      <c r="F414" s="46" t="n">
        <f aca="false">IF(F406&gt;=0,F365,99)</f>
        <v>99</v>
      </c>
      <c r="G414" s="46" t="n">
        <f aca="false">IF(G406&gt;=0,G365,99)</f>
        <v>99</v>
      </c>
      <c r="H414" s="46" t="n">
        <f aca="false">IF(H406&gt;=0,H365,99)</f>
        <v>99</v>
      </c>
      <c r="I414" s="46" t="n">
        <f aca="false">IF(I406&gt;=0,I365,99)</f>
        <v>99</v>
      </c>
      <c r="J414" s="46" t="n">
        <f aca="false">IF(J406&gt;=0,J365,99)</f>
        <v>99</v>
      </c>
      <c r="K414" s="46" t="n">
        <f aca="false">IF(K406&gt;=0,K365,99)</f>
        <v>99</v>
      </c>
      <c r="L414" s="46" t="n">
        <f aca="false">IF(L406&gt;=0,L365,99)</f>
        <v>99</v>
      </c>
      <c r="M414" s="46" t="n">
        <f aca="false">IF(M406&gt;=0,M365,99)</f>
        <v>99</v>
      </c>
    </row>
    <row r="415" customFormat="false" ht="15" hidden="false" customHeight="false" outlineLevel="0" collapsed="false">
      <c r="A415" s="9" t="s">
        <v>515</v>
      </c>
      <c r="C415" s="46" t="n">
        <f aca="false">99</f>
        <v>99</v>
      </c>
      <c r="D415" s="46" t="n">
        <f aca="false">IF(D408&gt;=0,D365,99)</f>
        <v>99</v>
      </c>
      <c r="E415" s="46" t="n">
        <f aca="false">IF(E408&gt;=0,E365,99)</f>
        <v>99</v>
      </c>
      <c r="F415" s="46" t="n">
        <f aca="false">IF(F408&gt;=0,F365,99)</f>
        <v>99</v>
      </c>
      <c r="G415" s="46" t="n">
        <f aca="false">IF(G408&gt;=0,G365,99)</f>
        <v>99</v>
      </c>
      <c r="H415" s="46" t="n">
        <f aca="false">IF(H408&gt;=0,H365,99)</f>
        <v>99</v>
      </c>
      <c r="I415" s="46" t="n">
        <f aca="false">IF(I408&gt;=0,I365,99)</f>
        <v>99</v>
      </c>
      <c r="J415" s="46" t="n">
        <f aca="false">IF(J408&gt;=0,J365,99)</f>
        <v>99</v>
      </c>
      <c r="K415" s="46" t="n">
        <f aca="false">IF(K408&gt;=0,K365,99)</f>
        <v>99</v>
      </c>
      <c r="L415" s="46" t="n">
        <f aca="false">IF(L408&gt;=0,L365,99)</f>
        <v>99</v>
      </c>
      <c r="M415" s="46" t="n">
        <f aca="false">IF(M408&gt;=0,M365,99)</f>
        <v>99</v>
      </c>
    </row>
    <row r="416" customFormat="false" ht="15" hidden="false" customHeight="false" outlineLevel="0" collapsed="false">
      <c r="A416" s="9" t="s">
        <v>516</v>
      </c>
      <c r="C416" s="46" t="n">
        <f aca="false">99</f>
        <v>99</v>
      </c>
      <c r="D416" s="46" t="n">
        <f aca="false">IF(D410&gt;=0,D365,99)</f>
        <v>99</v>
      </c>
      <c r="E416" s="46" t="n">
        <f aca="false">IF(E410&gt;=0,E365,99)</f>
        <v>99</v>
      </c>
      <c r="F416" s="46" t="n">
        <f aca="false">IF(F410&gt;=0,F365,99)</f>
        <v>99</v>
      </c>
      <c r="G416" s="46" t="n">
        <f aca="false">IF(G410&gt;=0,G365,99)</f>
        <v>99</v>
      </c>
      <c r="H416" s="46" t="n">
        <f aca="false">IF(H410&gt;=0,H365,99)</f>
        <v>99</v>
      </c>
      <c r="I416" s="46" t="n">
        <f aca="false">IF(I410&gt;=0,I365,99)</f>
        <v>99</v>
      </c>
      <c r="J416" s="46" t="n">
        <f aca="false">IF(J410&gt;=0,J365,99)</f>
        <v>99</v>
      </c>
      <c r="K416" s="46" t="n">
        <f aca="false">IF(K410&gt;=0,K365,99)</f>
        <v>99</v>
      </c>
      <c r="L416" s="46" t="n">
        <f aca="false">IF(L410&gt;=0,L365,99)</f>
        <v>99</v>
      </c>
      <c r="M416" s="46" t="n">
        <f aca="false">IF(M410&gt;=0,M365,99)</f>
        <v>99</v>
      </c>
    </row>
    <row r="417" customFormat="false" ht="15" hidden="false" customHeight="false" outlineLevel="0" collapsed="false">
      <c r="A417" s="4" t="s">
        <v>517</v>
      </c>
      <c r="C417" s="23" t="n">
        <f aca="false">MIN(D412:M412)</f>
        <v>99</v>
      </c>
    </row>
    <row r="418" customFormat="false" ht="15" hidden="false" customHeight="false" outlineLevel="0" collapsed="false">
      <c r="A418" s="9" t="s">
        <v>518</v>
      </c>
      <c r="C418" s="46" t="n">
        <f aca="false">MIN(D413:M413)</f>
        <v>99</v>
      </c>
    </row>
    <row r="419" customFormat="false" ht="15" hidden="false" customHeight="false" outlineLevel="0" collapsed="false">
      <c r="A419" s="4" t="s">
        <v>519</v>
      </c>
      <c r="C419" s="23" t="n">
        <f aca="false">MIN(D414:M414)</f>
        <v>99</v>
      </c>
    </row>
    <row r="420" customFormat="false" ht="15" hidden="false" customHeight="false" outlineLevel="0" collapsed="false">
      <c r="A420" s="9" t="s">
        <v>520</v>
      </c>
      <c r="C420" s="46" t="n">
        <f aca="false">MIN(D415:M415)</f>
        <v>99</v>
      </c>
    </row>
    <row r="421" customFormat="false" ht="15" hidden="false" customHeight="false" outlineLevel="0" collapsed="false">
      <c r="A421" s="9" t="s">
        <v>521</v>
      </c>
      <c r="C421" s="46" t="n">
        <f aca="false">MIN(D416:M416)</f>
        <v>99</v>
      </c>
    </row>
    <row r="422" customFormat="false" ht="15" hidden="false" customHeight="false" outlineLevel="0" collapsed="false">
      <c r="A422" s="4" t="s">
        <v>522</v>
      </c>
      <c r="C422" s="15" t="n">
        <f aca="false">M410</f>
        <v>-14551.5800674048</v>
      </c>
    </row>
    <row r="423" customFormat="false" ht="15" hidden="false" customHeight="false" outlineLevel="0" collapsed="false">
      <c r="A423" s="9" t="s">
        <v>523</v>
      </c>
      <c r="C423" s="36" t="n">
        <f aca="false">SUMPRODUCT(D378:M378,D411:M411)</f>
        <v>208.806860496414</v>
      </c>
    </row>
    <row r="424" customFormat="false" ht="15" hidden="false" customHeight="false" outlineLevel="0" collapsed="false">
      <c r="A424" s="9" t="s">
        <v>524</v>
      </c>
      <c r="C424" s="36" t="n">
        <f aca="false">M378*(1+a_tg)/(lv_wacc-a_tg)</f>
        <v>1750.616727552</v>
      </c>
    </row>
    <row r="425" customFormat="false" ht="15" hidden="false" customHeight="false" outlineLevel="0" collapsed="false">
      <c r="A425" s="9" t="s">
        <v>314</v>
      </c>
      <c r="C425" s="36" t="n">
        <f aca="false">C424*M411</f>
        <v>515.711289971507</v>
      </c>
    </row>
    <row r="426" customFormat="false" ht="15" hidden="false" customHeight="false" outlineLevel="0" collapsed="false">
      <c r="A426" s="4" t="s">
        <v>525</v>
      </c>
      <c r="C426" s="15" t="n">
        <f aca="false">C423+C425</f>
        <v>724.518150467921</v>
      </c>
    </row>
    <row r="427" customFormat="false" ht="15" hidden="false" customHeight="false" outlineLevel="0" collapsed="false">
      <c r="A427" s="9" t="s">
        <v>526</v>
      </c>
      <c r="C427" s="32" t="n">
        <f aca="false">SUMPRODUCT(D388:M388,D411:M411)-a_recovery*M390*M411</f>
        <v>5426.24347595289</v>
      </c>
    </row>
    <row r="428" customFormat="false" ht="15" hidden="false" customHeight="false" outlineLevel="0" collapsed="false">
      <c r="A428" s="9" t="s">
        <v>527</v>
      </c>
      <c r="C428" s="36" t="n">
        <f aca="false">SUMPRODUCT(D387:M387,D411:M411)*(1-a_tax)</f>
        <v>0</v>
      </c>
    </row>
    <row r="429" customFormat="false" ht="15" hidden="false" customHeight="false" outlineLevel="0" collapsed="false">
      <c r="A429" s="9" t="s">
        <v>528</v>
      </c>
      <c r="C429" s="36" t="n">
        <f aca="false">C386*D411</f>
        <v>141.592920353982</v>
      </c>
    </row>
    <row r="430" customFormat="false" ht="15" hidden="false" customHeight="false" outlineLevel="0" collapsed="false">
      <c r="A430" s="4" t="s">
        <v>529</v>
      </c>
      <c r="C430" s="20" t="n">
        <f aca="false">C426+C428-C427-C429-lv_price</f>
        <v>-8843.31824583895</v>
      </c>
    </row>
    <row r="431" customFormat="false" ht="15" hidden="false" customHeight="false" outlineLevel="0" collapsed="false">
      <c r="A431" s="9" t="s">
        <v>530</v>
      </c>
      <c r="C431" s="32" t="n">
        <f aca="false">C430+SUMPRODUCT(D407:M407,D411:M411)</f>
        <v>-8468.9074459982</v>
      </c>
    </row>
    <row r="432" customFormat="false" ht="15" hidden="false" customHeight="false" outlineLevel="0" collapsed="false">
      <c r="A432" s="4" t="s">
        <v>531</v>
      </c>
      <c r="C432" s="59" t="n">
        <f aca="false">lv_price/D368</f>
        <v>24.2424242424242</v>
      </c>
    </row>
    <row r="433" customFormat="false" ht="15" hidden="false" customHeight="false" outlineLevel="0" collapsed="false">
      <c r="A433" s="9" t="s">
        <v>532</v>
      </c>
      <c r="C433" s="17" t="n">
        <f aca="false">(lv_price+C427)/D368</f>
        <v>57.1287483391084</v>
      </c>
    </row>
    <row r="434" customFormat="false" ht="15" hidden="false" customHeight="false" outlineLevel="0" collapsed="false">
      <c r="A434" s="4" t="s">
        <v>533</v>
      </c>
      <c r="C434" s="15" t="n">
        <f aca="false">(C430+C427)/SUMPRODUCT(D411:M411)</f>
        <v>-629.731191574665</v>
      </c>
    </row>
    <row r="435" customFormat="false" ht="15" hidden="false" customHeight="false" outlineLevel="0" collapsed="false">
      <c r="A435" s="4" t="s">
        <v>534</v>
      </c>
      <c r="C435" s="25" t="n">
        <f aca="false">D398</f>
        <v>5.25613619586614</v>
      </c>
    </row>
    <row r="436" customFormat="false" ht="15" hidden="false" customHeight="false" outlineLevel="0" collapsed="false">
      <c r="A436" s="9" t="s">
        <v>535</v>
      </c>
      <c r="C436" s="50" t="n">
        <f aca="false">F398</f>
        <v>4.87333907480315</v>
      </c>
    </row>
    <row r="437" customFormat="false" ht="15" hidden="false" customHeight="false" outlineLevel="0" collapsed="false">
      <c r="A437" s="4" t="s">
        <v>536</v>
      </c>
      <c r="C437" s="20" t="n">
        <f aca="false">D406</f>
        <v>-1295.475</v>
      </c>
    </row>
    <row r="438" customFormat="false" ht="15" hidden="false" customHeight="false" outlineLevel="0" collapsed="false">
      <c r="A438" s="9" t="s">
        <v>537</v>
      </c>
      <c r="C438" s="32" t="n">
        <f aca="false">cf_cash-lv_mix_cash-C386</f>
        <v>6640</v>
      </c>
    </row>
    <row r="439" customFormat="false" ht="15" hidden="false" customHeight="false" outlineLevel="0" collapsed="false">
      <c r="A439" s="9" t="s">
        <v>538</v>
      </c>
      <c r="C439" s="32" t="n">
        <f aca="false">cf_debt+lv_mix_debt</f>
        <v>350</v>
      </c>
    </row>
    <row r="440" customFormat="false" ht="15" hidden="false" customHeight="false" outlineLevel="0" collapsed="false">
      <c r="A440" s="9" t="s">
        <v>539</v>
      </c>
      <c r="C440" s="34" t="n">
        <f aca="false">C439/cf_ebitda</f>
        <v>0.546875</v>
      </c>
    </row>
    <row r="441" customFormat="false" ht="15" hidden="false" customHeight="false" outlineLevel="0" collapsed="false">
      <c r="A441" s="9" t="s">
        <v>540</v>
      </c>
      <c r="C441" s="32" t="n">
        <f aca="false">C438+SUM(D409:F409)+3*cf_pat</f>
        <v>4623.674</v>
      </c>
    </row>
    <row r="443" customFormat="false" ht="15" hidden="false" customHeight="false" outlineLevel="0" collapsed="false">
      <c r="A443" s="7" t="s">
        <v>602</v>
      </c>
      <c r="B443" s="8"/>
      <c r="C443" s="8"/>
      <c r="D443" s="8"/>
      <c r="E443" s="8"/>
      <c r="F443" s="8"/>
      <c r="G443" s="8"/>
      <c r="H443" s="8"/>
      <c r="I443" s="8"/>
      <c r="J443" s="8"/>
      <c r="K443" s="8"/>
      <c r="L443" s="8"/>
      <c r="M443" s="8"/>
      <c r="N443" s="8"/>
    </row>
    <row r="444" customFormat="false" ht="15" hidden="false" customHeight="false" outlineLevel="0" collapsed="false">
      <c r="A444" s="4" t="s">
        <v>284</v>
      </c>
      <c r="C444" s="39" t="n">
        <v>0</v>
      </c>
      <c r="D444" s="39" t="n">
        <v>1</v>
      </c>
      <c r="E444" s="39" t="n">
        <v>2</v>
      </c>
      <c r="F444" s="39" t="n">
        <v>3</v>
      </c>
      <c r="G444" s="39" t="n">
        <v>4</v>
      </c>
      <c r="H444" s="39" t="n">
        <v>5</v>
      </c>
      <c r="I444" s="39" t="n">
        <v>6</v>
      </c>
      <c r="J444" s="39" t="n">
        <v>7</v>
      </c>
      <c r="K444" s="39" t="n">
        <v>8</v>
      </c>
      <c r="L444" s="39" t="n">
        <v>9</v>
      </c>
      <c r="M444" s="39" t="n">
        <v>10</v>
      </c>
    </row>
    <row r="445" customFormat="false" ht="15" hidden="false" customHeight="false" outlineLevel="0" collapsed="false">
      <c r="A445" s="9" t="s">
        <v>285</v>
      </c>
      <c r="C445" s="40" t="n">
        <f aca="false">cf_arr</f>
        <v>220</v>
      </c>
      <c r="D445" s="36" t="n">
        <f aca="false">C445*(1+lv_g)</f>
        <v>264</v>
      </c>
      <c r="E445" s="36" t="n">
        <f aca="false">D445*(1+lv_g)</f>
        <v>316.8</v>
      </c>
      <c r="F445" s="36" t="n">
        <f aca="false">E445*(1+lv_g)</f>
        <v>380.16</v>
      </c>
      <c r="G445" s="36" t="n">
        <f aca="false">F445*(1+lv_g)</f>
        <v>456.192</v>
      </c>
      <c r="H445" s="36" t="n">
        <f aca="false">G445*(1+lv_g)</f>
        <v>547.4304</v>
      </c>
      <c r="I445" s="36" t="n">
        <f aca="false">H445*(1+lv_g)</f>
        <v>656.91648</v>
      </c>
      <c r="J445" s="36" t="n">
        <f aca="false">I445*(1+lv_g)</f>
        <v>788.299776</v>
      </c>
      <c r="K445" s="36" t="n">
        <f aca="false">J445*(1+lv_g)</f>
        <v>945.9597312</v>
      </c>
      <c r="L445" s="36" t="n">
        <f aca="false">K445*(1+lv_g)</f>
        <v>1135.15167744</v>
      </c>
      <c r="M445" s="36" t="n">
        <f aca="false">L445*(1+lv_g)</f>
        <v>1362.182012928</v>
      </c>
    </row>
    <row r="446" customFormat="false" ht="15" hidden="false" customHeight="false" outlineLevel="0" collapsed="false">
      <c r="A446" s="9" t="s">
        <v>286</v>
      </c>
      <c r="C446" s="18" t="n">
        <f aca="false">1</f>
        <v>1</v>
      </c>
      <c r="D446" s="18" t="n">
        <f aca="false">IF(D444&gt;=a_churn_year,1-lv_churn,1)</f>
        <v>0.625</v>
      </c>
      <c r="E446" s="18" t="n">
        <f aca="false">IF(E444&gt;=a_churn_year,1-lv_churn,1)</f>
        <v>0.625</v>
      </c>
      <c r="F446" s="18" t="n">
        <f aca="false">IF(F444&gt;=a_churn_year,1-lv_churn,1)</f>
        <v>0.625</v>
      </c>
      <c r="G446" s="18" t="n">
        <f aca="false">IF(G444&gt;=a_churn_year,1-lv_churn,1)</f>
        <v>0.625</v>
      </c>
      <c r="H446" s="18" t="n">
        <f aca="false">IF(H444&gt;=a_churn_year,1-lv_churn,1)</f>
        <v>0.625</v>
      </c>
      <c r="I446" s="18" t="n">
        <f aca="false">IF(I444&gt;=a_churn_year,1-lv_churn,1)</f>
        <v>0.625</v>
      </c>
      <c r="J446" s="18" t="n">
        <f aca="false">IF(J444&gt;=a_churn_year,1-lv_churn,1)</f>
        <v>0.625</v>
      </c>
      <c r="K446" s="18" t="n">
        <f aca="false">IF(K444&gt;=a_churn_year,1-lv_churn,1)</f>
        <v>0.625</v>
      </c>
      <c r="L446" s="18" t="n">
        <f aca="false">IF(L444&gt;=a_churn_year,1-lv_churn,1)</f>
        <v>0.625</v>
      </c>
      <c r="M446" s="18" t="n">
        <f aca="false">IF(M444&gt;=a_churn_year,1-lv_churn,1)</f>
        <v>0.625</v>
      </c>
    </row>
    <row r="447" customFormat="false" ht="15" hidden="false" customHeight="false" outlineLevel="0" collapsed="false">
      <c r="A447" s="4" t="s">
        <v>287</v>
      </c>
      <c r="C447" s="41" t="n">
        <f aca="false">C445*C446</f>
        <v>220</v>
      </c>
      <c r="D447" s="41" t="n">
        <f aca="false">D445*D446</f>
        <v>165</v>
      </c>
      <c r="E447" s="41" t="n">
        <f aca="false">E445*E446</f>
        <v>198</v>
      </c>
      <c r="F447" s="41" t="n">
        <f aca="false">F445*F446</f>
        <v>237.6</v>
      </c>
      <c r="G447" s="41" t="n">
        <f aca="false">G445*G446</f>
        <v>285.12</v>
      </c>
      <c r="H447" s="41" t="n">
        <f aca="false">H445*H446</f>
        <v>342.144</v>
      </c>
      <c r="I447" s="41" t="n">
        <f aca="false">I445*I446</f>
        <v>410.5728</v>
      </c>
      <c r="J447" s="41" t="n">
        <f aca="false">J445*J446</f>
        <v>492.68736</v>
      </c>
      <c r="K447" s="41" t="n">
        <f aca="false">K445*K446</f>
        <v>591.224832</v>
      </c>
      <c r="L447" s="41" t="n">
        <f aca="false">L445*L446</f>
        <v>709.4697984</v>
      </c>
      <c r="M447" s="41" t="n">
        <f aca="false">M445*M446</f>
        <v>851.36375808</v>
      </c>
    </row>
    <row r="448" customFormat="false" ht="15" hidden="false" customHeight="false" outlineLevel="0" collapsed="false">
      <c r="A448" s="9" t="s">
        <v>288</v>
      </c>
      <c r="C448" s="18" t="n">
        <f aca="false">MIN(a_m0+a_mstep*C444,a_mcap)</f>
        <v>0</v>
      </c>
      <c r="D448" s="18" t="n">
        <f aca="false">MIN(a_m0+a_mstep*D444,a_mcap)</f>
        <v>0.05</v>
      </c>
      <c r="E448" s="18" t="n">
        <f aca="false">MIN(a_m0+a_mstep*E444,a_mcap)</f>
        <v>0.1</v>
      </c>
      <c r="F448" s="18" t="n">
        <f aca="false">MIN(a_m0+a_mstep*F444,a_mcap)</f>
        <v>0.15</v>
      </c>
      <c r="G448" s="18" t="n">
        <f aca="false">MIN(a_m0+a_mstep*G444,a_mcap)</f>
        <v>0.2</v>
      </c>
      <c r="H448" s="18" t="n">
        <f aca="false">MIN(a_m0+a_mstep*H444,a_mcap)</f>
        <v>0.25</v>
      </c>
      <c r="I448" s="18" t="n">
        <f aca="false">MIN(a_m0+a_mstep*I444,a_mcap)</f>
        <v>0.25</v>
      </c>
      <c r="J448" s="18" t="n">
        <f aca="false">MIN(a_m0+a_mstep*J444,a_mcap)</f>
        <v>0.25</v>
      </c>
      <c r="K448" s="18" t="n">
        <f aca="false">MIN(a_m0+a_mstep*K444,a_mcap)</f>
        <v>0.25</v>
      </c>
      <c r="L448" s="18" t="n">
        <f aca="false">MIN(a_m0+a_mstep*L444,a_mcap)</f>
        <v>0.25</v>
      </c>
      <c r="M448" s="18" t="n">
        <f aca="false">MIN(a_m0+a_mstep*M444,a_mcap)</f>
        <v>0.25</v>
      </c>
    </row>
    <row r="449" customFormat="false" ht="15" hidden="false" customHeight="false" outlineLevel="0" collapsed="false">
      <c r="A449" s="9" t="s">
        <v>289</v>
      </c>
      <c r="C449" s="36" t="n">
        <f aca="false">IF(C444=a_churn_year,a_sticky*(C445-C447)*(1-C448),0)</f>
        <v>0</v>
      </c>
      <c r="D449" s="36" t="n">
        <f aca="false">IF(D444=a_churn_year,a_sticky*(D445-D447)*(1-D448),0)</f>
        <v>47.025</v>
      </c>
      <c r="E449" s="36" t="n">
        <f aca="false">IF(E444=a_churn_year,a_sticky*(E445-E447)*(1-E448),0)</f>
        <v>0</v>
      </c>
      <c r="F449" s="36" t="n">
        <f aca="false">IF(F444=a_churn_year,a_sticky*(F445-F447)*(1-F448),0)</f>
        <v>0</v>
      </c>
      <c r="G449" s="36" t="n">
        <f aca="false">IF(G444=a_churn_year,a_sticky*(G445-G447)*(1-G448),0)</f>
        <v>0</v>
      </c>
      <c r="H449" s="36" t="n">
        <f aca="false">IF(H444=a_churn_year,a_sticky*(H445-H447)*(1-H448),0)</f>
        <v>0</v>
      </c>
      <c r="I449" s="36" t="n">
        <f aca="false">IF(I444=a_churn_year,a_sticky*(I445-I447)*(1-I448),0)</f>
        <v>0</v>
      </c>
      <c r="J449" s="36" t="n">
        <f aca="false">IF(J444=a_churn_year,a_sticky*(J445-J447)*(1-J448),0)</f>
        <v>0</v>
      </c>
      <c r="K449" s="36" t="n">
        <f aca="false">IF(K444=a_churn_year,a_sticky*(K445-K447)*(1-K448),0)</f>
        <v>0</v>
      </c>
      <c r="L449" s="36" t="n">
        <f aca="false">IF(L444=a_churn_year,a_sticky*(L445-L447)*(1-L448),0)</f>
        <v>0</v>
      </c>
      <c r="M449" s="36" t="n">
        <f aca="false">IF(M444=a_churn_year,a_sticky*(M445-M447)*(1-M448),0)</f>
        <v>0</v>
      </c>
    </row>
    <row r="450" customFormat="false" ht="15" hidden="false" customHeight="false" outlineLevel="0" collapsed="false">
      <c r="A450" s="4" t="s">
        <v>290</v>
      </c>
      <c r="C450" s="41" t="n">
        <f aca="false">C447*C448-C449</f>
        <v>0</v>
      </c>
      <c r="D450" s="41" t="n">
        <f aca="false">D447*D448-D449</f>
        <v>-38.775</v>
      </c>
      <c r="E450" s="41" t="n">
        <f aca="false">E447*E448-E449</f>
        <v>19.8</v>
      </c>
      <c r="F450" s="41" t="n">
        <f aca="false">F447*F448-F449</f>
        <v>35.64</v>
      </c>
      <c r="G450" s="41" t="n">
        <f aca="false">G447*G448-G449</f>
        <v>57.024</v>
      </c>
      <c r="H450" s="41" t="n">
        <f aca="false">H447*H448-H449</f>
        <v>85.536</v>
      </c>
      <c r="I450" s="41" t="n">
        <f aca="false">I447*I448-I449</f>
        <v>102.6432</v>
      </c>
      <c r="J450" s="41" t="n">
        <f aca="false">J447*J448-J449</f>
        <v>123.17184</v>
      </c>
      <c r="K450" s="41" t="n">
        <f aca="false">K447*K448-K449</f>
        <v>147.806208</v>
      </c>
      <c r="L450" s="41" t="n">
        <f aca="false">L447*L448-L449</f>
        <v>177.3674496</v>
      </c>
      <c r="M450" s="41" t="n">
        <f aca="false">M447*M448-M449</f>
        <v>212.84093952</v>
      </c>
    </row>
    <row r="451" customFormat="false" ht="15" hidden="false" customHeight="false" outlineLevel="0" collapsed="false">
      <c r="A451" s="9" t="s">
        <v>291</v>
      </c>
      <c r="C451" s="36" t="n">
        <f aca="false">C447*a_da</f>
        <v>6.6</v>
      </c>
      <c r="D451" s="36" t="n">
        <f aca="false">D447*a_da</f>
        <v>4.95</v>
      </c>
      <c r="E451" s="36" t="n">
        <f aca="false">E447*a_da</f>
        <v>5.94</v>
      </c>
      <c r="F451" s="36" t="n">
        <f aca="false">F447*a_da</f>
        <v>7.128</v>
      </c>
      <c r="G451" s="36" t="n">
        <f aca="false">G447*a_da</f>
        <v>8.5536</v>
      </c>
      <c r="H451" s="36" t="n">
        <f aca="false">H447*a_da</f>
        <v>10.26432</v>
      </c>
      <c r="I451" s="36" t="n">
        <f aca="false">I447*a_da</f>
        <v>12.317184</v>
      </c>
      <c r="J451" s="36" t="n">
        <f aca="false">J447*a_da</f>
        <v>14.7806208</v>
      </c>
      <c r="K451" s="36" t="n">
        <f aca="false">K447*a_da</f>
        <v>17.73674496</v>
      </c>
      <c r="L451" s="36" t="n">
        <f aca="false">L447*a_da</f>
        <v>21.284093952</v>
      </c>
      <c r="M451" s="36" t="n">
        <f aca="false">M447*a_da</f>
        <v>25.5409127424</v>
      </c>
    </row>
    <row r="452" customFormat="false" ht="15" hidden="false" customHeight="false" outlineLevel="0" collapsed="false">
      <c r="A452" s="9" t="s">
        <v>292</v>
      </c>
      <c r="C452" s="36" t="n">
        <f aca="false">C450-C451</f>
        <v>-6.6</v>
      </c>
      <c r="D452" s="36" t="n">
        <f aca="false">D450-D451</f>
        <v>-43.725</v>
      </c>
      <c r="E452" s="36" t="n">
        <f aca="false">E450-E451</f>
        <v>13.86</v>
      </c>
      <c r="F452" s="36" t="n">
        <f aca="false">F450-F451</f>
        <v>28.512</v>
      </c>
      <c r="G452" s="36" t="n">
        <f aca="false">G450-G451</f>
        <v>48.4704</v>
      </c>
      <c r="H452" s="36" t="n">
        <f aca="false">H450-H451</f>
        <v>75.27168</v>
      </c>
      <c r="I452" s="36" t="n">
        <f aca="false">I450-I451</f>
        <v>90.326016</v>
      </c>
      <c r="J452" s="36" t="n">
        <f aca="false">J450-J451</f>
        <v>108.3912192</v>
      </c>
      <c r="K452" s="36" t="n">
        <f aca="false">K450-K451</f>
        <v>130.06946304</v>
      </c>
      <c r="L452" s="36" t="n">
        <f aca="false">L450-L451</f>
        <v>156.083355648</v>
      </c>
      <c r="M452" s="36" t="n">
        <f aca="false">M450-M451</f>
        <v>187.3000267776</v>
      </c>
    </row>
    <row r="453" customFormat="false" ht="15" hidden="false" customHeight="false" outlineLevel="0" collapsed="false">
      <c r="A453" s="9" t="s">
        <v>293</v>
      </c>
      <c r="C453" s="36" t="n">
        <f aca="false">MAX(0,C452)*a_tax</f>
        <v>0</v>
      </c>
      <c r="D453" s="36" t="n">
        <f aca="false">MAX(0,D452)*a_tax</f>
        <v>0</v>
      </c>
      <c r="E453" s="36" t="n">
        <f aca="false">MAX(0,E452)*a_tax</f>
        <v>3.465</v>
      </c>
      <c r="F453" s="36" t="n">
        <f aca="false">MAX(0,F452)*a_tax</f>
        <v>7.128</v>
      </c>
      <c r="G453" s="36" t="n">
        <f aca="false">MAX(0,G452)*a_tax</f>
        <v>12.1176</v>
      </c>
      <c r="H453" s="36" t="n">
        <f aca="false">MAX(0,H452)*a_tax</f>
        <v>18.81792</v>
      </c>
      <c r="I453" s="36" t="n">
        <f aca="false">MAX(0,I452)*a_tax</f>
        <v>22.581504</v>
      </c>
      <c r="J453" s="36" t="n">
        <f aca="false">MAX(0,J452)*a_tax</f>
        <v>27.0978048</v>
      </c>
      <c r="K453" s="36" t="n">
        <f aca="false">MAX(0,K452)*a_tax</f>
        <v>32.51736576</v>
      </c>
      <c r="L453" s="36" t="n">
        <f aca="false">MAX(0,L452)*a_tax</f>
        <v>39.020838912</v>
      </c>
      <c r="M453" s="36" t="n">
        <f aca="false">MAX(0,M452)*a_tax</f>
        <v>46.8250066944</v>
      </c>
    </row>
    <row r="454" customFormat="false" ht="15" hidden="false" customHeight="false" outlineLevel="0" collapsed="false">
      <c r="A454" s="4" t="s">
        <v>294</v>
      </c>
      <c r="C454" s="42" t="n">
        <f aca="false">cf_lim_pat</f>
        <v>0</v>
      </c>
      <c r="D454" s="41" t="n">
        <f aca="false">D452-D453</f>
        <v>-43.725</v>
      </c>
      <c r="E454" s="41" t="n">
        <f aca="false">E452-E453</f>
        <v>10.395</v>
      </c>
      <c r="F454" s="41" t="n">
        <f aca="false">F452-F453</f>
        <v>21.384</v>
      </c>
      <c r="G454" s="41" t="n">
        <f aca="false">G452-G453</f>
        <v>36.3528</v>
      </c>
      <c r="H454" s="41" t="n">
        <f aca="false">H452-H453</f>
        <v>56.45376</v>
      </c>
      <c r="I454" s="41" t="n">
        <f aca="false">I452-I453</f>
        <v>67.744512</v>
      </c>
      <c r="J454" s="41" t="n">
        <f aca="false">J452-J453</f>
        <v>81.2934144</v>
      </c>
      <c r="K454" s="41" t="n">
        <f aca="false">K452-K453</f>
        <v>97.55209728</v>
      </c>
      <c r="L454" s="41" t="n">
        <f aca="false">L452-L453</f>
        <v>117.062516736</v>
      </c>
      <c r="M454" s="41" t="n">
        <f aca="false">M452-M453</f>
        <v>140.4750200832</v>
      </c>
    </row>
    <row r="455" customFormat="false" ht="15" hidden="false" customHeight="false" outlineLevel="0" collapsed="false">
      <c r="A455" s="9" t="s">
        <v>295</v>
      </c>
      <c r="C455" s="36" t="n">
        <f aca="false">C447*a_capex</f>
        <v>6.6</v>
      </c>
      <c r="D455" s="36" t="n">
        <f aca="false">D447*a_capex</f>
        <v>4.95</v>
      </c>
      <c r="E455" s="36" t="n">
        <f aca="false">E447*a_capex</f>
        <v>5.94</v>
      </c>
      <c r="F455" s="36" t="n">
        <f aca="false">F447*a_capex</f>
        <v>7.128</v>
      </c>
      <c r="G455" s="36" t="n">
        <f aca="false">G447*a_capex</f>
        <v>8.5536</v>
      </c>
      <c r="H455" s="36" t="n">
        <f aca="false">H447*a_capex</f>
        <v>10.26432</v>
      </c>
      <c r="I455" s="36" t="n">
        <f aca="false">I447*a_capex</f>
        <v>12.317184</v>
      </c>
      <c r="J455" s="36" t="n">
        <f aca="false">J447*a_capex</f>
        <v>14.7806208</v>
      </c>
      <c r="K455" s="36" t="n">
        <f aca="false">K447*a_capex</f>
        <v>17.73674496</v>
      </c>
      <c r="L455" s="36" t="n">
        <f aca="false">L447*a_capex</f>
        <v>21.284093952</v>
      </c>
      <c r="M455" s="36" t="n">
        <f aca="false">M447*a_capex</f>
        <v>25.5409127424</v>
      </c>
    </row>
    <row r="456" customFormat="false" ht="15" hidden="false" customHeight="false" outlineLevel="0" collapsed="false">
      <c r="A456" s="9" t="s">
        <v>296</v>
      </c>
      <c r="C456" s="36" t="n">
        <f aca="false">0</f>
        <v>0</v>
      </c>
      <c r="D456" s="36" t="n">
        <f aca="false">a_wc*(D447-C447)</f>
        <v>-2.75</v>
      </c>
      <c r="E456" s="36" t="n">
        <f aca="false">a_wc*(E447-D447)</f>
        <v>1.65</v>
      </c>
      <c r="F456" s="36" t="n">
        <f aca="false">a_wc*(F447-E447)</f>
        <v>1.98</v>
      </c>
      <c r="G456" s="36" t="n">
        <f aca="false">a_wc*(G447-F447)</f>
        <v>2.376</v>
      </c>
      <c r="H456" s="36" t="n">
        <f aca="false">a_wc*(H447-G447)</f>
        <v>2.8512</v>
      </c>
      <c r="I456" s="36" t="n">
        <f aca="false">a_wc*(I447-H447)</f>
        <v>3.42144</v>
      </c>
      <c r="J456" s="36" t="n">
        <f aca="false">a_wc*(J447-I447)</f>
        <v>4.105728</v>
      </c>
      <c r="K456" s="36" t="n">
        <f aca="false">a_wc*(K447-J447)</f>
        <v>4.9268736</v>
      </c>
      <c r="L456" s="36" t="n">
        <f aca="false">a_wc*(L447-K447)</f>
        <v>5.91224832</v>
      </c>
      <c r="M456" s="36" t="n">
        <f aca="false">a_wc*(M447-L447)</f>
        <v>7.094697984</v>
      </c>
    </row>
    <row r="457" customFormat="false" ht="15" hidden="false" customHeight="false" outlineLevel="0" collapsed="false">
      <c r="A457" s="4" t="s">
        <v>297</v>
      </c>
      <c r="C457" s="36" t="n">
        <f aca="false">0</f>
        <v>0</v>
      </c>
      <c r="D457" s="41" t="n">
        <f aca="false">D454+D451-D455-D456</f>
        <v>-40.975</v>
      </c>
      <c r="E457" s="41" t="n">
        <f aca="false">E454+E451-E455-E456</f>
        <v>8.745</v>
      </c>
      <c r="F457" s="41" t="n">
        <f aca="false">F454+F451-F455-F456</f>
        <v>19.404</v>
      </c>
      <c r="G457" s="41" t="n">
        <f aca="false">G454+G451-G455-G456</f>
        <v>33.9768</v>
      </c>
      <c r="H457" s="41" t="n">
        <f aca="false">H454+H451-H455-H456</f>
        <v>53.60256</v>
      </c>
      <c r="I457" s="41" t="n">
        <f aca="false">I454+I451-I455-I456</f>
        <v>64.323072</v>
      </c>
      <c r="J457" s="41" t="n">
        <f aca="false">J454+J451-J455-J456</f>
        <v>77.1876864</v>
      </c>
      <c r="K457" s="41" t="n">
        <f aca="false">K454+K451-K455-K456</f>
        <v>92.62522368</v>
      </c>
      <c r="L457" s="41" t="n">
        <f aca="false">L454+L451-L455-L456</f>
        <v>111.150268416</v>
      </c>
      <c r="M457" s="41" t="n">
        <f aca="false">M454+M451-M455-M456</f>
        <v>133.3803220992</v>
      </c>
    </row>
    <row r="459" customFormat="false" ht="15" hidden="false" customHeight="false" outlineLevel="0" collapsed="false">
      <c r="A459" s="7" t="s">
        <v>603</v>
      </c>
      <c r="B459" s="8"/>
      <c r="C459" s="8"/>
      <c r="D459" s="8"/>
      <c r="E459" s="8"/>
      <c r="F459" s="8"/>
      <c r="G459" s="8"/>
      <c r="H459" s="8"/>
      <c r="I459" s="8"/>
      <c r="J459" s="8"/>
      <c r="K459" s="8"/>
      <c r="L459" s="8"/>
      <c r="M459" s="8"/>
      <c r="N459" s="8"/>
    </row>
    <row r="460" customFormat="false" ht="15" hidden="false" customHeight="false" outlineLevel="0" collapsed="false">
      <c r="A460" s="9" t="s">
        <v>482</v>
      </c>
      <c r="C460" s="35" t="n">
        <f aca="false">lv_mix_eq/(c_price*(1-a_issue_disc))</f>
        <v>1.024</v>
      </c>
    </row>
    <row r="461" customFormat="false" ht="15" hidden="false" customHeight="false" outlineLevel="0" collapsed="false">
      <c r="A461" s="9" t="s">
        <v>449</v>
      </c>
      <c r="C461" s="35" t="n">
        <f aca="false">cf_shares+C460</f>
        <v>65.024</v>
      </c>
    </row>
    <row r="462" customFormat="false" ht="15" hidden="false" customHeight="false" outlineLevel="0" collapsed="false">
      <c r="A462" s="9" t="s">
        <v>483</v>
      </c>
      <c r="C462" s="36" t="n">
        <f aca="false">lv_mix_cash*a_yield*(1-a_tax)+lv_mix_debt*a_kd*(1-a_tax)</f>
        <v>94.5</v>
      </c>
    </row>
    <row r="463" customFormat="false" ht="15" hidden="false" customHeight="false" outlineLevel="0" collapsed="false">
      <c r="A463" s="9" t="s">
        <v>484</v>
      </c>
      <c r="C463" s="36" t="n">
        <f aca="false">lv_price*a_ppa_share/a_ppa_life*(1-a_tax)</f>
        <v>93.75</v>
      </c>
    </row>
    <row r="464" customFormat="false" ht="15" hidden="false" customHeight="false" outlineLevel="0" collapsed="false">
      <c r="A464" s="9" t="s">
        <v>485</v>
      </c>
      <c r="C464" s="36" t="n">
        <f aca="false">a_ppa_on*C463</f>
        <v>0</v>
      </c>
    </row>
    <row r="465" customFormat="false" ht="15" hidden="false" customHeight="false" outlineLevel="0" collapsed="false">
      <c r="A465" s="9" t="s">
        <v>486</v>
      </c>
      <c r="C465" s="36" t="n">
        <f aca="false">lv_price*a_fees_pct+a_integ_full</f>
        <v>160</v>
      </c>
    </row>
    <row r="466" customFormat="false" ht="15" hidden="false" customHeight="false" outlineLevel="0" collapsed="false">
      <c r="A466" s="9" t="s">
        <v>487</v>
      </c>
      <c r="C466" s="36" t="n">
        <f aca="false">0</f>
        <v>0</v>
      </c>
      <c r="D466" s="36" t="n">
        <f aca="false">a_syn_on*(a_syn_partner_rev_y3+a_syn_xsell_y3)*a_mcap*IF(D444=1,a_syn_ramp1,IF(D444=2,a_syn_ramp2,1))+a_syn_on*IF(D444&gt;=2,a_syn_cost,0)</f>
        <v>0</v>
      </c>
      <c r="E466" s="36" t="n">
        <f aca="false">a_syn_on*(a_syn_partner_rev_y3+a_syn_xsell_y3)*a_mcap*IF(E444=1,a_syn_ramp1,IF(E444=2,a_syn_ramp2,1))+a_syn_on*IF(E444&gt;=2,a_syn_cost,0)</f>
        <v>0</v>
      </c>
      <c r="F466" s="36" t="n">
        <f aca="false">a_syn_on*(a_syn_partner_rev_y3+a_syn_xsell_y3)*a_mcap*IF(F444=1,a_syn_ramp1,IF(F444=2,a_syn_ramp2,1))+a_syn_on*IF(F444&gt;=2,a_syn_cost,0)</f>
        <v>0</v>
      </c>
      <c r="G466" s="36" t="n">
        <f aca="false">a_syn_on*(a_syn_partner_rev_y3+a_syn_xsell_y3)*a_mcap*IF(G444=1,a_syn_ramp1,IF(G444=2,a_syn_ramp2,1))+a_syn_on*IF(G444&gt;=2,a_syn_cost,0)</f>
        <v>0</v>
      </c>
      <c r="H466" s="36" t="n">
        <f aca="false">a_syn_on*(a_syn_partner_rev_y3+a_syn_xsell_y3)*a_mcap*IF(H444=1,a_syn_ramp1,IF(H444=2,a_syn_ramp2,1))+a_syn_on*IF(H444&gt;=2,a_syn_cost,0)</f>
        <v>0</v>
      </c>
      <c r="I466" s="36" t="n">
        <f aca="false">a_syn_on*(a_syn_partner_rev_y3+a_syn_xsell_y3)*a_mcap*IF(I444=1,a_syn_ramp1,IF(I444=2,a_syn_ramp2,1))+a_syn_on*IF(I444&gt;=2,a_syn_cost,0)</f>
        <v>0</v>
      </c>
      <c r="J466" s="36" t="n">
        <f aca="false">a_syn_on*(a_syn_partner_rev_y3+a_syn_xsell_y3)*a_mcap*IF(J444=1,a_syn_ramp1,IF(J444=2,a_syn_ramp2,1))+a_syn_on*IF(J444&gt;=2,a_syn_cost,0)</f>
        <v>0</v>
      </c>
      <c r="K466" s="36" t="n">
        <f aca="false">a_syn_on*(a_syn_partner_rev_y3+a_syn_xsell_y3)*a_mcap*IF(K444=1,a_syn_ramp1,IF(K444=2,a_syn_ramp2,1))+a_syn_on*IF(K444&gt;=2,a_syn_cost,0)</f>
        <v>0</v>
      </c>
      <c r="L466" s="36" t="n">
        <f aca="false">a_syn_on*(a_syn_partner_rev_y3+a_syn_xsell_y3)*a_mcap*IF(L444=1,a_syn_ramp1,IF(L444=2,a_syn_ramp2,1))+a_syn_on*IF(L444&gt;=2,a_syn_cost,0)</f>
        <v>0</v>
      </c>
      <c r="M466" s="36" t="n">
        <f aca="false">a_syn_on*(a_syn_partner_rev_y3+a_syn_xsell_y3)*a_mcap*IF(M444=1,a_syn_ramp1,IF(M444=2,a_syn_ramp2,1))+a_syn_on*IF(M444&gt;=2,a_syn_cost,0)</f>
        <v>0</v>
      </c>
    </row>
    <row r="467" customFormat="false" ht="15" hidden="false" customHeight="false" outlineLevel="0" collapsed="false">
      <c r="A467" s="9" t="s">
        <v>488</v>
      </c>
      <c r="C467" s="36" t="n">
        <f aca="false">0</f>
        <v>0</v>
      </c>
      <c r="D467" s="36" t="n">
        <f aca="false">CHOOSE(lv_drag_mode,Capital_Drag!$B$42,Capital_Drag!$B$42*D447/cf_arr,Capital_Drag!$B$42*(1-a_tax))</f>
        <v>1250</v>
      </c>
      <c r="E467" s="36" t="n">
        <f aca="false">CHOOSE(lv_drag_mode,Capital_Drag!$B$42,Capital_Drag!$B$42*E447/cf_arr,Capital_Drag!$B$42*(1-a_tax))</f>
        <v>1250</v>
      </c>
      <c r="F467" s="36" t="n">
        <f aca="false">CHOOSE(lv_drag_mode,Capital_Drag!$B$42,Capital_Drag!$B$42*F447/cf_arr,Capital_Drag!$B$42*(1-a_tax))</f>
        <v>1250</v>
      </c>
      <c r="G467" s="36" t="n">
        <f aca="false">CHOOSE(lv_drag_mode,Capital_Drag!$B$42,Capital_Drag!$B$42*G447/cf_arr,Capital_Drag!$B$42*(1-a_tax))</f>
        <v>1250</v>
      </c>
      <c r="H467" s="36" t="n">
        <f aca="false">CHOOSE(lv_drag_mode,Capital_Drag!$B$42,Capital_Drag!$B$42*H447/cf_arr,Capital_Drag!$B$42*(1-a_tax))</f>
        <v>1250</v>
      </c>
      <c r="I467" s="36" t="n">
        <f aca="false">CHOOSE(lv_drag_mode,Capital_Drag!$B$42,Capital_Drag!$B$42*I447/cf_arr,Capital_Drag!$B$42*(1-a_tax))</f>
        <v>1250</v>
      </c>
      <c r="J467" s="36" t="n">
        <f aca="false">CHOOSE(lv_drag_mode,Capital_Drag!$B$42,Capital_Drag!$B$42*J447/cf_arr,Capital_Drag!$B$42*(1-a_tax))</f>
        <v>1250</v>
      </c>
      <c r="K467" s="36" t="n">
        <f aca="false">CHOOSE(lv_drag_mode,Capital_Drag!$B$42,Capital_Drag!$B$42*K447/cf_arr,Capital_Drag!$B$42*(1-a_tax))</f>
        <v>1250</v>
      </c>
      <c r="L467" s="36" t="n">
        <f aca="false">CHOOSE(lv_drag_mode,Capital_Drag!$B$42,Capital_Drag!$B$42*L447/cf_arr,Capital_Drag!$B$42*(1-a_tax))</f>
        <v>1250</v>
      </c>
      <c r="M467" s="36" t="n">
        <f aca="false">CHOOSE(lv_drag_mode,Capital_Drag!$B$42,Capital_Drag!$B$42*M447/cf_arr,Capital_Drag!$B$42*(1-a_tax))</f>
        <v>1250</v>
      </c>
    </row>
    <row r="468" customFormat="false" ht="15" hidden="false" customHeight="false" outlineLevel="0" collapsed="false">
      <c r="A468" s="9" t="s">
        <v>489</v>
      </c>
      <c r="C468" s="36" t="n">
        <f aca="false">0</f>
        <v>0</v>
      </c>
      <c r="D468" s="36" t="n">
        <f aca="false">IF(lv_drag_mode=3,Capital_Drag!$B$42*(1-a_tax),0)</f>
        <v>0</v>
      </c>
      <c r="E468" s="36" t="n">
        <f aca="false">IF(lv_drag_mode=3,Capital_Drag!$B$42*(1-a_tax),0)</f>
        <v>0</v>
      </c>
      <c r="F468" s="36" t="n">
        <f aca="false">IF(lv_drag_mode=3,Capital_Drag!$B$42*(1-a_tax),0)</f>
        <v>0</v>
      </c>
      <c r="G468" s="36" t="n">
        <f aca="false">IF(lv_drag_mode=3,Capital_Drag!$B$42*(1-a_tax),0)</f>
        <v>0</v>
      </c>
      <c r="H468" s="36" t="n">
        <f aca="false">IF(lv_drag_mode=3,Capital_Drag!$B$42*(1-a_tax),0)</f>
        <v>0</v>
      </c>
      <c r="I468" s="36" t="n">
        <f aca="false">IF(lv_drag_mode=3,Capital_Drag!$B$42*(1-a_tax),0)</f>
        <v>0</v>
      </c>
      <c r="J468" s="36" t="n">
        <f aca="false">IF(lv_drag_mode=3,Capital_Drag!$B$42*(1-a_tax),0)</f>
        <v>0</v>
      </c>
      <c r="K468" s="36" t="n">
        <f aca="false">IF(lv_drag_mode=3,Capital_Drag!$B$42*(1-a_tax),0)</f>
        <v>0</v>
      </c>
      <c r="L468" s="36" t="n">
        <f aca="false">IF(lv_drag_mode=3,Capital_Drag!$B$42*(1-a_tax),0)</f>
        <v>0</v>
      </c>
      <c r="M468" s="36" t="n">
        <f aca="false">IF(lv_drag_mode=3,Capital_Drag!$B$42*(1-a_tax),0)</f>
        <v>0</v>
      </c>
    </row>
    <row r="469" customFormat="false" ht="15" hidden="false" customHeight="false" outlineLevel="0" collapsed="false">
      <c r="A469" s="9" t="s">
        <v>490</v>
      </c>
      <c r="C469" s="36" t="n">
        <f aca="false">0</f>
        <v>0</v>
      </c>
      <c r="D469" s="36" t="n">
        <f aca="false">IF(lv_drag_mode=3,0,C469+D467)</f>
        <v>1250</v>
      </c>
      <c r="E469" s="36" t="n">
        <f aca="false">IF(lv_drag_mode=3,0,D469+E467)</f>
        <v>2500</v>
      </c>
      <c r="F469" s="36" t="n">
        <f aca="false">IF(lv_drag_mode=3,0,E469+F467)</f>
        <v>3750</v>
      </c>
      <c r="G469" s="36" t="n">
        <f aca="false">IF(lv_drag_mode=3,0,F469+G467)</f>
        <v>5000</v>
      </c>
      <c r="H469" s="36" t="n">
        <f aca="false">IF(lv_drag_mode=3,0,G469+H467)</f>
        <v>6250</v>
      </c>
      <c r="I469" s="36" t="n">
        <f aca="false">IF(lv_drag_mode=3,0,H469+I467)</f>
        <v>7500</v>
      </c>
      <c r="J469" s="36" t="n">
        <f aca="false">IF(lv_drag_mode=3,0,I469+J467)</f>
        <v>8750</v>
      </c>
      <c r="K469" s="36" t="n">
        <f aca="false">IF(lv_drag_mode=3,0,J469+K467)</f>
        <v>10000</v>
      </c>
      <c r="L469" s="36" t="n">
        <f aca="false">IF(lv_drag_mode=3,0,K469+L467)</f>
        <v>11250</v>
      </c>
      <c r="M469" s="36" t="n">
        <f aca="false">IF(lv_drag_mode=3,0,L469+M467)</f>
        <v>12500</v>
      </c>
    </row>
    <row r="470" customFormat="false" ht="15" hidden="false" customHeight="false" outlineLevel="0" collapsed="false">
      <c r="A470" s="9" t="s">
        <v>491</v>
      </c>
      <c r="C470" s="36" t="n">
        <f aca="false">0</f>
        <v>0</v>
      </c>
      <c r="D470" s="36" t="n">
        <f aca="false">C469*a_yield*(1-a_tax)</f>
        <v>0</v>
      </c>
      <c r="E470" s="36" t="n">
        <f aca="false">D469*a_yield*(1-a_tax)</f>
        <v>56.25</v>
      </c>
      <c r="F470" s="36" t="n">
        <f aca="false">E469*a_yield*(1-a_tax)</f>
        <v>112.5</v>
      </c>
      <c r="G470" s="36" t="n">
        <f aca="false">F469*a_yield*(1-a_tax)</f>
        <v>168.75</v>
      </c>
      <c r="H470" s="36" t="n">
        <f aca="false">G469*a_yield*(1-a_tax)</f>
        <v>225</v>
      </c>
      <c r="I470" s="36" t="n">
        <f aca="false">H469*a_yield*(1-a_tax)</f>
        <v>281.25</v>
      </c>
      <c r="J470" s="36" t="n">
        <f aca="false">I469*a_yield*(1-a_tax)</f>
        <v>337.5</v>
      </c>
      <c r="K470" s="36" t="n">
        <f aca="false">J469*a_yield*(1-a_tax)</f>
        <v>393.75</v>
      </c>
      <c r="L470" s="36" t="n">
        <f aca="false">K469*a_yield*(1-a_tax)</f>
        <v>450</v>
      </c>
      <c r="M470" s="36" t="n">
        <f aca="false">L469*a_yield*(1-a_tax)</f>
        <v>506.25</v>
      </c>
    </row>
    <row r="471" customFormat="false" ht="15" hidden="false" customHeight="false" outlineLevel="0" collapsed="false">
      <c r="A471" s="9" t="s">
        <v>492</v>
      </c>
      <c r="C471" s="36" t="n">
        <f aca="false">cf_pat</f>
        <v>480</v>
      </c>
      <c r="D471" s="36" t="n">
        <f aca="false">cf_pat*(1+a_pat_growth)^D444</f>
        <v>480</v>
      </c>
      <c r="E471" s="36" t="n">
        <f aca="false">cf_pat*(1+a_pat_growth)^E444</f>
        <v>480</v>
      </c>
      <c r="F471" s="36" t="n">
        <f aca="false">cf_pat*(1+a_pat_growth)^F444</f>
        <v>480</v>
      </c>
      <c r="G471" s="36" t="n">
        <f aca="false">cf_pat*(1+a_pat_growth)^G444</f>
        <v>480</v>
      </c>
      <c r="H471" s="36" t="n">
        <f aca="false">cf_pat*(1+a_pat_growth)^H444</f>
        <v>480</v>
      </c>
      <c r="I471" s="36" t="n">
        <f aca="false">cf_pat*(1+a_pat_growth)^I444</f>
        <v>480</v>
      </c>
      <c r="J471" s="36" t="n">
        <f aca="false">cf_pat*(1+a_pat_growth)^J444</f>
        <v>480</v>
      </c>
      <c r="K471" s="36" t="n">
        <f aca="false">cf_pat*(1+a_pat_growth)^K444</f>
        <v>480</v>
      </c>
      <c r="L471" s="36" t="n">
        <f aca="false">cf_pat*(1+a_pat_growth)^L444</f>
        <v>480</v>
      </c>
      <c r="M471" s="36" t="n">
        <f aca="false">cf_pat*(1+a_pat_growth)^M444</f>
        <v>480</v>
      </c>
    </row>
    <row r="472" customFormat="false" ht="15" hidden="false" customHeight="false" outlineLevel="0" collapsed="false">
      <c r="A472" s="9" t="s">
        <v>493</v>
      </c>
      <c r="C472" s="36" t="n">
        <f aca="false">0</f>
        <v>0</v>
      </c>
      <c r="D472" s="36" t="n">
        <f aca="false">cf_mdr*a_mdr_flow*(1-a_tax)</f>
        <v>69</v>
      </c>
      <c r="E472" s="36" t="n">
        <f aca="false">cf_mdr*a_mdr_flow*(1-a_tax)</f>
        <v>69</v>
      </c>
      <c r="F472" s="36" t="n">
        <f aca="false">cf_mdr*a_mdr_flow*(1-a_tax)</f>
        <v>69</v>
      </c>
      <c r="G472" s="36" t="n">
        <f aca="false">cf_mdr*a_mdr_flow*(1-a_tax)</f>
        <v>69</v>
      </c>
      <c r="H472" s="36" t="n">
        <f aca="false">cf_mdr*a_mdr_flow*(1-a_tax)</f>
        <v>69</v>
      </c>
      <c r="I472" s="36" t="n">
        <f aca="false">cf_mdr*a_mdr_flow*(1-a_tax)</f>
        <v>69</v>
      </c>
      <c r="J472" s="36" t="n">
        <f aca="false">cf_mdr*a_mdr_flow*(1-a_tax)</f>
        <v>69</v>
      </c>
      <c r="K472" s="36" t="n">
        <f aca="false">cf_mdr*a_mdr_flow*(1-a_tax)</f>
        <v>69</v>
      </c>
      <c r="L472" s="36" t="n">
        <f aca="false">cf_mdr*a_mdr_flow*(1-a_tax)</f>
        <v>69</v>
      </c>
      <c r="M472" s="36" t="n">
        <f aca="false">cf_mdr*a_mdr_flow*(1-a_tax)</f>
        <v>69</v>
      </c>
    </row>
    <row r="473" customFormat="false" ht="15" hidden="false" customHeight="false" outlineLevel="0" collapsed="false">
      <c r="A473" s="9" t="s">
        <v>494</v>
      </c>
      <c r="C473" s="50" t="n">
        <f aca="false">cf_eps</f>
        <v>7.5</v>
      </c>
      <c r="D473" s="50" t="n">
        <f aca="false">D471/cf_shares</f>
        <v>7.5</v>
      </c>
      <c r="E473" s="50" t="n">
        <f aca="false">E471/cf_shares</f>
        <v>7.5</v>
      </c>
      <c r="F473" s="50" t="n">
        <f aca="false">F471/cf_shares</f>
        <v>7.5</v>
      </c>
      <c r="G473" s="50" t="n">
        <f aca="false">G471/cf_shares</f>
        <v>7.5</v>
      </c>
      <c r="H473" s="50" t="n">
        <f aca="false">H471/cf_shares</f>
        <v>7.5</v>
      </c>
      <c r="I473" s="50" t="n">
        <f aca="false">I471/cf_shares</f>
        <v>7.5</v>
      </c>
      <c r="J473" s="50" t="n">
        <f aca="false">J471/cf_shares</f>
        <v>7.5</v>
      </c>
      <c r="K473" s="50" t="n">
        <f aca="false">K471/cf_shares</f>
        <v>7.5</v>
      </c>
      <c r="L473" s="50" t="n">
        <f aca="false">L471/cf_shares</f>
        <v>7.5</v>
      </c>
      <c r="M473" s="50" t="n">
        <f aca="false">M471/cf_shares</f>
        <v>7.5</v>
      </c>
    </row>
    <row r="474" customFormat="false" ht="15" hidden="false" customHeight="false" outlineLevel="0" collapsed="false">
      <c r="A474" s="9" t="s">
        <v>495</v>
      </c>
      <c r="C474" s="50" t="n">
        <f aca="false">cf_eps</f>
        <v>7.5</v>
      </c>
      <c r="D474" s="50" t="n">
        <f aca="false">(D471+D472)/cf_shares</f>
        <v>8.578125</v>
      </c>
      <c r="E474" s="50" t="n">
        <f aca="false">(E471+E472)/cf_shares</f>
        <v>8.578125</v>
      </c>
      <c r="F474" s="50" t="n">
        <f aca="false">(F471+F472)/cf_shares</f>
        <v>8.578125</v>
      </c>
      <c r="G474" s="50" t="n">
        <f aca="false">(G471+G472)/cf_shares</f>
        <v>8.578125</v>
      </c>
      <c r="H474" s="50" t="n">
        <f aca="false">(H471+H472)/cf_shares</f>
        <v>8.578125</v>
      </c>
      <c r="I474" s="50" t="n">
        <f aca="false">(I471+I472)/cf_shares</f>
        <v>8.578125</v>
      </c>
      <c r="J474" s="50" t="n">
        <f aca="false">(J471+J472)/cf_shares</f>
        <v>8.578125</v>
      </c>
      <c r="K474" s="50" t="n">
        <f aca="false">(K471+K472)/cf_shares</f>
        <v>8.578125</v>
      </c>
      <c r="L474" s="50" t="n">
        <f aca="false">(L471+L472)/cf_shares</f>
        <v>8.578125</v>
      </c>
      <c r="M474" s="50" t="n">
        <f aca="false">(M471+M472)/cf_shares</f>
        <v>8.578125</v>
      </c>
    </row>
    <row r="475" customFormat="false" ht="15" hidden="false" customHeight="false" outlineLevel="0" collapsed="false">
      <c r="A475" s="4" t="s">
        <v>496</v>
      </c>
      <c r="C475" s="41" t="n">
        <f aca="false">-C462-C464</f>
        <v>-94.5</v>
      </c>
      <c r="D475" s="41" t="n">
        <f aca="false">D454+D466*(1-a_tax)-C462-C464-D468-D470</f>
        <v>-138.225</v>
      </c>
      <c r="E475" s="41" t="n">
        <f aca="false">E454+E466*(1-a_tax)-C462-C464-E468-E470</f>
        <v>-140.355</v>
      </c>
      <c r="F475" s="41" t="n">
        <f aca="false">F454+F466*(1-a_tax)-C462-C464-F468-F470</f>
        <v>-185.616</v>
      </c>
      <c r="G475" s="41" t="n">
        <f aca="false">G454+G466*(1-a_tax)-C462-C464-G468-G470</f>
        <v>-226.8972</v>
      </c>
      <c r="H475" s="41" t="n">
        <f aca="false">H454+H466*(1-a_tax)-C462-C464-H468-H470</f>
        <v>-263.04624</v>
      </c>
      <c r="I475" s="41" t="n">
        <f aca="false">I454+I466*(1-a_tax)-C462-C464-I468-I470</f>
        <v>-308.005488</v>
      </c>
      <c r="J475" s="41" t="n">
        <f aca="false">J454+J466*(1-a_tax)-C462-C464-J468-J470</f>
        <v>-350.7065856</v>
      </c>
      <c r="K475" s="41" t="n">
        <f aca="false">K454+K466*(1-a_tax)-C462-C464-K468-K470</f>
        <v>-390.69790272</v>
      </c>
      <c r="L475" s="41" t="n">
        <f aca="false">L454+L466*(1-a_tax)-C462-C464-L468-L470</f>
        <v>-427.437483264</v>
      </c>
      <c r="M475" s="41" t="n">
        <f aca="false">M454+M466*(1-a_tax)-C462-C464-M468-M470</f>
        <v>-460.2749799168</v>
      </c>
    </row>
    <row r="476" customFormat="false" ht="15" hidden="false" customHeight="false" outlineLevel="0" collapsed="false">
      <c r="A476" s="9" t="s">
        <v>497</v>
      </c>
      <c r="C476" s="36" t="n">
        <f aca="false">C471+C475</f>
        <v>385.5</v>
      </c>
      <c r="D476" s="36" t="n">
        <f aca="false">D471+D475</f>
        <v>341.775</v>
      </c>
      <c r="E476" s="36" t="n">
        <f aca="false">E471+E475</f>
        <v>339.645</v>
      </c>
      <c r="F476" s="36" t="n">
        <f aca="false">F471+F475</f>
        <v>294.384</v>
      </c>
      <c r="G476" s="36" t="n">
        <f aca="false">G471+G475</f>
        <v>253.1028</v>
      </c>
      <c r="H476" s="36" t="n">
        <f aca="false">H471+H475</f>
        <v>216.95376</v>
      </c>
      <c r="I476" s="36" t="n">
        <f aca="false">I471+I475</f>
        <v>171.994512</v>
      </c>
      <c r="J476" s="36" t="n">
        <f aca="false">J471+J475</f>
        <v>129.2934144</v>
      </c>
      <c r="K476" s="36" t="n">
        <f aca="false">K471+K475</f>
        <v>89.30209728</v>
      </c>
      <c r="L476" s="36" t="n">
        <f aca="false">L471+L475</f>
        <v>52.562516736</v>
      </c>
      <c r="M476" s="36" t="n">
        <f aca="false">M471+M475</f>
        <v>19.7250200832</v>
      </c>
    </row>
    <row r="477" customFormat="false" ht="15" hidden="false" customHeight="false" outlineLevel="0" collapsed="false">
      <c r="A477" s="4" t="s">
        <v>498</v>
      </c>
      <c r="C477" s="48" t="n">
        <f aca="false">C476/C461</f>
        <v>5.92858021653543</v>
      </c>
      <c r="D477" s="48" t="n">
        <f aca="false">D476/C461</f>
        <v>5.25613619586614</v>
      </c>
      <c r="E477" s="48" t="n">
        <f aca="false">E476/C461</f>
        <v>5.22337906003937</v>
      </c>
      <c r="F477" s="48" t="n">
        <f aca="false">F476/C461</f>
        <v>4.52731299212598</v>
      </c>
      <c r="G477" s="48" t="n">
        <f aca="false">G476/C461</f>
        <v>3.89245201771654</v>
      </c>
      <c r="H477" s="48" t="n">
        <f aca="false">H476/C461</f>
        <v>3.33651820866142</v>
      </c>
      <c r="I477" s="48" t="n">
        <f aca="false">I476/C461</f>
        <v>2.64509276574803</v>
      </c>
      <c r="J477" s="48" t="n">
        <f aca="false">J476/C461</f>
        <v>1.98839527559055</v>
      </c>
      <c r="K477" s="48" t="n">
        <f aca="false">K476/C461</f>
        <v>1.37337132874016</v>
      </c>
      <c r="L477" s="48" t="n">
        <f aca="false">L476/C461</f>
        <v>0.808355633858267</v>
      </c>
      <c r="M477" s="48" t="n">
        <f aca="false">M476/C461</f>
        <v>0.303349841338582</v>
      </c>
    </row>
    <row r="478" customFormat="false" ht="15" hidden="false" customHeight="false" outlineLevel="0" collapsed="false">
      <c r="A478" s="4" t="s">
        <v>499</v>
      </c>
      <c r="C478" s="14" t="n">
        <f aca="false">C477/cf_eps-1</f>
        <v>-0.209522637795276</v>
      </c>
      <c r="D478" s="14" t="n">
        <f aca="false">D477/cf_eps-1</f>
        <v>-0.299181840551181</v>
      </c>
      <c r="E478" s="14" t="n">
        <f aca="false">E477/cf_eps-1</f>
        <v>-0.303549458661417</v>
      </c>
      <c r="F478" s="14" t="n">
        <f aca="false">F477/cf_eps-1</f>
        <v>-0.396358267716536</v>
      </c>
      <c r="G478" s="14" t="n">
        <f aca="false">G477/cf_eps-1</f>
        <v>-0.481006397637795</v>
      </c>
      <c r="H478" s="14" t="n">
        <f aca="false">H477/cf_eps-1</f>
        <v>-0.555130905511811</v>
      </c>
      <c r="I478" s="14" t="n">
        <f aca="false">I477/cf_eps-1</f>
        <v>-0.647320964566929</v>
      </c>
      <c r="J478" s="14" t="n">
        <f aca="false">J477/cf_eps-1</f>
        <v>-0.73488062992126</v>
      </c>
      <c r="K478" s="14" t="n">
        <f aca="false">K477/cf_eps-1</f>
        <v>-0.816883822834646</v>
      </c>
      <c r="L478" s="14" t="n">
        <f aca="false">L477/cf_eps-1</f>
        <v>-0.892219248818898</v>
      </c>
      <c r="M478" s="14" t="n">
        <f aca="false">M477/cf_eps-1</f>
        <v>-0.959553354488189</v>
      </c>
    </row>
    <row r="479" customFormat="false" ht="15" hidden="false" customHeight="false" outlineLevel="0" collapsed="false">
      <c r="A479" s="9" t="s">
        <v>500</v>
      </c>
      <c r="C479" s="50" t="n">
        <f aca="false">C477</f>
        <v>5.92858021653543</v>
      </c>
      <c r="D479" s="50" t="n">
        <f aca="false">(D476+D472)/C461</f>
        <v>6.31728284940945</v>
      </c>
      <c r="E479" s="50" t="n">
        <f aca="false">(E476+E472)/C461</f>
        <v>6.28452571358268</v>
      </c>
      <c r="F479" s="50" t="n">
        <f aca="false">(F476+F472)/C461</f>
        <v>5.58845964566929</v>
      </c>
      <c r="G479" s="50" t="n">
        <f aca="false">(G476+G472)/C461</f>
        <v>4.95359867125984</v>
      </c>
      <c r="H479" s="50" t="n">
        <f aca="false">(H476+H472)/C461</f>
        <v>4.39766486220472</v>
      </c>
      <c r="I479" s="50" t="n">
        <f aca="false">(I476+I472)/C461</f>
        <v>3.70623941929134</v>
      </c>
      <c r="J479" s="50" t="n">
        <f aca="false">(J476+J472)/C461</f>
        <v>3.04954192913386</v>
      </c>
      <c r="K479" s="50" t="n">
        <f aca="false">(K476+K472)/C461</f>
        <v>2.43451798228346</v>
      </c>
      <c r="L479" s="50" t="n">
        <f aca="false">(L476+L472)/C461</f>
        <v>1.86950228740157</v>
      </c>
      <c r="M479" s="50" t="n">
        <f aca="false">(M476+M472)/C461</f>
        <v>1.36449649488189</v>
      </c>
    </row>
    <row r="480" customFormat="false" ht="15" hidden="false" customHeight="false" outlineLevel="0" collapsed="false">
      <c r="A480" s="9" t="s">
        <v>501</v>
      </c>
      <c r="C480" s="18" t="n">
        <f aca="false">C478</f>
        <v>-0.209522637795276</v>
      </c>
      <c r="D480" s="18" t="n">
        <f aca="false">D479/D474-1</f>
        <v>-0.263559012090702</v>
      </c>
      <c r="E480" s="18" t="n">
        <f aca="false">E479/E474-1</f>
        <v>-0.267377694591455</v>
      </c>
      <c r="F480" s="18" t="n">
        <f aca="false">F479/F474-1</f>
        <v>-0.348522008519427</v>
      </c>
      <c r="G480" s="18" t="n">
        <f aca="false">G479/G474-1</f>
        <v>-0.422531302439654</v>
      </c>
      <c r="H480" s="18" t="n">
        <f aca="false">H479/H474-1</f>
        <v>-0.487339615334968</v>
      </c>
      <c r="I480" s="18" t="n">
        <f aca="false">I479/I474-1</f>
        <v>-0.567942945656383</v>
      </c>
      <c r="J480" s="18" t="n">
        <f aca="false">J479/J474-1</f>
        <v>-0.644497844326836</v>
      </c>
      <c r="K480" s="18" t="n">
        <f aca="false">K479/K474-1</f>
        <v>-0.716194625016135</v>
      </c>
      <c r="L480" s="18" t="n">
        <f aca="false">L479/L474-1</f>
        <v>-0.78206166412805</v>
      </c>
      <c r="M480" s="18" t="n">
        <f aca="false">M479/M474-1</f>
        <v>-0.840933013347102</v>
      </c>
    </row>
    <row r="481" customFormat="false" ht="15" hidden="false" customHeight="false" outlineLevel="0" collapsed="false">
      <c r="A481" s="9" t="s">
        <v>502</v>
      </c>
      <c r="C481" s="50" t="n">
        <f aca="false">(C476+C464)/C461</f>
        <v>5.92858021653543</v>
      </c>
      <c r="D481" s="50" t="n">
        <f aca="false">(D476+C464)/C461</f>
        <v>5.25613619586614</v>
      </c>
      <c r="E481" s="50" t="n">
        <f aca="false">(E476+C464)/C461</f>
        <v>5.22337906003937</v>
      </c>
      <c r="F481" s="50" t="n">
        <f aca="false">(F476+C464)/C461</f>
        <v>4.52731299212598</v>
      </c>
      <c r="G481" s="50" t="n">
        <f aca="false">(G476+C464)/C461</f>
        <v>3.89245201771654</v>
      </c>
      <c r="H481" s="50" t="n">
        <f aca="false">(H476+C464)/C461</f>
        <v>3.33651820866142</v>
      </c>
      <c r="I481" s="50" t="n">
        <f aca="false">(I476+C464)/C461</f>
        <v>2.64509276574803</v>
      </c>
      <c r="J481" s="50" t="n">
        <f aca="false">(J476+C464)/C461</f>
        <v>1.98839527559055</v>
      </c>
      <c r="K481" s="50" t="n">
        <f aca="false">(K476+C464)/C461</f>
        <v>1.37337132874016</v>
      </c>
      <c r="L481" s="50" t="n">
        <f aca="false">(L476+C464)/C461</f>
        <v>0.808355633858267</v>
      </c>
      <c r="M481" s="50" t="n">
        <f aca="false">(M476+C464)/C461</f>
        <v>0.303349841338582</v>
      </c>
    </row>
    <row r="482" customFormat="false" ht="15" hidden="false" customHeight="false" outlineLevel="0" collapsed="false">
      <c r="A482" s="9" t="s">
        <v>503</v>
      </c>
      <c r="C482" s="50" t="n">
        <f aca="false">(C476-C463+C464)/C461</f>
        <v>4.48680487204724</v>
      </c>
      <c r="D482" s="50" t="n">
        <f aca="false">(D476-C463+C464)/C461</f>
        <v>3.81436085137795</v>
      </c>
      <c r="E482" s="50" t="n">
        <f aca="false">(E476-C463+C464)/C461</f>
        <v>3.78160371555118</v>
      </c>
      <c r="F482" s="50" t="n">
        <f aca="false">(F476-C463+C464)/C461</f>
        <v>3.0855376476378</v>
      </c>
      <c r="G482" s="50" t="n">
        <f aca="false">(G476-C463+C464)/C461</f>
        <v>2.45067667322835</v>
      </c>
      <c r="H482" s="50" t="n">
        <f aca="false">(H476-C463+C464)/C461</f>
        <v>1.89474286417323</v>
      </c>
      <c r="I482" s="50" t="n">
        <f aca="false">(I476-C463+C464)/C461</f>
        <v>1.20331742125984</v>
      </c>
      <c r="J482" s="50" t="n">
        <f aca="false">(J476-C463+C464)/C461</f>
        <v>0.546619931102362</v>
      </c>
      <c r="K482" s="50" t="n">
        <f aca="false">(K476-C463+C464)/C461</f>
        <v>-0.0684040157480315</v>
      </c>
      <c r="L482" s="50" t="n">
        <f aca="false">(L476-C463+C464)/C461</f>
        <v>-0.633419710629922</v>
      </c>
      <c r="M482" s="50" t="n">
        <f aca="false">(M476-C463+C464)/C461</f>
        <v>-1.13842550314961</v>
      </c>
    </row>
    <row r="483" customFormat="false" ht="15" hidden="false" customHeight="false" outlineLevel="0" collapsed="false">
      <c r="A483" s="9" t="s">
        <v>504</v>
      </c>
      <c r="C483" s="50" t="n">
        <f aca="false">C471/C461</f>
        <v>7.38188976377953</v>
      </c>
      <c r="D483" s="50" t="n">
        <f aca="false">D471/C461</f>
        <v>7.38188976377953</v>
      </c>
      <c r="E483" s="50" t="n">
        <f aca="false">E471/C461</f>
        <v>7.38188976377953</v>
      </c>
      <c r="F483" s="50" t="n">
        <f aca="false">F471/C461</f>
        <v>7.38188976377953</v>
      </c>
      <c r="G483" s="50" t="n">
        <f aca="false">G471/C461</f>
        <v>7.38188976377953</v>
      </c>
      <c r="H483" s="50" t="n">
        <f aca="false">H471/C461</f>
        <v>7.38188976377953</v>
      </c>
      <c r="I483" s="50" t="n">
        <f aca="false">I471/C461</f>
        <v>7.38188976377953</v>
      </c>
      <c r="J483" s="50" t="n">
        <f aca="false">J471/C461</f>
        <v>7.38188976377953</v>
      </c>
      <c r="K483" s="50" t="n">
        <f aca="false">K471/C461</f>
        <v>7.38188976377953</v>
      </c>
      <c r="L483" s="50" t="n">
        <f aca="false">L471/C461</f>
        <v>7.38188976377953</v>
      </c>
      <c r="M483" s="50" t="n">
        <f aca="false">M471/C461</f>
        <v>7.38188976377953</v>
      </c>
    </row>
    <row r="484" customFormat="false" ht="15" hidden="false" customHeight="false" outlineLevel="0" collapsed="false">
      <c r="A484" s="9" t="s">
        <v>505</v>
      </c>
      <c r="D484" s="36" t="n">
        <f aca="false">D457+D466*(1-a_tax)-D467-IF(D444=1,C465,0)</f>
        <v>-1450.975</v>
      </c>
      <c r="E484" s="36" t="n">
        <f aca="false">E457+E466*(1-a_tax)-E467-IF(E444=1,C465,0)</f>
        <v>-1241.255</v>
      </c>
      <c r="F484" s="36" t="n">
        <f aca="false">F457+F466*(1-a_tax)-F467-IF(F444=1,C465,0)</f>
        <v>-1230.596</v>
      </c>
      <c r="G484" s="36" t="n">
        <f aca="false">G457+G466*(1-a_tax)-G467-IF(G444=1,C465,0)</f>
        <v>-1216.0232</v>
      </c>
      <c r="H484" s="36" t="n">
        <f aca="false">H457+H466*(1-a_tax)-H467-IF(H444=1,C465,0)</f>
        <v>-1196.39744</v>
      </c>
      <c r="I484" s="36" t="n">
        <f aca="false">I457+I466*(1-a_tax)-I467-IF(I444=1,C465,0)</f>
        <v>-1185.676928</v>
      </c>
      <c r="J484" s="36" t="n">
        <f aca="false">J457+J466*(1-a_tax)-J467-IF(J444=1,C465,0)</f>
        <v>-1172.8123136</v>
      </c>
      <c r="K484" s="36" t="n">
        <f aca="false">K457+K466*(1-a_tax)-K467-IF(K444=1,C465,0)</f>
        <v>-1157.37477632</v>
      </c>
      <c r="L484" s="36" t="n">
        <f aca="false">L457+L466*(1-a_tax)-L467-IF(L444=1,C465,0)</f>
        <v>-1138.849731584</v>
      </c>
      <c r="M484" s="36" t="n">
        <f aca="false">M457+M466*(1-a_tax)-M467-IF(M444=1,C465,0)</f>
        <v>-1116.6196779008</v>
      </c>
    </row>
    <row r="485" customFormat="false" ht="15" hidden="false" customHeight="false" outlineLevel="0" collapsed="false">
      <c r="A485" s="4" t="s">
        <v>506</v>
      </c>
      <c r="D485" s="41" t="n">
        <f aca="false">D484-C462</f>
        <v>-1545.475</v>
      </c>
      <c r="E485" s="41" t="n">
        <f aca="false">E484-C462</f>
        <v>-1335.755</v>
      </c>
      <c r="F485" s="41" t="n">
        <f aca="false">F484-C462</f>
        <v>-1325.096</v>
      </c>
      <c r="G485" s="41" t="n">
        <f aca="false">G484-C462</f>
        <v>-1310.5232</v>
      </c>
      <c r="H485" s="41" t="n">
        <f aca="false">H484-C462</f>
        <v>-1290.89744</v>
      </c>
      <c r="I485" s="41" t="n">
        <f aca="false">I484-C462</f>
        <v>-1280.176928</v>
      </c>
      <c r="J485" s="41" t="n">
        <f aca="false">J484-C462</f>
        <v>-1267.3123136</v>
      </c>
      <c r="K485" s="41" t="n">
        <f aca="false">K484-C462</f>
        <v>-1251.87477632</v>
      </c>
      <c r="L485" s="41" t="n">
        <f aca="false">L484-C462</f>
        <v>-1233.349731584</v>
      </c>
      <c r="M485" s="41" t="n">
        <f aca="false">M484-C462</f>
        <v>-1211.1196779008</v>
      </c>
    </row>
    <row r="486" customFormat="false" ht="15" hidden="false" customHeight="false" outlineLevel="0" collapsed="false">
      <c r="A486" s="9" t="s">
        <v>507</v>
      </c>
      <c r="C486" s="36" t="n">
        <f aca="false">0</f>
        <v>0</v>
      </c>
      <c r="D486" s="36" t="n">
        <f aca="false">D472</f>
        <v>69</v>
      </c>
      <c r="E486" s="36" t="n">
        <f aca="false">E472</f>
        <v>69</v>
      </c>
      <c r="F486" s="36" t="n">
        <f aca="false">F472</f>
        <v>69</v>
      </c>
      <c r="G486" s="36" t="n">
        <f aca="false">G472</f>
        <v>69</v>
      </c>
      <c r="H486" s="36" t="n">
        <f aca="false">H472</f>
        <v>69</v>
      </c>
      <c r="I486" s="36" t="n">
        <f aca="false">I472</f>
        <v>69</v>
      </c>
      <c r="J486" s="36" t="n">
        <f aca="false">J472</f>
        <v>69</v>
      </c>
      <c r="K486" s="36" t="n">
        <f aca="false">K472</f>
        <v>69</v>
      </c>
      <c r="L486" s="36" t="n">
        <f aca="false">L472</f>
        <v>69</v>
      </c>
      <c r="M486" s="36" t="n">
        <f aca="false">M472</f>
        <v>69</v>
      </c>
    </row>
    <row r="487" customFormat="false" ht="15" hidden="false" customHeight="false" outlineLevel="0" collapsed="false">
      <c r="A487" s="9" t="s">
        <v>508</v>
      </c>
      <c r="D487" s="36" t="n">
        <f aca="false">D485+D486</f>
        <v>-1476.475</v>
      </c>
      <c r="E487" s="36" t="n">
        <f aca="false">E485+E486</f>
        <v>-1266.755</v>
      </c>
      <c r="F487" s="36" t="n">
        <f aca="false">F485+F486</f>
        <v>-1256.096</v>
      </c>
      <c r="G487" s="36" t="n">
        <f aca="false">G485+G486</f>
        <v>-1241.5232</v>
      </c>
      <c r="H487" s="36" t="n">
        <f aca="false">H485+H486</f>
        <v>-1221.89744</v>
      </c>
      <c r="I487" s="36" t="n">
        <f aca="false">I485+I486</f>
        <v>-1211.176928</v>
      </c>
      <c r="J487" s="36" t="n">
        <f aca="false">J485+J486</f>
        <v>-1198.3123136</v>
      </c>
      <c r="K487" s="36" t="n">
        <f aca="false">K485+K486</f>
        <v>-1182.87477632</v>
      </c>
      <c r="L487" s="36" t="n">
        <f aca="false">L485+L486</f>
        <v>-1164.349731584</v>
      </c>
      <c r="M487" s="36" t="n">
        <f aca="false">M485+M486</f>
        <v>-1142.1196779008</v>
      </c>
    </row>
    <row r="488" customFormat="false" ht="15" hidden="false" customHeight="false" outlineLevel="0" collapsed="false">
      <c r="A488" s="9" t="s">
        <v>509</v>
      </c>
      <c r="D488" s="36" t="n">
        <f aca="false">IF(lv_mdr_in_deal=1,D487,D485)</f>
        <v>-1545.475</v>
      </c>
      <c r="E488" s="36" t="n">
        <f aca="false">IF(lv_mdr_in_deal=1,E487,E485)</f>
        <v>-1335.755</v>
      </c>
      <c r="F488" s="36" t="n">
        <f aca="false">IF(lv_mdr_in_deal=1,F487,F485)</f>
        <v>-1325.096</v>
      </c>
      <c r="G488" s="36" t="n">
        <f aca="false">IF(lv_mdr_in_deal=1,G487,G485)</f>
        <v>-1310.5232</v>
      </c>
      <c r="H488" s="36" t="n">
        <f aca="false">IF(lv_mdr_in_deal=1,H487,H485)</f>
        <v>-1290.89744</v>
      </c>
      <c r="I488" s="36" t="n">
        <f aca="false">IF(lv_mdr_in_deal=1,I487,I485)</f>
        <v>-1280.176928</v>
      </c>
      <c r="J488" s="36" t="n">
        <f aca="false">IF(lv_mdr_in_deal=1,J487,J485)</f>
        <v>-1267.3123136</v>
      </c>
      <c r="K488" s="36" t="n">
        <f aca="false">IF(lv_mdr_in_deal=1,K487,K485)</f>
        <v>-1251.87477632</v>
      </c>
      <c r="L488" s="36" t="n">
        <f aca="false">IF(lv_mdr_in_deal=1,L487,L485)</f>
        <v>-1233.349731584</v>
      </c>
      <c r="M488" s="36" t="n">
        <f aca="false">IF(lv_mdr_in_deal=1,M487,M485)</f>
        <v>-1211.1196779008</v>
      </c>
    </row>
    <row r="489" customFormat="false" ht="15" hidden="false" customHeight="false" outlineLevel="0" collapsed="false">
      <c r="A489" s="9" t="s">
        <v>510</v>
      </c>
      <c r="C489" s="36" t="n">
        <f aca="false">-lv_price</f>
        <v>-4000</v>
      </c>
      <c r="D489" s="36" t="n">
        <f aca="false">C489+D488</f>
        <v>-5545.475</v>
      </c>
      <c r="E489" s="36" t="n">
        <f aca="false">D489+E488</f>
        <v>-6881.23</v>
      </c>
      <c r="F489" s="36" t="n">
        <f aca="false">E489+F488</f>
        <v>-8206.326</v>
      </c>
      <c r="G489" s="36" t="n">
        <f aca="false">F489+G488</f>
        <v>-9516.8492</v>
      </c>
      <c r="H489" s="36" t="n">
        <f aca="false">G489+H488</f>
        <v>-10807.74664</v>
      </c>
      <c r="I489" s="36" t="n">
        <f aca="false">H489+I488</f>
        <v>-12087.923568</v>
      </c>
      <c r="J489" s="36" t="n">
        <f aca="false">I489+J488</f>
        <v>-13355.2358816</v>
      </c>
      <c r="K489" s="36" t="n">
        <f aca="false">J489+K488</f>
        <v>-14607.11065792</v>
      </c>
      <c r="L489" s="36" t="n">
        <f aca="false">K489+L488</f>
        <v>-15840.460389504</v>
      </c>
      <c r="M489" s="36" t="n">
        <f aca="false">L489+M488</f>
        <v>-17051.5800674048</v>
      </c>
    </row>
    <row r="490" customFormat="false" ht="15" hidden="false" customHeight="false" outlineLevel="0" collapsed="false">
      <c r="A490" s="9" t="s">
        <v>511</v>
      </c>
      <c r="C490" s="43" t="n">
        <f aca="false">1</f>
        <v>1</v>
      </c>
      <c r="D490" s="43" t="n">
        <f aca="false">1/(1+lv_wacc)^D444</f>
        <v>0.884955752212389</v>
      </c>
      <c r="E490" s="43" t="n">
        <f aca="false">1/(1+lv_wacc)^E444</f>
        <v>0.783146683373796</v>
      </c>
      <c r="F490" s="43" t="n">
        <f aca="false">1/(1+lv_wacc)^F444</f>
        <v>0.693050162277696</v>
      </c>
      <c r="G490" s="43" t="n">
        <f aca="false">1/(1+lv_wacc)^G444</f>
        <v>0.613318727679377</v>
      </c>
      <c r="H490" s="43" t="n">
        <f aca="false">1/(1+lv_wacc)^H444</f>
        <v>0.542759935999449</v>
      </c>
      <c r="I490" s="43" t="n">
        <f aca="false">1/(1+lv_wacc)^I444</f>
        <v>0.48031852743314</v>
      </c>
      <c r="J490" s="43" t="n">
        <f aca="false">1/(1+lv_wacc)^J444</f>
        <v>0.425060643746142</v>
      </c>
      <c r="K490" s="43" t="n">
        <f aca="false">1/(1+lv_wacc)^K444</f>
        <v>0.37615986172225</v>
      </c>
      <c r="L490" s="43" t="n">
        <f aca="false">1/(1+lv_wacc)^L444</f>
        <v>0.332884833382522</v>
      </c>
      <c r="M490" s="43" t="n">
        <f aca="false">1/(1+lv_wacc)^M444</f>
        <v>0.294588348126126</v>
      </c>
    </row>
    <row r="491" customFormat="false" ht="15" hidden="false" customHeight="false" outlineLevel="0" collapsed="false">
      <c r="A491" s="9" t="s">
        <v>512</v>
      </c>
      <c r="C491" s="46" t="n">
        <f aca="false">99</f>
        <v>99</v>
      </c>
      <c r="D491" s="46" t="n">
        <f aca="false">IF(D475&gt;=0,D444,99)</f>
        <v>99</v>
      </c>
      <c r="E491" s="46" t="n">
        <f aca="false">IF(E475&gt;=0,E444,99)</f>
        <v>99</v>
      </c>
      <c r="F491" s="46" t="n">
        <f aca="false">IF(F475&gt;=0,F444,99)</f>
        <v>99</v>
      </c>
      <c r="G491" s="46" t="n">
        <f aca="false">IF(G475&gt;=0,G444,99)</f>
        <v>99</v>
      </c>
      <c r="H491" s="46" t="n">
        <f aca="false">IF(H475&gt;=0,H444,99)</f>
        <v>99</v>
      </c>
      <c r="I491" s="46" t="n">
        <f aca="false">IF(I475&gt;=0,I444,99)</f>
        <v>99</v>
      </c>
      <c r="J491" s="46" t="n">
        <f aca="false">IF(J475&gt;=0,J444,99)</f>
        <v>99</v>
      </c>
      <c r="K491" s="46" t="n">
        <f aca="false">IF(K475&gt;=0,K444,99)</f>
        <v>99</v>
      </c>
      <c r="L491" s="46" t="n">
        <f aca="false">IF(L475&gt;=0,L444,99)</f>
        <v>99</v>
      </c>
      <c r="M491" s="46" t="n">
        <f aca="false">IF(M475&gt;=0,M444,99)</f>
        <v>99</v>
      </c>
    </row>
    <row r="492" customFormat="false" ht="15" hidden="false" customHeight="false" outlineLevel="0" collapsed="false">
      <c r="A492" s="9" t="s">
        <v>513</v>
      </c>
      <c r="C492" s="46" t="n">
        <f aca="false">99</f>
        <v>99</v>
      </c>
      <c r="D492" s="46" t="n">
        <f aca="false">IF(D475+D472&gt;=0,D444,99)</f>
        <v>99</v>
      </c>
      <c r="E492" s="46" t="n">
        <f aca="false">IF(E475+E472&gt;=0,E444,99)</f>
        <v>99</v>
      </c>
      <c r="F492" s="46" t="n">
        <f aca="false">IF(F475+F472&gt;=0,F444,99)</f>
        <v>99</v>
      </c>
      <c r="G492" s="46" t="n">
        <f aca="false">IF(G475+G472&gt;=0,G444,99)</f>
        <v>99</v>
      </c>
      <c r="H492" s="46" t="n">
        <f aca="false">IF(H475+H472&gt;=0,H444,99)</f>
        <v>99</v>
      </c>
      <c r="I492" s="46" t="n">
        <f aca="false">IF(I475+I472&gt;=0,I444,99)</f>
        <v>99</v>
      </c>
      <c r="J492" s="46" t="n">
        <f aca="false">IF(J475+J472&gt;=0,J444,99)</f>
        <v>99</v>
      </c>
      <c r="K492" s="46" t="n">
        <f aca="false">IF(K475+K472&gt;=0,K444,99)</f>
        <v>99</v>
      </c>
      <c r="L492" s="46" t="n">
        <f aca="false">IF(L475+L472&gt;=0,L444,99)</f>
        <v>99</v>
      </c>
      <c r="M492" s="46" t="n">
        <f aca="false">IF(M475+M472&gt;=0,M444,99)</f>
        <v>99</v>
      </c>
    </row>
    <row r="493" customFormat="false" ht="15" hidden="false" customHeight="false" outlineLevel="0" collapsed="false">
      <c r="A493" s="9" t="s">
        <v>514</v>
      </c>
      <c r="C493" s="46" t="n">
        <f aca="false">99</f>
        <v>99</v>
      </c>
      <c r="D493" s="46" t="n">
        <f aca="false">IF(D485&gt;=0,D444,99)</f>
        <v>99</v>
      </c>
      <c r="E493" s="46" t="n">
        <f aca="false">IF(E485&gt;=0,E444,99)</f>
        <v>99</v>
      </c>
      <c r="F493" s="46" t="n">
        <f aca="false">IF(F485&gt;=0,F444,99)</f>
        <v>99</v>
      </c>
      <c r="G493" s="46" t="n">
        <f aca="false">IF(G485&gt;=0,G444,99)</f>
        <v>99</v>
      </c>
      <c r="H493" s="46" t="n">
        <f aca="false">IF(H485&gt;=0,H444,99)</f>
        <v>99</v>
      </c>
      <c r="I493" s="46" t="n">
        <f aca="false">IF(I485&gt;=0,I444,99)</f>
        <v>99</v>
      </c>
      <c r="J493" s="46" t="n">
        <f aca="false">IF(J485&gt;=0,J444,99)</f>
        <v>99</v>
      </c>
      <c r="K493" s="46" t="n">
        <f aca="false">IF(K485&gt;=0,K444,99)</f>
        <v>99</v>
      </c>
      <c r="L493" s="46" t="n">
        <f aca="false">IF(L485&gt;=0,L444,99)</f>
        <v>99</v>
      </c>
      <c r="M493" s="46" t="n">
        <f aca="false">IF(M485&gt;=0,M444,99)</f>
        <v>99</v>
      </c>
    </row>
    <row r="494" customFormat="false" ht="15" hidden="false" customHeight="false" outlineLevel="0" collapsed="false">
      <c r="A494" s="9" t="s">
        <v>515</v>
      </c>
      <c r="C494" s="46" t="n">
        <f aca="false">99</f>
        <v>99</v>
      </c>
      <c r="D494" s="46" t="n">
        <f aca="false">IF(D487&gt;=0,D444,99)</f>
        <v>99</v>
      </c>
      <c r="E494" s="46" t="n">
        <f aca="false">IF(E487&gt;=0,E444,99)</f>
        <v>99</v>
      </c>
      <c r="F494" s="46" t="n">
        <f aca="false">IF(F487&gt;=0,F444,99)</f>
        <v>99</v>
      </c>
      <c r="G494" s="46" t="n">
        <f aca="false">IF(G487&gt;=0,G444,99)</f>
        <v>99</v>
      </c>
      <c r="H494" s="46" t="n">
        <f aca="false">IF(H487&gt;=0,H444,99)</f>
        <v>99</v>
      </c>
      <c r="I494" s="46" t="n">
        <f aca="false">IF(I487&gt;=0,I444,99)</f>
        <v>99</v>
      </c>
      <c r="J494" s="46" t="n">
        <f aca="false">IF(J487&gt;=0,J444,99)</f>
        <v>99</v>
      </c>
      <c r="K494" s="46" t="n">
        <f aca="false">IF(K487&gt;=0,K444,99)</f>
        <v>99</v>
      </c>
      <c r="L494" s="46" t="n">
        <f aca="false">IF(L487&gt;=0,L444,99)</f>
        <v>99</v>
      </c>
      <c r="M494" s="46" t="n">
        <f aca="false">IF(M487&gt;=0,M444,99)</f>
        <v>99</v>
      </c>
    </row>
    <row r="495" customFormat="false" ht="15" hidden="false" customHeight="false" outlineLevel="0" collapsed="false">
      <c r="A495" s="9" t="s">
        <v>516</v>
      </c>
      <c r="C495" s="46" t="n">
        <f aca="false">99</f>
        <v>99</v>
      </c>
      <c r="D495" s="46" t="n">
        <f aca="false">IF(D489&gt;=0,D444,99)</f>
        <v>99</v>
      </c>
      <c r="E495" s="46" t="n">
        <f aca="false">IF(E489&gt;=0,E444,99)</f>
        <v>99</v>
      </c>
      <c r="F495" s="46" t="n">
        <f aca="false">IF(F489&gt;=0,F444,99)</f>
        <v>99</v>
      </c>
      <c r="G495" s="46" t="n">
        <f aca="false">IF(G489&gt;=0,G444,99)</f>
        <v>99</v>
      </c>
      <c r="H495" s="46" t="n">
        <f aca="false">IF(H489&gt;=0,H444,99)</f>
        <v>99</v>
      </c>
      <c r="I495" s="46" t="n">
        <f aca="false">IF(I489&gt;=0,I444,99)</f>
        <v>99</v>
      </c>
      <c r="J495" s="46" t="n">
        <f aca="false">IF(J489&gt;=0,J444,99)</f>
        <v>99</v>
      </c>
      <c r="K495" s="46" t="n">
        <f aca="false">IF(K489&gt;=0,K444,99)</f>
        <v>99</v>
      </c>
      <c r="L495" s="46" t="n">
        <f aca="false">IF(L489&gt;=0,L444,99)</f>
        <v>99</v>
      </c>
      <c r="M495" s="46" t="n">
        <f aca="false">IF(M489&gt;=0,M444,99)</f>
        <v>99</v>
      </c>
    </row>
    <row r="496" customFormat="false" ht="15" hidden="false" customHeight="false" outlineLevel="0" collapsed="false">
      <c r="A496" s="4" t="s">
        <v>517</v>
      </c>
      <c r="C496" s="23" t="n">
        <f aca="false">MIN(D491:M491)</f>
        <v>99</v>
      </c>
    </row>
    <row r="497" customFormat="false" ht="15" hidden="false" customHeight="false" outlineLevel="0" collapsed="false">
      <c r="A497" s="9" t="s">
        <v>518</v>
      </c>
      <c r="C497" s="46" t="n">
        <f aca="false">MIN(D492:M492)</f>
        <v>99</v>
      </c>
    </row>
    <row r="498" customFormat="false" ht="15" hidden="false" customHeight="false" outlineLevel="0" collapsed="false">
      <c r="A498" s="4" t="s">
        <v>519</v>
      </c>
      <c r="C498" s="23" t="n">
        <f aca="false">MIN(D493:M493)</f>
        <v>99</v>
      </c>
    </row>
    <row r="499" customFormat="false" ht="15" hidden="false" customHeight="false" outlineLevel="0" collapsed="false">
      <c r="A499" s="9" t="s">
        <v>520</v>
      </c>
      <c r="C499" s="46" t="n">
        <f aca="false">MIN(D494:M494)</f>
        <v>99</v>
      </c>
    </row>
    <row r="500" customFormat="false" ht="15" hidden="false" customHeight="false" outlineLevel="0" collapsed="false">
      <c r="A500" s="9" t="s">
        <v>521</v>
      </c>
      <c r="C500" s="46" t="n">
        <f aca="false">MIN(D495:M495)</f>
        <v>99</v>
      </c>
    </row>
    <row r="501" customFormat="false" ht="15" hidden="false" customHeight="false" outlineLevel="0" collapsed="false">
      <c r="A501" s="4" t="s">
        <v>522</v>
      </c>
      <c r="C501" s="15" t="n">
        <f aca="false">M489</f>
        <v>-17051.5800674048</v>
      </c>
    </row>
    <row r="502" customFormat="false" ht="15" hidden="false" customHeight="false" outlineLevel="0" collapsed="false">
      <c r="A502" s="9" t="s">
        <v>523</v>
      </c>
      <c r="C502" s="36" t="n">
        <f aca="false">SUMPRODUCT(D457:M457,D490:M490)</f>
        <v>208.806860496414</v>
      </c>
    </row>
    <row r="503" customFormat="false" ht="15" hidden="false" customHeight="false" outlineLevel="0" collapsed="false">
      <c r="A503" s="9" t="s">
        <v>524</v>
      </c>
      <c r="C503" s="36" t="n">
        <f aca="false">M457*(1+a_tg)/(lv_wacc-a_tg)</f>
        <v>1750.616727552</v>
      </c>
    </row>
    <row r="504" customFormat="false" ht="15" hidden="false" customHeight="false" outlineLevel="0" collapsed="false">
      <c r="A504" s="9" t="s">
        <v>314</v>
      </c>
      <c r="C504" s="36" t="n">
        <f aca="false">C503*M490</f>
        <v>515.711289971507</v>
      </c>
    </row>
    <row r="505" customFormat="false" ht="15" hidden="false" customHeight="false" outlineLevel="0" collapsed="false">
      <c r="A505" s="4" t="s">
        <v>525</v>
      </c>
      <c r="C505" s="15" t="n">
        <f aca="false">C502+C504</f>
        <v>724.518150467921</v>
      </c>
    </row>
    <row r="506" customFormat="false" ht="15" hidden="false" customHeight="false" outlineLevel="0" collapsed="false">
      <c r="A506" s="9" t="s">
        <v>526</v>
      </c>
      <c r="C506" s="32" t="n">
        <f aca="false">SUMPRODUCT(D467:M467,D490:M490)-a_recovery*M469*M490</f>
        <v>6782.80434494111</v>
      </c>
    </row>
    <row r="507" customFormat="false" ht="15" hidden="false" customHeight="false" outlineLevel="0" collapsed="false">
      <c r="A507" s="9" t="s">
        <v>527</v>
      </c>
      <c r="C507" s="36" t="n">
        <f aca="false">SUMPRODUCT(D466:M466,D490:M490)*(1-a_tax)</f>
        <v>0</v>
      </c>
    </row>
    <row r="508" customFormat="false" ht="15" hidden="false" customHeight="false" outlineLevel="0" collapsed="false">
      <c r="A508" s="9" t="s">
        <v>528</v>
      </c>
      <c r="C508" s="36" t="n">
        <f aca="false">C465*D490</f>
        <v>141.592920353982</v>
      </c>
    </row>
    <row r="509" customFormat="false" ht="15" hidden="false" customHeight="false" outlineLevel="0" collapsed="false">
      <c r="A509" s="4" t="s">
        <v>529</v>
      </c>
      <c r="C509" s="20" t="n">
        <f aca="false">C505+C507-C506-C508-lv_price</f>
        <v>-10199.8791148272</v>
      </c>
    </row>
    <row r="510" customFormat="false" ht="15" hidden="false" customHeight="false" outlineLevel="0" collapsed="false">
      <c r="A510" s="9" t="s">
        <v>530</v>
      </c>
      <c r="C510" s="32" t="n">
        <f aca="false">C509+SUMPRODUCT(D486:M486,D490:M490)</f>
        <v>-9825.46831498642</v>
      </c>
    </row>
    <row r="511" customFormat="false" ht="15" hidden="false" customHeight="false" outlineLevel="0" collapsed="false">
      <c r="A511" s="4" t="s">
        <v>531</v>
      </c>
      <c r="C511" s="59" t="n">
        <f aca="false">lv_price/D447</f>
        <v>24.2424242424242</v>
      </c>
    </row>
    <row r="512" customFormat="false" ht="15" hidden="false" customHeight="false" outlineLevel="0" collapsed="false">
      <c r="A512" s="9" t="s">
        <v>532</v>
      </c>
      <c r="C512" s="17" t="n">
        <f aca="false">(lv_price+C506)/D447</f>
        <v>65.3503293632794</v>
      </c>
    </row>
    <row r="513" customFormat="false" ht="15" hidden="false" customHeight="false" outlineLevel="0" collapsed="false">
      <c r="A513" s="4" t="s">
        <v>533</v>
      </c>
      <c r="C513" s="15" t="n">
        <f aca="false">(C509+C506)/SUMPRODUCT(D490:M490)</f>
        <v>-629.731191574665</v>
      </c>
    </row>
    <row r="514" customFormat="false" ht="15" hidden="false" customHeight="false" outlineLevel="0" collapsed="false">
      <c r="A514" s="4" t="s">
        <v>534</v>
      </c>
      <c r="C514" s="25" t="n">
        <f aca="false">D477</f>
        <v>5.25613619586614</v>
      </c>
    </row>
    <row r="515" customFormat="false" ht="15" hidden="false" customHeight="false" outlineLevel="0" collapsed="false">
      <c r="A515" s="9" t="s">
        <v>535</v>
      </c>
      <c r="C515" s="50" t="n">
        <f aca="false">F477</f>
        <v>4.52731299212598</v>
      </c>
    </row>
    <row r="516" customFormat="false" ht="15" hidden="false" customHeight="false" outlineLevel="0" collapsed="false">
      <c r="A516" s="4" t="s">
        <v>536</v>
      </c>
      <c r="C516" s="20" t="n">
        <f aca="false">D485</f>
        <v>-1545.475</v>
      </c>
    </row>
    <row r="517" customFormat="false" ht="15" hidden="false" customHeight="false" outlineLevel="0" collapsed="false">
      <c r="A517" s="9" t="s">
        <v>537</v>
      </c>
      <c r="C517" s="32" t="n">
        <f aca="false">cf_cash-lv_mix_cash-C465</f>
        <v>6640</v>
      </c>
    </row>
    <row r="518" customFormat="false" ht="15" hidden="false" customHeight="false" outlineLevel="0" collapsed="false">
      <c r="A518" s="9" t="s">
        <v>538</v>
      </c>
      <c r="C518" s="32" t="n">
        <f aca="false">cf_debt+lv_mix_debt</f>
        <v>350</v>
      </c>
    </row>
    <row r="519" customFormat="false" ht="15" hidden="false" customHeight="false" outlineLevel="0" collapsed="false">
      <c r="A519" s="9" t="s">
        <v>539</v>
      </c>
      <c r="C519" s="34" t="n">
        <f aca="false">C518/cf_ebitda</f>
        <v>0.546875</v>
      </c>
    </row>
    <row r="520" customFormat="false" ht="15" hidden="false" customHeight="false" outlineLevel="0" collapsed="false">
      <c r="A520" s="9" t="s">
        <v>540</v>
      </c>
      <c r="C520" s="32" t="n">
        <f aca="false">C517+SUM(D488:F488)+3*cf_pat</f>
        <v>3873.674</v>
      </c>
    </row>
  </sheetData>
  <mergeCells count="3">
    <mergeCell ref="A6:N6"/>
    <mergeCell ref="A8:N8"/>
    <mergeCell ref="A10:N1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30A0"/>
    <pageSetUpPr fitToPage="false"/>
  </sheetPr>
  <dimension ref="A1:P147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8.5390625" defaultRowHeight="15" zeroHeight="false" outlineLevelRow="0" outlineLevelCol="0"/>
  <cols>
    <col collapsed="false" customWidth="true" hidden="false" outlineLevel="0" max="1" min="1" style="0" width="62"/>
    <col collapsed="false" customWidth="true" hidden="false" outlineLevel="0" max="2" min="2" style="0" width="12"/>
    <col collapsed="false" customWidth="true" hidden="false" outlineLevel="0" max="13" min="3" style="0" width="11"/>
    <col collapsed="false" customWidth="true" hidden="false" outlineLevel="0" max="16" min="15" style="0" width="12"/>
  </cols>
  <sheetData>
    <row r="1" customFormat="false" ht="18" hidden="false" customHeight="true" outlineLevel="0" collapsed="false">
      <c r="A1" s="6" t="s">
        <v>604</v>
      </c>
      <c r="B1" s="2"/>
      <c r="C1" s="2"/>
      <c r="D1" s="2"/>
      <c r="E1" s="2"/>
      <c r="F1" s="2"/>
      <c r="G1" s="2"/>
      <c r="H1" s="2"/>
      <c r="I1" s="2"/>
      <c r="J1" s="2"/>
      <c r="K1" s="2"/>
      <c r="L1" s="2"/>
      <c r="M1" s="2"/>
      <c r="N1" s="2"/>
    </row>
    <row r="2" customFormat="false" ht="15" hidden="false" customHeight="false" outlineLevel="0" collapsed="false">
      <c r="A2" s="3" t="s">
        <v>605</v>
      </c>
    </row>
    <row r="4" customFormat="false" ht="15" hidden="false" customHeight="false" outlineLevel="0" collapsed="false">
      <c r="A4" s="7" t="s">
        <v>606</v>
      </c>
      <c r="B4" s="8"/>
      <c r="C4" s="8"/>
      <c r="D4" s="8"/>
      <c r="E4" s="8"/>
      <c r="F4" s="8"/>
      <c r="G4" s="8"/>
      <c r="H4" s="8"/>
      <c r="I4" s="8"/>
      <c r="J4" s="8"/>
      <c r="K4" s="8"/>
      <c r="L4" s="8"/>
      <c r="M4" s="8"/>
      <c r="N4" s="8"/>
    </row>
    <row r="5" customFormat="false" ht="15" hidden="false" customHeight="false" outlineLevel="0" collapsed="false">
      <c r="A5" s="9" t="s">
        <v>607</v>
      </c>
      <c r="B5" s="32" t="n">
        <f aca="false">c_top4_arr</f>
        <v>132</v>
      </c>
    </row>
    <row r="6" customFormat="false" ht="15" hidden="false" customHeight="false" outlineLevel="0" collapsed="false">
      <c r="A6" s="9" t="s">
        <v>608</v>
      </c>
      <c r="B6" s="36" t="n">
        <f aca="false">c_churn_lo_arr</f>
        <v>66</v>
      </c>
      <c r="C6" s="36" t="n">
        <f aca="false">c_churn_hi_arr</f>
        <v>99</v>
      </c>
    </row>
    <row r="7" customFormat="false" ht="15" hidden="false" customHeight="false" outlineLevel="0" collapsed="false">
      <c r="A7" s="9" t="s">
        <v>609</v>
      </c>
      <c r="B7" s="18" t="n">
        <f aca="false">c_churn_of_top4_lo</f>
        <v>0.5</v>
      </c>
      <c r="C7" s="18" t="n">
        <f aca="false">c_churn_of_top4_hi</f>
        <v>0.75</v>
      </c>
    </row>
    <row r="8" customFormat="false" ht="15" hidden="false" customHeight="false" outlineLevel="0" collapsed="false">
      <c r="A8" s="9" t="s">
        <v>610</v>
      </c>
      <c r="B8" s="32" t="n">
        <f aca="false">c_mult*cf_arr*0.1</f>
        <v>400</v>
      </c>
    </row>
    <row r="9" customFormat="false" ht="15" hidden="false" customHeight="false" outlineLevel="0" collapsed="false">
      <c r="A9" s="3" t="s">
        <v>611</v>
      </c>
    </row>
    <row r="11" customFormat="false" ht="15" hidden="false" customHeight="false" outlineLevel="0" collapsed="false">
      <c r="A11" s="7" t="s">
        <v>612</v>
      </c>
      <c r="B11" s="8"/>
      <c r="C11" s="8"/>
      <c r="D11" s="8"/>
      <c r="E11" s="8"/>
      <c r="F11" s="8"/>
      <c r="G11" s="8"/>
      <c r="H11" s="8"/>
      <c r="I11" s="8"/>
      <c r="J11" s="8"/>
      <c r="K11" s="8"/>
      <c r="L11" s="8"/>
      <c r="M11" s="8"/>
      <c r="N11" s="8"/>
    </row>
    <row r="12" customFormat="false" ht="54" hidden="false" customHeight="true" outlineLevel="0" collapsed="false">
      <c r="A12" s="19" t="s">
        <v>613</v>
      </c>
      <c r="B12" s="19" t="s">
        <v>614</v>
      </c>
      <c r="C12" s="19" t="s">
        <v>615</v>
      </c>
      <c r="D12" s="19" t="s">
        <v>616</v>
      </c>
      <c r="E12" s="19" t="s">
        <v>617</v>
      </c>
      <c r="F12" s="19" t="s">
        <v>618</v>
      </c>
      <c r="G12" s="19" t="s">
        <v>619</v>
      </c>
      <c r="H12" s="19" t="s">
        <v>390</v>
      </c>
      <c r="I12" s="19" t="s">
        <v>620</v>
      </c>
      <c r="J12" s="19" t="s">
        <v>573</v>
      </c>
      <c r="K12" s="19" t="s">
        <v>576</v>
      </c>
      <c r="L12" s="19" t="s">
        <v>621</v>
      </c>
      <c r="M12" s="19" t="s">
        <v>622</v>
      </c>
      <c r="N12" s="19" t="s">
        <v>623</v>
      </c>
      <c r="O12" s="19" t="s">
        <v>624</v>
      </c>
      <c r="P12" s="19" t="s">
        <v>625</v>
      </c>
    </row>
    <row r="13" customFormat="false" ht="15" hidden="false" customHeight="false" outlineLevel="0" collapsed="false">
      <c r="A13" s="12" t="n">
        <v>0</v>
      </c>
      <c r="B13" s="36" t="n">
        <f aca="false">cf_arr*(1-A13)</f>
        <v>220</v>
      </c>
      <c r="C13" s="36" t="n">
        <f aca="false">cf_arr*A13</f>
        <v>0</v>
      </c>
      <c r="D13" s="59" t="n">
        <f aca="false">lv_price/(cf_arr*(1-A13))</f>
        <v>18.1818181818182</v>
      </c>
      <c r="E13" s="32" t="n">
        <f aca="false">c_mult*cf_arr*(1-A13)</f>
        <v>4000</v>
      </c>
      <c r="F13" s="32" t="n">
        <f aca="false">lv_price-c_mult*cf_arr*(1-A13)</f>
        <v>0</v>
      </c>
      <c r="G13" s="36" t="n">
        <f aca="false">D67</f>
        <v>3.96</v>
      </c>
      <c r="H13" s="50" t="n">
        <f aca="false">C127</f>
        <v>5.98948080708662</v>
      </c>
      <c r="I13" s="18" t="n">
        <f aca="false">C127/cf_eps-1</f>
        <v>-0.201402559055118</v>
      </c>
      <c r="J13" s="32" t="n">
        <f aca="false">C129</f>
        <v>-1002.74</v>
      </c>
      <c r="K13" s="61" t="n">
        <f aca="false">C122</f>
        <v>-6992.47126533103</v>
      </c>
      <c r="L13" s="46" t="n">
        <f aca="false">C109</f>
        <v>99</v>
      </c>
      <c r="M13" s="46" t="n">
        <f aca="false">C111</f>
        <v>99</v>
      </c>
      <c r="N13" s="46" t="n">
        <f aca="false">C113</f>
        <v>99</v>
      </c>
      <c r="O13" s="32" t="n">
        <f aca="false">C201</f>
        <v>-2922.78865836637</v>
      </c>
      <c r="P13" s="32" t="n">
        <f aca="false">lv_price+C122</f>
        <v>-2992.47126533103</v>
      </c>
    </row>
    <row r="14" customFormat="false" ht="15" hidden="false" customHeight="false" outlineLevel="0" collapsed="false">
      <c r="A14" s="12" t="n">
        <v>0.1</v>
      </c>
      <c r="B14" s="36" t="n">
        <f aca="false">cf_arr*(1-A14)</f>
        <v>198</v>
      </c>
      <c r="C14" s="36" t="n">
        <f aca="false">cf_arr*A14</f>
        <v>22</v>
      </c>
      <c r="D14" s="59" t="n">
        <f aca="false">lv_price/(cf_arr*(1-A14))</f>
        <v>20.2020202020202</v>
      </c>
      <c r="E14" s="32" t="n">
        <f aca="false">c_mult*cf_arr*(1-A14)</f>
        <v>3600</v>
      </c>
      <c r="F14" s="32" t="n">
        <f aca="false">lv_price-c_mult*cf_arr*(1-A14)</f>
        <v>400</v>
      </c>
      <c r="G14" s="36" t="n">
        <f aca="false">D225</f>
        <v>-7.788</v>
      </c>
      <c r="H14" s="50" t="n">
        <f aca="false">C285</f>
        <v>5.80880905511811</v>
      </c>
      <c r="I14" s="18" t="n">
        <f aca="false">C285/cf_eps-1</f>
        <v>-0.225492125984252</v>
      </c>
      <c r="J14" s="32" t="n">
        <f aca="false">C287</f>
        <v>-1013.168</v>
      </c>
      <c r="K14" s="61" t="n">
        <f aca="false">C280</f>
        <v>-7123.42425790148</v>
      </c>
      <c r="L14" s="46" t="n">
        <f aca="false">C267</f>
        <v>99</v>
      </c>
      <c r="M14" s="46" t="n">
        <f aca="false">C269</f>
        <v>99</v>
      </c>
      <c r="N14" s="46" t="n">
        <f aca="false">C271</f>
        <v>99</v>
      </c>
      <c r="O14" s="32" t="n">
        <f aca="false">C359</f>
        <v>-3053.74165093681</v>
      </c>
      <c r="P14" s="32" t="n">
        <f aca="false">lv_price+C280</f>
        <v>-3123.42425790148</v>
      </c>
    </row>
    <row r="15" customFormat="false" ht="15" hidden="false" customHeight="false" outlineLevel="0" collapsed="false">
      <c r="A15" s="12" t="n">
        <v>0.2</v>
      </c>
      <c r="B15" s="36" t="n">
        <f aca="false">cf_arr*(1-A15)</f>
        <v>176</v>
      </c>
      <c r="C15" s="36" t="n">
        <f aca="false">cf_arr*A15</f>
        <v>44</v>
      </c>
      <c r="D15" s="59" t="n">
        <f aca="false">lv_price/(cf_arr*(1-A15))</f>
        <v>22.7272727272727</v>
      </c>
      <c r="E15" s="32" t="n">
        <f aca="false">c_mult*cf_arr*(1-A15)</f>
        <v>3200</v>
      </c>
      <c r="F15" s="32" t="n">
        <f aca="false">lv_price-c_mult*cf_arr*(1-A15)</f>
        <v>800</v>
      </c>
      <c r="G15" s="36" t="n">
        <f aca="false">D383</f>
        <v>-20.856</v>
      </c>
      <c r="H15" s="50" t="n">
        <f aca="false">C443</f>
        <v>5.60783710629921</v>
      </c>
      <c r="I15" s="18" t="n">
        <f aca="false">C443/cf_eps-1</f>
        <v>-0.252288385826772</v>
      </c>
      <c r="J15" s="32" t="n">
        <f aca="false">C445</f>
        <v>-1024.916</v>
      </c>
      <c r="K15" s="61" t="n">
        <f aca="false">C438</f>
        <v>-7255.54539206484</v>
      </c>
      <c r="L15" s="46" t="n">
        <f aca="false">C425</f>
        <v>99</v>
      </c>
      <c r="M15" s="46" t="n">
        <f aca="false">C427</f>
        <v>99</v>
      </c>
      <c r="N15" s="46" t="n">
        <f aca="false">C429</f>
        <v>99</v>
      </c>
      <c r="O15" s="32" t="n">
        <f aca="false">C517</f>
        <v>-3185.86278510018</v>
      </c>
      <c r="P15" s="32" t="n">
        <f aca="false">lv_price+C438</f>
        <v>-3255.54539206484</v>
      </c>
    </row>
    <row r="16" customFormat="false" ht="15" hidden="false" customHeight="false" outlineLevel="0" collapsed="false">
      <c r="A16" s="12" t="n">
        <v>0.3</v>
      </c>
      <c r="B16" s="36" t="n">
        <f aca="false">cf_arr*(1-A16)</f>
        <v>154</v>
      </c>
      <c r="C16" s="36" t="n">
        <f aca="false">cf_arr*A16</f>
        <v>66</v>
      </c>
      <c r="D16" s="59" t="n">
        <f aca="false">lv_price/(cf_arr*(1-A16))</f>
        <v>25.974025974026</v>
      </c>
      <c r="E16" s="32" t="n">
        <f aca="false">c_mult*cf_arr*(1-A16)</f>
        <v>2800</v>
      </c>
      <c r="F16" s="32" t="n">
        <f aca="false">lv_price-c_mult*cf_arr*(1-A16)</f>
        <v>1200</v>
      </c>
      <c r="G16" s="36" t="n">
        <f aca="false">D541</f>
        <v>-33.924</v>
      </c>
      <c r="H16" s="50" t="n">
        <f aca="false">C601</f>
        <v>5.40686515748032</v>
      </c>
      <c r="I16" s="18" t="n">
        <f aca="false">C601/cf_eps-1</f>
        <v>-0.279084645669291</v>
      </c>
      <c r="J16" s="32" t="n">
        <f aca="false">C603</f>
        <v>-1036.664</v>
      </c>
      <c r="K16" s="61" t="n">
        <f aca="false">C596</f>
        <v>-7387.6665262282</v>
      </c>
      <c r="L16" s="46" t="n">
        <f aca="false">C583</f>
        <v>99</v>
      </c>
      <c r="M16" s="46" t="n">
        <f aca="false">C585</f>
        <v>99</v>
      </c>
      <c r="N16" s="46" t="n">
        <f aca="false">C587</f>
        <v>99</v>
      </c>
      <c r="O16" s="32" t="n">
        <f aca="false">C675</f>
        <v>-3317.98391926354</v>
      </c>
      <c r="P16" s="32" t="n">
        <f aca="false">lv_price+C596</f>
        <v>-3387.6665262282</v>
      </c>
    </row>
    <row r="17" customFormat="false" ht="15" hidden="false" customHeight="false" outlineLevel="0" collapsed="false">
      <c r="A17" s="12" t="n">
        <v>0.35</v>
      </c>
      <c r="B17" s="36" t="n">
        <f aca="false">cf_arr*(1-A17)</f>
        <v>143</v>
      </c>
      <c r="C17" s="36" t="n">
        <f aca="false">cf_arr*A17</f>
        <v>77</v>
      </c>
      <c r="D17" s="59" t="n">
        <f aca="false">lv_price/(cf_arr*(1-A17))</f>
        <v>27.972027972028</v>
      </c>
      <c r="E17" s="32" t="n">
        <f aca="false">c_mult*cf_arr*(1-A17)</f>
        <v>2600</v>
      </c>
      <c r="F17" s="32" t="n">
        <f aca="false">lv_price-c_mult*cf_arr*(1-A17)</f>
        <v>1400</v>
      </c>
      <c r="G17" s="36" t="n">
        <f aca="false">D699</f>
        <v>-40.458</v>
      </c>
      <c r="H17" s="50" t="n">
        <f aca="false">C759</f>
        <v>5.30637918307087</v>
      </c>
      <c r="I17" s="18" t="n">
        <f aca="false">C759/cf_eps-1</f>
        <v>-0.292482775590551</v>
      </c>
      <c r="J17" s="32" t="n">
        <f aca="false">C761</f>
        <v>-1042.538</v>
      </c>
      <c r="K17" s="61" t="n">
        <f aca="false">C754</f>
        <v>-7453.72709330988</v>
      </c>
      <c r="L17" s="46" t="n">
        <f aca="false">C741</f>
        <v>99</v>
      </c>
      <c r="M17" s="46" t="n">
        <f aca="false">C743</f>
        <v>99</v>
      </c>
      <c r="N17" s="46" t="n">
        <f aca="false">C745</f>
        <v>99</v>
      </c>
      <c r="O17" s="32" t="n">
        <f aca="false">C833</f>
        <v>-3384.04448634522</v>
      </c>
      <c r="P17" s="32" t="n">
        <f aca="false">lv_price+C754</f>
        <v>-3453.72709330988</v>
      </c>
    </row>
    <row r="18" customFormat="false" ht="15" hidden="false" customHeight="false" outlineLevel="0" collapsed="false">
      <c r="A18" s="12" t="n">
        <v>0.4</v>
      </c>
      <c r="B18" s="36" t="n">
        <f aca="false">cf_arr*(1-A18)</f>
        <v>132</v>
      </c>
      <c r="C18" s="36" t="n">
        <f aca="false">cf_arr*A18</f>
        <v>88</v>
      </c>
      <c r="D18" s="59" t="n">
        <f aca="false">lv_price/(cf_arr*(1-A18))</f>
        <v>30.3030303030303</v>
      </c>
      <c r="E18" s="32" t="n">
        <f aca="false">c_mult*cf_arr*(1-A18)</f>
        <v>2400</v>
      </c>
      <c r="F18" s="32" t="n">
        <f aca="false">lv_price-c_mult*cf_arr*(1-A18)</f>
        <v>1600</v>
      </c>
      <c r="G18" s="36" t="n">
        <f aca="false">D857</f>
        <v>-46.992</v>
      </c>
      <c r="H18" s="50" t="n">
        <f aca="false">C917</f>
        <v>5.20589320866142</v>
      </c>
      <c r="I18" s="18" t="n">
        <f aca="false">C917/cf_eps-1</f>
        <v>-0.305880905511811</v>
      </c>
      <c r="J18" s="32" t="n">
        <f aca="false">C919</f>
        <v>-1048.412</v>
      </c>
      <c r="K18" s="61" t="n">
        <f aca="false">C912</f>
        <v>-7519.78766039157</v>
      </c>
      <c r="L18" s="46" t="n">
        <f aca="false">C899</f>
        <v>99</v>
      </c>
      <c r="M18" s="46" t="n">
        <f aca="false">C901</f>
        <v>99</v>
      </c>
      <c r="N18" s="46" t="n">
        <f aca="false">C903</f>
        <v>99</v>
      </c>
      <c r="O18" s="32" t="n">
        <f aca="false">C991</f>
        <v>-3450.1050534269</v>
      </c>
      <c r="P18" s="32" t="n">
        <f aca="false">lv_price+C912</f>
        <v>-3519.78766039157</v>
      </c>
    </row>
    <row r="19" customFormat="false" ht="15" hidden="false" customHeight="false" outlineLevel="0" collapsed="false">
      <c r="A19" s="12" t="n">
        <v>0.45</v>
      </c>
      <c r="B19" s="36" t="n">
        <f aca="false">cf_arr*(1-A19)</f>
        <v>121</v>
      </c>
      <c r="C19" s="36" t="n">
        <f aca="false">cf_arr*A19</f>
        <v>99</v>
      </c>
      <c r="D19" s="59" t="n">
        <f aca="false">lv_price/(cf_arr*(1-A19))</f>
        <v>33.0578512396694</v>
      </c>
      <c r="E19" s="32" t="n">
        <f aca="false">c_mult*cf_arr*(1-A19)</f>
        <v>2200</v>
      </c>
      <c r="F19" s="32" t="n">
        <f aca="false">lv_price-c_mult*cf_arr*(1-A19)</f>
        <v>1800</v>
      </c>
      <c r="G19" s="36" t="n">
        <f aca="false">D1015</f>
        <v>-53.526</v>
      </c>
      <c r="H19" s="50" t="n">
        <f aca="false">C1075</f>
        <v>5.10540723425197</v>
      </c>
      <c r="I19" s="18" t="n">
        <f aca="false">C1075/cf_eps-1</f>
        <v>-0.319279035433071</v>
      </c>
      <c r="J19" s="32" t="n">
        <f aca="false">C1077</f>
        <v>-1054.286</v>
      </c>
      <c r="K19" s="61" t="n">
        <f aca="false">C1070</f>
        <v>-7585.84822747325</v>
      </c>
      <c r="L19" s="46" t="n">
        <f aca="false">C1057</f>
        <v>99</v>
      </c>
      <c r="M19" s="46" t="n">
        <f aca="false">C1059</f>
        <v>99</v>
      </c>
      <c r="N19" s="46" t="n">
        <f aca="false">C1061</f>
        <v>99</v>
      </c>
      <c r="O19" s="32" t="n">
        <f aca="false">C1149</f>
        <v>-3516.16562050858</v>
      </c>
      <c r="P19" s="32" t="n">
        <f aca="false">lv_price+C1070</f>
        <v>-3585.84822747325</v>
      </c>
    </row>
    <row r="20" customFormat="false" ht="15" hidden="false" customHeight="false" outlineLevel="0" collapsed="false">
      <c r="A20" s="12" t="n">
        <v>0.5</v>
      </c>
      <c r="B20" s="36" t="n">
        <f aca="false">cf_arr*(1-A20)</f>
        <v>110</v>
      </c>
      <c r="C20" s="36" t="n">
        <f aca="false">cf_arr*A20</f>
        <v>110</v>
      </c>
      <c r="D20" s="59" t="n">
        <f aca="false">lv_price/(cf_arr*(1-A20))</f>
        <v>36.3636363636364</v>
      </c>
      <c r="E20" s="32" t="n">
        <f aca="false">c_mult*cf_arr*(1-A20)</f>
        <v>2000</v>
      </c>
      <c r="F20" s="32" t="n">
        <f aca="false">lv_price-c_mult*cf_arr*(1-A20)</f>
        <v>2000</v>
      </c>
      <c r="G20" s="36" t="n">
        <f aca="false">D1173</f>
        <v>-60.06</v>
      </c>
      <c r="H20" s="50" t="n">
        <f aca="false">C1233</f>
        <v>5.00492125984252</v>
      </c>
      <c r="I20" s="18" t="n">
        <f aca="false">C1233/cf_eps-1</f>
        <v>-0.332677165354331</v>
      </c>
      <c r="J20" s="32" t="n">
        <f aca="false">C1235</f>
        <v>-1060.16</v>
      </c>
      <c r="K20" s="61" t="n">
        <f aca="false">C1228</f>
        <v>-7651.90879455493</v>
      </c>
      <c r="L20" s="46" t="n">
        <f aca="false">C1215</f>
        <v>99</v>
      </c>
      <c r="M20" s="46" t="n">
        <f aca="false">C1217</f>
        <v>99</v>
      </c>
      <c r="N20" s="46" t="n">
        <f aca="false">C1219</f>
        <v>99</v>
      </c>
      <c r="O20" s="32" t="n">
        <f aca="false">C1307</f>
        <v>-3582.22618759027</v>
      </c>
      <c r="P20" s="32" t="n">
        <f aca="false">lv_price+C1228</f>
        <v>-3651.90879455493</v>
      </c>
    </row>
    <row r="21" customFormat="false" ht="15" hidden="false" customHeight="false" outlineLevel="0" collapsed="false">
      <c r="A21" s="12" t="n">
        <v>0.6</v>
      </c>
      <c r="B21" s="36" t="n">
        <f aca="false">cf_arr*(1-A21)</f>
        <v>88</v>
      </c>
      <c r="C21" s="36" t="n">
        <f aca="false">cf_arr*A21</f>
        <v>132</v>
      </c>
      <c r="D21" s="59" t="n">
        <f aca="false">lv_price/(cf_arr*(1-A21))</f>
        <v>45.4545454545455</v>
      </c>
      <c r="E21" s="32" t="n">
        <f aca="false">c_mult*cf_arr*(1-A21)</f>
        <v>1600</v>
      </c>
      <c r="F21" s="32" t="n">
        <f aca="false">lv_price-c_mult*cf_arr*(1-A21)</f>
        <v>2400</v>
      </c>
      <c r="G21" s="36" t="n">
        <f aca="false">D1331</f>
        <v>-73.128</v>
      </c>
      <c r="H21" s="50" t="n">
        <f aca="false">C1391</f>
        <v>4.80394931102362</v>
      </c>
      <c r="I21" s="18" t="n">
        <f aca="false">C1391/cf_eps-1</f>
        <v>-0.35947342519685</v>
      </c>
      <c r="J21" s="32" t="n">
        <f aca="false">C1393</f>
        <v>-1071.908</v>
      </c>
      <c r="K21" s="61" t="n">
        <f aca="false">C1386</f>
        <v>-7784.02992871829</v>
      </c>
      <c r="L21" s="46" t="n">
        <f aca="false">C1373</f>
        <v>99</v>
      </c>
      <c r="M21" s="46" t="n">
        <f aca="false">C1375</f>
        <v>99</v>
      </c>
      <c r="N21" s="46" t="n">
        <f aca="false">C1377</f>
        <v>99</v>
      </c>
      <c r="O21" s="32" t="n">
        <f aca="false">C1465</f>
        <v>-3714.34732175363</v>
      </c>
      <c r="P21" s="32" t="n">
        <f aca="false">lv_price+C1386</f>
        <v>-3784.02992871829</v>
      </c>
    </row>
    <row r="23" customFormat="false" ht="15" hidden="false" customHeight="false" outlineLevel="0" collapsed="false">
      <c r="A23" s="7" t="s">
        <v>626</v>
      </c>
      <c r="B23" s="8"/>
      <c r="C23" s="8"/>
      <c r="D23" s="8"/>
      <c r="E23" s="8"/>
      <c r="F23" s="8"/>
      <c r="G23" s="8"/>
      <c r="H23" s="8"/>
      <c r="I23" s="8"/>
      <c r="J23" s="8"/>
      <c r="K23" s="8"/>
      <c r="L23" s="8"/>
      <c r="M23" s="8"/>
      <c r="N23" s="8"/>
    </row>
    <row r="24" customFormat="false" ht="15" hidden="false" customHeight="false" outlineLevel="0" collapsed="false">
      <c r="A24" s="4" t="s">
        <v>627</v>
      </c>
      <c r="B24" s="22" t="str">
        <f aca="false">IF(COUNTIF(K13:K21,"&gt;=0")=0,"none: NPV&lt;0 even at 0% churn",IF(COUNTIF(K13:K21,"&gt;=0")=9,"all grid points positive",INDEX(A13:A21,COUNTIF(K13:K21,"&gt;=0"))+(INDEX(A13:A21,COUNTIF(K13:K21,"&gt;=0")+1)-INDEX(A13:A21,COUNTIF(K13:K21,"&gt;=0")))*INDEX(K13:K21,COUNTIF(K13:K21,"&gt;=0"))/(INDEX(K13:K21,COUNTIF(K13:K21,"&gt;=0"))-INDEX(K13:K21,COUNTIF(K13:K21,"&gt;=0")+1))))</f>
        <v>none: NPV&lt;0 even at 0% churn</v>
      </c>
    </row>
    <row r="25" customFormat="false" ht="15" hidden="false" customHeight="false" outlineLevel="0" collapsed="false">
      <c r="A25" s="4" t="s">
        <v>628</v>
      </c>
      <c r="B25" s="22" t="str">
        <f aca="false">IF(COUNTIF(O13:O21,"&gt;=0")=0,"none: NPV&lt;0 even at 0% churn",IF(COUNTIF(O13:O21,"&gt;=0")=9,"all grid points positive",INDEX(A13:A21,COUNTIF(O13:O21,"&gt;=0"))+(INDEX(A13:A21,COUNTIF(O13:O21,"&gt;=0")+1)-INDEX(A13:A21,COUNTIF(O13:O21,"&gt;=0")))*INDEX(O13:O21,COUNTIF(O13:O21,"&gt;=0"))/(INDEX(O13:O21,COUNTIF(O13:O21,"&gt;=0"))-INDEX(O13:O21,COUNTIF(O13:O21,"&gt;=0")+1))))</f>
        <v>none: NPV&lt;0 even at 0% churn</v>
      </c>
    </row>
    <row r="26" customFormat="false" ht="15" hidden="false" customHeight="false" outlineLevel="0" collapsed="false">
      <c r="A26" s="9" t="s">
        <v>629</v>
      </c>
      <c r="B26" s="14" t="n">
        <f aca="false">IF(COUNTIF(I13:I21,"&gt;=-0.3")=0,"exceeds 30% at all churn levels",IF(COUNTIF(I13:I21,"&gt;=-0.3")=9,"never exceeds 30%",INDEX(A13:A21,COUNTIF(I13:I21,"&gt;=-0.3"))+(INDEX(A13:A21,COUNTIF(I13:I21,"&gt;=-0.3")+1)-INDEX(A13:A21,COUNTIF(I13:I21,"&gt;=-0.3")))*(INDEX(I13:I21,COUNTIF(I13:I21,"&gt;=-0.3"))+0.3)/(INDEX(I13:I21,COUNTIF(I13:I21,"&gt;=-0.3"))-INDEX(I13:I21,COUNTIF(I13:I21,"&gt;=-0.3")+1))))</f>
        <v>0.378053259871442</v>
      </c>
    </row>
    <row r="27" customFormat="false" ht="15" hidden="false" customHeight="false" outlineLevel="0" collapsed="false">
      <c r="A27" s="9" t="s">
        <v>630</v>
      </c>
    </row>
    <row r="28" customFormat="false" ht="15" hidden="false" customHeight="false" outlineLevel="0" collapsed="false">
      <c r="A28" s="3" t="s">
        <v>631</v>
      </c>
    </row>
    <row r="30" customFormat="false" ht="15" hidden="false" customHeight="false" outlineLevel="0" collapsed="false">
      <c r="A30" s="7" t="s">
        <v>632</v>
      </c>
      <c r="B30" s="8"/>
      <c r="C30" s="8"/>
      <c r="D30" s="8"/>
      <c r="E30" s="8"/>
      <c r="F30" s="8"/>
      <c r="G30" s="8"/>
      <c r="H30" s="8"/>
      <c r="I30" s="8"/>
      <c r="J30" s="8"/>
      <c r="K30" s="8"/>
      <c r="L30" s="8"/>
      <c r="M30" s="8"/>
      <c r="N30" s="8"/>
    </row>
    <row r="31" customFormat="false" ht="15" hidden="false" customHeight="false" outlineLevel="0" collapsed="false">
      <c r="A31" s="3" t="s">
        <v>633</v>
      </c>
    </row>
    <row r="32" customFormat="false" ht="15" hidden="false" customHeight="false" outlineLevel="0" collapsed="false">
      <c r="A32" s="4" t="s">
        <v>634</v>
      </c>
      <c r="B32" s="13" t="n">
        <v>1000</v>
      </c>
      <c r="C32" s="13" t="n">
        <v>1500</v>
      </c>
      <c r="D32" s="13" t="n">
        <v>2000</v>
      </c>
      <c r="E32" s="13" t="n">
        <v>2500</v>
      </c>
      <c r="F32" s="13" t="n">
        <v>3000</v>
      </c>
      <c r="G32" s="13" t="n">
        <v>4000</v>
      </c>
    </row>
    <row r="33" customFormat="false" ht="15" hidden="false" customHeight="false" outlineLevel="0" collapsed="false">
      <c r="A33" s="18" t="n">
        <f aca="false">A13</f>
        <v>0</v>
      </c>
      <c r="B33" s="32" t="n">
        <f aca="false">O13+(lv_price-B$32)*(1+a_fees_pct/(1+lv_wacc))</f>
        <v>117.034350483186</v>
      </c>
      <c r="C33" s="32" t="n">
        <f aca="false">O13+(lv_price-C$32)*(1+a_fees_pct/(1+lv_wacc))</f>
        <v>-389.602817658406</v>
      </c>
      <c r="D33" s="32" t="n">
        <f aca="false">O13+(lv_price-D$32)*(1+a_fees_pct/(1+lv_wacc))</f>
        <v>-896.239985799999</v>
      </c>
      <c r="E33" s="32" t="n">
        <f aca="false">O13+(lv_price-E$32)*(1+a_fees_pct/(1+lv_wacc))</f>
        <v>-1402.87715394159</v>
      </c>
      <c r="F33" s="32" t="n">
        <f aca="false">O13+(lv_price-F$32)*(1+a_fees_pct/(1+lv_wacc))</f>
        <v>-1909.51432208319</v>
      </c>
      <c r="G33" s="32" t="n">
        <f aca="false">O13+(lv_price-G$32)*(1+a_fees_pct/(1+lv_wacc))</f>
        <v>-2922.78865836637</v>
      </c>
    </row>
    <row r="34" customFormat="false" ht="15" hidden="false" customHeight="false" outlineLevel="0" collapsed="false">
      <c r="A34" s="18" t="n">
        <f aca="false">A14</f>
        <v>0.1</v>
      </c>
      <c r="B34" s="32" t="n">
        <f aca="false">O14+(lv_price-B$32)*(1+a_fees_pct/(1+lv_wacc))</f>
        <v>-13.9186420872561</v>
      </c>
      <c r="C34" s="32" t="n">
        <f aca="false">O14+(lv_price-C$32)*(1+a_fees_pct/(1+lv_wacc))</f>
        <v>-520.555810228849</v>
      </c>
      <c r="D34" s="32" t="n">
        <f aca="false">O14+(lv_price-D$32)*(1+a_fees_pct/(1+lv_wacc))</f>
        <v>-1027.19297837044</v>
      </c>
      <c r="E34" s="32" t="n">
        <f aca="false">O14+(lv_price-E$32)*(1+a_fees_pct/(1+lv_wacc))</f>
        <v>-1533.83014651203</v>
      </c>
      <c r="F34" s="32" t="n">
        <f aca="false">O14+(lv_price-F$32)*(1+a_fees_pct/(1+lv_wacc))</f>
        <v>-2040.46731465363</v>
      </c>
      <c r="G34" s="32" t="n">
        <f aca="false">O14+(lv_price-G$32)*(1+a_fees_pct/(1+lv_wacc))</f>
        <v>-3053.74165093681</v>
      </c>
    </row>
    <row r="35" customFormat="false" ht="15" hidden="false" customHeight="false" outlineLevel="0" collapsed="false">
      <c r="A35" s="18" t="n">
        <f aca="false">A15</f>
        <v>0.2</v>
      </c>
      <c r="B35" s="32" t="n">
        <f aca="false">O15+(lv_price-B$32)*(1+a_fees_pct/(1+lv_wacc))</f>
        <v>-146.039776250619</v>
      </c>
      <c r="C35" s="32" t="n">
        <f aca="false">O15+(lv_price-C$32)*(1+a_fees_pct/(1+lv_wacc))</f>
        <v>-652.676944392212</v>
      </c>
      <c r="D35" s="32" t="n">
        <f aca="false">O15+(lv_price-D$32)*(1+a_fees_pct/(1+lv_wacc))</f>
        <v>-1159.3141125338</v>
      </c>
      <c r="E35" s="32" t="n">
        <f aca="false">O15+(lv_price-E$32)*(1+a_fees_pct/(1+lv_wacc))</f>
        <v>-1665.9512806754</v>
      </c>
      <c r="F35" s="32" t="n">
        <f aca="false">O15+(lv_price-F$32)*(1+a_fees_pct/(1+lv_wacc))</f>
        <v>-2172.58844881699</v>
      </c>
      <c r="G35" s="32" t="n">
        <f aca="false">O15+(lv_price-G$32)*(1+a_fees_pct/(1+lv_wacc))</f>
        <v>-3185.86278510018</v>
      </c>
    </row>
    <row r="36" customFormat="false" ht="15" hidden="false" customHeight="false" outlineLevel="0" collapsed="false">
      <c r="A36" s="18" t="n">
        <f aca="false">A16</f>
        <v>0.3</v>
      </c>
      <c r="B36" s="32" t="n">
        <f aca="false">O16+(lv_price-B$32)*(1+a_fees_pct/(1+lv_wacc))</f>
        <v>-278.160910413982</v>
      </c>
      <c r="C36" s="32" t="n">
        <f aca="false">O16+(lv_price-C$32)*(1+a_fees_pct/(1+lv_wacc))</f>
        <v>-784.798078555575</v>
      </c>
      <c r="D36" s="32" t="n">
        <f aca="false">O16+(lv_price-D$32)*(1+a_fees_pct/(1+lv_wacc))</f>
        <v>-1291.43524669717</v>
      </c>
      <c r="E36" s="32" t="n">
        <f aca="false">O16+(lv_price-E$32)*(1+a_fees_pct/(1+lv_wacc))</f>
        <v>-1798.07241483876</v>
      </c>
      <c r="F36" s="32" t="n">
        <f aca="false">O16+(lv_price-F$32)*(1+a_fees_pct/(1+lv_wacc))</f>
        <v>-2304.70958298035</v>
      </c>
      <c r="G36" s="32" t="n">
        <f aca="false">O16+(lv_price-G$32)*(1+a_fees_pct/(1+lv_wacc))</f>
        <v>-3317.98391926354</v>
      </c>
    </row>
    <row r="37" customFormat="false" ht="15" hidden="false" customHeight="false" outlineLevel="0" collapsed="false">
      <c r="A37" s="18" t="n">
        <f aca="false">A17</f>
        <v>0.35</v>
      </c>
      <c r="B37" s="32" t="n">
        <f aca="false">O17+(lv_price-B$32)*(1+a_fees_pct/(1+lv_wacc))</f>
        <v>-344.221477495664</v>
      </c>
      <c r="C37" s="32" t="n">
        <f aca="false">O17+(lv_price-C$32)*(1+a_fees_pct/(1+lv_wacc))</f>
        <v>-850.858645637256</v>
      </c>
      <c r="D37" s="32" t="n">
        <f aca="false">O17+(lv_price-D$32)*(1+a_fees_pct/(1+lv_wacc))</f>
        <v>-1357.49581377885</v>
      </c>
      <c r="E37" s="32" t="n">
        <f aca="false">O17+(lv_price-E$32)*(1+a_fees_pct/(1+lv_wacc))</f>
        <v>-1864.13298192044</v>
      </c>
      <c r="F37" s="32" t="n">
        <f aca="false">O17+(lv_price-F$32)*(1+a_fees_pct/(1+lv_wacc))</f>
        <v>-2370.77015006204</v>
      </c>
      <c r="G37" s="32" t="n">
        <f aca="false">O17+(lv_price-G$32)*(1+a_fees_pct/(1+lv_wacc))</f>
        <v>-3384.04448634522</v>
      </c>
    </row>
    <row r="38" customFormat="false" ht="15" hidden="false" customHeight="false" outlineLevel="0" collapsed="false">
      <c r="A38" s="18" t="n">
        <f aca="false">A18</f>
        <v>0.4</v>
      </c>
      <c r="B38" s="32" t="n">
        <f aca="false">O18+(lv_price-B$32)*(1+a_fees_pct/(1+lv_wacc))</f>
        <v>-410.282044577345</v>
      </c>
      <c r="C38" s="32" t="n">
        <f aca="false">O18+(lv_price-C$32)*(1+a_fees_pct/(1+lv_wacc))</f>
        <v>-916.919212718938</v>
      </c>
      <c r="D38" s="32" t="n">
        <f aca="false">O18+(lv_price-D$32)*(1+a_fees_pct/(1+lv_wacc))</f>
        <v>-1423.55638086053</v>
      </c>
      <c r="E38" s="32" t="n">
        <f aca="false">O18+(lv_price-E$32)*(1+a_fees_pct/(1+lv_wacc))</f>
        <v>-1930.19354900212</v>
      </c>
      <c r="F38" s="32" t="n">
        <f aca="false">O18+(lv_price-F$32)*(1+a_fees_pct/(1+lv_wacc))</f>
        <v>-2436.83071714372</v>
      </c>
      <c r="G38" s="32" t="n">
        <f aca="false">O18+(lv_price-G$32)*(1+a_fees_pct/(1+lv_wacc))</f>
        <v>-3450.1050534269</v>
      </c>
    </row>
    <row r="39" customFormat="false" ht="15" hidden="false" customHeight="false" outlineLevel="0" collapsed="false">
      <c r="A39" s="18" t="n">
        <f aca="false">A19</f>
        <v>0.45</v>
      </c>
      <c r="B39" s="32" t="n">
        <f aca="false">O19+(lv_price-B$32)*(1+a_fees_pct/(1+lv_wacc))</f>
        <v>-476.342611659026</v>
      </c>
      <c r="C39" s="32" t="n">
        <f aca="false">O19+(lv_price-C$32)*(1+a_fees_pct/(1+lv_wacc))</f>
        <v>-982.979779800619</v>
      </c>
      <c r="D39" s="32" t="n">
        <f aca="false">O19+(lv_price-D$32)*(1+a_fees_pct/(1+lv_wacc))</f>
        <v>-1489.61694794221</v>
      </c>
      <c r="E39" s="32" t="n">
        <f aca="false">O19+(lv_price-E$32)*(1+a_fees_pct/(1+lv_wacc))</f>
        <v>-1996.2541160838</v>
      </c>
      <c r="F39" s="32" t="n">
        <f aca="false">O19+(lv_price-F$32)*(1+a_fees_pct/(1+lv_wacc))</f>
        <v>-2502.8912842254</v>
      </c>
      <c r="G39" s="32" t="n">
        <f aca="false">O19+(lv_price-G$32)*(1+a_fees_pct/(1+lv_wacc))</f>
        <v>-3516.16562050858</v>
      </c>
    </row>
    <row r="40" customFormat="false" ht="15" hidden="false" customHeight="false" outlineLevel="0" collapsed="false">
      <c r="A40" s="18" t="n">
        <f aca="false">A20</f>
        <v>0.5</v>
      </c>
      <c r="B40" s="32" t="n">
        <f aca="false">O20+(lv_price-B$32)*(1+a_fees_pct/(1+lv_wacc))</f>
        <v>-542.403178740708</v>
      </c>
      <c r="C40" s="32" t="n">
        <f aca="false">O20+(lv_price-C$32)*(1+a_fees_pct/(1+lv_wacc))</f>
        <v>-1049.0403468823</v>
      </c>
      <c r="D40" s="32" t="n">
        <f aca="false">O20+(lv_price-D$32)*(1+a_fees_pct/(1+lv_wacc))</f>
        <v>-1555.67751502389</v>
      </c>
      <c r="E40" s="32" t="n">
        <f aca="false">O20+(lv_price-E$32)*(1+a_fees_pct/(1+lv_wacc))</f>
        <v>-2062.31468316549</v>
      </c>
      <c r="F40" s="32" t="n">
        <f aca="false">O20+(lv_price-F$32)*(1+a_fees_pct/(1+lv_wacc))</f>
        <v>-2568.95185130708</v>
      </c>
      <c r="G40" s="32" t="n">
        <f aca="false">O20+(lv_price-G$32)*(1+a_fees_pct/(1+lv_wacc))</f>
        <v>-3582.22618759027</v>
      </c>
    </row>
    <row r="41" customFormat="false" ht="15" hidden="false" customHeight="false" outlineLevel="0" collapsed="false">
      <c r="A41" s="18" t="n">
        <f aca="false">A21</f>
        <v>0.6</v>
      </c>
      <c r="B41" s="32" t="n">
        <f aca="false">O21+(lv_price-B$32)*(1+a_fees_pct/(1+lv_wacc))</f>
        <v>-674.524312904071</v>
      </c>
      <c r="C41" s="32" t="n">
        <f aca="false">O21+(lv_price-C$32)*(1+a_fees_pct/(1+lv_wacc))</f>
        <v>-1181.16148104566</v>
      </c>
      <c r="D41" s="32" t="n">
        <f aca="false">O21+(lv_price-D$32)*(1+a_fees_pct/(1+lv_wacc))</f>
        <v>-1687.79864918726</v>
      </c>
      <c r="E41" s="32" t="n">
        <f aca="false">O21+(lv_price-E$32)*(1+a_fees_pct/(1+lv_wacc))</f>
        <v>-2194.43581732885</v>
      </c>
      <c r="F41" s="32" t="n">
        <f aca="false">O21+(lv_price-F$32)*(1+a_fees_pct/(1+lv_wacc))</f>
        <v>-2701.07298547044</v>
      </c>
      <c r="G41" s="32" t="n">
        <f aca="false">O21+(lv_price-G$32)*(1+a_fees_pct/(1+lv_wacc))</f>
        <v>-3714.34732175363</v>
      </c>
    </row>
    <row r="43" customFormat="false" ht="15" hidden="false" customHeight="false" outlineLevel="0" collapsed="false">
      <c r="A43" s="7" t="s">
        <v>635</v>
      </c>
      <c r="B43" s="8"/>
      <c r="C43" s="8"/>
      <c r="D43" s="8"/>
      <c r="E43" s="8"/>
      <c r="F43" s="8"/>
      <c r="G43" s="8"/>
      <c r="H43" s="8"/>
      <c r="I43" s="8"/>
      <c r="J43" s="8"/>
      <c r="K43" s="8"/>
      <c r="L43" s="8"/>
      <c r="M43" s="8"/>
      <c r="N43" s="8"/>
    </row>
    <row r="44" customFormat="false" ht="15" hidden="false" customHeight="false" outlineLevel="0" collapsed="false">
      <c r="A44" s="4" t="s">
        <v>634</v>
      </c>
      <c r="B44" s="13" t="n">
        <v>1000</v>
      </c>
      <c r="C44" s="13" t="n">
        <v>1500</v>
      </c>
      <c r="D44" s="13" t="n">
        <v>2000</v>
      </c>
      <c r="E44" s="13" t="n">
        <v>2500</v>
      </c>
      <c r="F44" s="13" t="n">
        <v>3000</v>
      </c>
      <c r="G44" s="13" t="n">
        <v>4000</v>
      </c>
    </row>
    <row r="45" customFormat="false" ht="15" hidden="false" customHeight="false" outlineLevel="0" collapsed="false">
      <c r="A45" s="18" t="n">
        <f aca="false">A13</f>
        <v>0</v>
      </c>
      <c r="B45" s="32" t="n">
        <f aca="false">K13+(lv_price-B$44)*(1+a_fees_pct/(1+lv_wacc))</f>
        <v>-3952.64825648148</v>
      </c>
      <c r="C45" s="32" t="n">
        <f aca="false">K13+(lv_price-C$44)*(1+a_fees_pct/(1+lv_wacc))</f>
        <v>-4459.28542462307</v>
      </c>
      <c r="D45" s="32" t="n">
        <f aca="false">K13+(lv_price-D$44)*(1+a_fees_pct/(1+lv_wacc))</f>
        <v>-4965.92259276466</v>
      </c>
      <c r="E45" s="32" t="n">
        <f aca="false">K13+(lv_price-E$44)*(1+a_fees_pct/(1+lv_wacc))</f>
        <v>-5472.55976090626</v>
      </c>
      <c r="F45" s="32" t="n">
        <f aca="false">K13+(lv_price-F$44)*(1+a_fees_pct/(1+lv_wacc))</f>
        <v>-5979.19692904785</v>
      </c>
      <c r="G45" s="32" t="n">
        <f aca="false">K13+(lv_price-G$44)*(1+a_fees_pct/(1+lv_wacc))</f>
        <v>-6992.47126533103</v>
      </c>
    </row>
    <row r="46" customFormat="false" ht="15" hidden="false" customHeight="false" outlineLevel="0" collapsed="false">
      <c r="A46" s="18" t="n">
        <f aca="false">A14</f>
        <v>0.1</v>
      </c>
      <c r="B46" s="32" t="n">
        <f aca="false">K14+(lv_price-B$44)*(1+a_fees_pct/(1+lv_wacc))</f>
        <v>-4083.60124905192</v>
      </c>
      <c r="C46" s="32" t="n">
        <f aca="false">K14+(lv_price-C$44)*(1+a_fees_pct/(1+lv_wacc))</f>
        <v>-4590.23841719351</v>
      </c>
      <c r="D46" s="32" t="n">
        <f aca="false">K14+(lv_price-D$44)*(1+a_fees_pct/(1+lv_wacc))</f>
        <v>-5096.87558533511</v>
      </c>
      <c r="E46" s="32" t="n">
        <f aca="false">K14+(lv_price-E$44)*(1+a_fees_pct/(1+lv_wacc))</f>
        <v>-5603.5127534767</v>
      </c>
      <c r="F46" s="32" t="n">
        <f aca="false">K14+(lv_price-F$44)*(1+a_fees_pct/(1+lv_wacc))</f>
        <v>-6110.14992161829</v>
      </c>
      <c r="G46" s="32" t="n">
        <f aca="false">K14+(lv_price-G$44)*(1+a_fees_pct/(1+lv_wacc))</f>
        <v>-7123.42425790148</v>
      </c>
    </row>
    <row r="47" customFormat="false" ht="15" hidden="false" customHeight="false" outlineLevel="0" collapsed="false">
      <c r="A47" s="18" t="n">
        <f aca="false">A15</f>
        <v>0.2</v>
      </c>
      <c r="B47" s="32" t="n">
        <f aca="false">K15+(lv_price-B$44)*(1+a_fees_pct/(1+lv_wacc))</f>
        <v>-4215.72238321528</v>
      </c>
      <c r="C47" s="32" t="n">
        <f aca="false">K15+(lv_price-C$44)*(1+a_fees_pct/(1+lv_wacc))</f>
        <v>-4722.35955135688</v>
      </c>
      <c r="D47" s="32" t="n">
        <f aca="false">K15+(lv_price-D$44)*(1+a_fees_pct/(1+lv_wacc))</f>
        <v>-5228.99671949847</v>
      </c>
      <c r="E47" s="32" t="n">
        <f aca="false">K15+(lv_price-E$44)*(1+a_fees_pct/(1+lv_wacc))</f>
        <v>-5735.63388764006</v>
      </c>
      <c r="F47" s="32" t="n">
        <f aca="false">K15+(lv_price-F$44)*(1+a_fees_pct/(1+lv_wacc))</f>
        <v>-6242.27105578165</v>
      </c>
      <c r="G47" s="32" t="n">
        <f aca="false">K15+(lv_price-G$44)*(1+a_fees_pct/(1+lv_wacc))</f>
        <v>-7255.54539206484</v>
      </c>
    </row>
    <row r="48" customFormat="false" ht="15" hidden="false" customHeight="false" outlineLevel="0" collapsed="false">
      <c r="A48" s="18" t="n">
        <f aca="false">A16</f>
        <v>0.3</v>
      </c>
      <c r="B48" s="32" t="n">
        <f aca="false">K16+(lv_price-B$44)*(1+a_fees_pct/(1+lv_wacc))</f>
        <v>-4347.84351737865</v>
      </c>
      <c r="C48" s="32" t="n">
        <f aca="false">K16+(lv_price-C$44)*(1+a_fees_pct/(1+lv_wacc))</f>
        <v>-4854.48068552024</v>
      </c>
      <c r="D48" s="32" t="n">
        <f aca="false">K16+(lv_price-D$44)*(1+a_fees_pct/(1+lv_wacc))</f>
        <v>-5361.11785366183</v>
      </c>
      <c r="E48" s="32" t="n">
        <f aca="false">K16+(lv_price-E$44)*(1+a_fees_pct/(1+lv_wacc))</f>
        <v>-5867.75502180343</v>
      </c>
      <c r="F48" s="32" t="n">
        <f aca="false">K16+(lv_price-F$44)*(1+a_fees_pct/(1+lv_wacc))</f>
        <v>-6374.39218994502</v>
      </c>
      <c r="G48" s="32" t="n">
        <f aca="false">K16+(lv_price-G$44)*(1+a_fees_pct/(1+lv_wacc))</f>
        <v>-7387.6665262282</v>
      </c>
    </row>
    <row r="49" customFormat="false" ht="15" hidden="false" customHeight="false" outlineLevel="0" collapsed="false">
      <c r="A49" s="18" t="n">
        <f aca="false">A17</f>
        <v>0.35</v>
      </c>
      <c r="B49" s="32" t="n">
        <f aca="false">K17+(lv_price-B$44)*(1+a_fees_pct/(1+lv_wacc))</f>
        <v>-4413.90408446033</v>
      </c>
      <c r="C49" s="32" t="n">
        <f aca="false">K17+(lv_price-C$44)*(1+a_fees_pct/(1+lv_wacc))</f>
        <v>-4920.54125260192</v>
      </c>
      <c r="D49" s="32" t="n">
        <f aca="false">K17+(lv_price-D$44)*(1+a_fees_pct/(1+lv_wacc))</f>
        <v>-5427.17842074351</v>
      </c>
      <c r="E49" s="32" t="n">
        <f aca="false">K17+(lv_price-E$44)*(1+a_fees_pct/(1+lv_wacc))</f>
        <v>-5933.81558888511</v>
      </c>
      <c r="F49" s="32" t="n">
        <f aca="false">K17+(lv_price-F$44)*(1+a_fees_pct/(1+lv_wacc))</f>
        <v>-6440.4527570267</v>
      </c>
      <c r="G49" s="32" t="n">
        <f aca="false">K17+(lv_price-G$44)*(1+a_fees_pct/(1+lv_wacc))</f>
        <v>-7453.72709330988</v>
      </c>
    </row>
    <row r="50" customFormat="false" ht="15" hidden="false" customHeight="false" outlineLevel="0" collapsed="false">
      <c r="A50" s="18" t="n">
        <f aca="false">A18</f>
        <v>0.4</v>
      </c>
      <c r="B50" s="32" t="n">
        <f aca="false">K18+(lv_price-B$44)*(1+a_fees_pct/(1+lv_wacc))</f>
        <v>-4479.96465154201</v>
      </c>
      <c r="C50" s="32" t="n">
        <f aca="false">K18+(lv_price-C$44)*(1+a_fees_pct/(1+lv_wacc))</f>
        <v>-4986.6018196836</v>
      </c>
      <c r="D50" s="32" t="n">
        <f aca="false">K18+(lv_price-D$44)*(1+a_fees_pct/(1+lv_wacc))</f>
        <v>-5493.2389878252</v>
      </c>
      <c r="E50" s="32" t="n">
        <f aca="false">K18+(lv_price-E$44)*(1+a_fees_pct/(1+lv_wacc))</f>
        <v>-5999.87615596679</v>
      </c>
      <c r="F50" s="32" t="n">
        <f aca="false">K18+(lv_price-F$44)*(1+a_fees_pct/(1+lv_wacc))</f>
        <v>-6506.51332410838</v>
      </c>
      <c r="G50" s="32" t="n">
        <f aca="false">K18+(lv_price-G$44)*(1+a_fees_pct/(1+lv_wacc))</f>
        <v>-7519.78766039157</v>
      </c>
    </row>
    <row r="51" customFormat="false" ht="15" hidden="false" customHeight="false" outlineLevel="0" collapsed="false">
      <c r="A51" s="18" t="n">
        <f aca="false">A19</f>
        <v>0.45</v>
      </c>
      <c r="B51" s="32" t="n">
        <f aca="false">K19+(lv_price-B$44)*(1+a_fees_pct/(1+lv_wacc))</f>
        <v>-4546.02521862369</v>
      </c>
      <c r="C51" s="32" t="n">
        <f aca="false">K19+(lv_price-C$44)*(1+a_fees_pct/(1+lv_wacc))</f>
        <v>-5052.66238676528</v>
      </c>
      <c r="D51" s="32" t="n">
        <f aca="false">K19+(lv_price-D$44)*(1+a_fees_pct/(1+lv_wacc))</f>
        <v>-5559.29955490688</v>
      </c>
      <c r="E51" s="32" t="n">
        <f aca="false">K19+(lv_price-E$44)*(1+a_fees_pct/(1+lv_wacc))</f>
        <v>-6065.93672304847</v>
      </c>
      <c r="F51" s="32" t="n">
        <f aca="false">K19+(lv_price-F$44)*(1+a_fees_pct/(1+lv_wacc))</f>
        <v>-6572.57389119006</v>
      </c>
      <c r="G51" s="32" t="n">
        <f aca="false">K19+(lv_price-G$44)*(1+a_fees_pct/(1+lv_wacc))</f>
        <v>-7585.84822747325</v>
      </c>
    </row>
    <row r="52" customFormat="false" ht="15" hidden="false" customHeight="false" outlineLevel="0" collapsed="false">
      <c r="A52" s="18" t="n">
        <f aca="false">A20</f>
        <v>0.5</v>
      </c>
      <c r="B52" s="32" t="n">
        <f aca="false">K20+(lv_price-B$44)*(1+a_fees_pct/(1+lv_wacc))</f>
        <v>-4612.08578570537</v>
      </c>
      <c r="C52" s="32" t="n">
        <f aca="false">K20+(lv_price-C$44)*(1+a_fees_pct/(1+lv_wacc))</f>
        <v>-5118.72295384697</v>
      </c>
      <c r="D52" s="32" t="n">
        <f aca="false">K20+(lv_price-D$44)*(1+a_fees_pct/(1+lv_wacc))</f>
        <v>-5625.36012198856</v>
      </c>
      <c r="E52" s="32" t="n">
        <f aca="false">K20+(lv_price-E$44)*(1+a_fees_pct/(1+lv_wacc))</f>
        <v>-6131.99729013015</v>
      </c>
      <c r="F52" s="32" t="n">
        <f aca="false">K20+(lv_price-F$44)*(1+a_fees_pct/(1+lv_wacc))</f>
        <v>-6638.63445827174</v>
      </c>
      <c r="G52" s="32" t="n">
        <f aca="false">K20+(lv_price-G$44)*(1+a_fees_pct/(1+lv_wacc))</f>
        <v>-7651.90879455493</v>
      </c>
    </row>
    <row r="53" customFormat="false" ht="15" hidden="false" customHeight="false" outlineLevel="0" collapsed="false">
      <c r="A53" s="18" t="n">
        <f aca="false">A21</f>
        <v>0.6</v>
      </c>
      <c r="B53" s="32" t="n">
        <f aca="false">K21+(lv_price-B$44)*(1+a_fees_pct/(1+lv_wacc))</f>
        <v>-4744.20691986874</v>
      </c>
      <c r="C53" s="32" t="n">
        <f aca="false">K21+(lv_price-C$44)*(1+a_fees_pct/(1+lv_wacc))</f>
        <v>-5250.84408801033</v>
      </c>
      <c r="D53" s="32" t="n">
        <f aca="false">K21+(lv_price-D$44)*(1+a_fees_pct/(1+lv_wacc))</f>
        <v>-5757.48125615192</v>
      </c>
      <c r="E53" s="32" t="n">
        <f aca="false">K21+(lv_price-E$44)*(1+a_fees_pct/(1+lv_wacc))</f>
        <v>-6264.11842429351</v>
      </c>
      <c r="F53" s="32" t="n">
        <f aca="false">K21+(lv_price-F$44)*(1+a_fees_pct/(1+lv_wacc))</f>
        <v>-6770.75559243511</v>
      </c>
      <c r="G53" s="32" t="n">
        <f aca="false">K21+(lv_price-G$44)*(1+a_fees_pct/(1+lv_wacc))</f>
        <v>-7784.02992871829</v>
      </c>
    </row>
    <row r="54" customFormat="false" ht="15" hidden="false" customHeight="false" outlineLevel="0" collapsed="false">
      <c r="A54" s="3" t="s">
        <v>636</v>
      </c>
    </row>
    <row r="56" customFormat="false" ht="15" hidden="false" customHeight="false" outlineLevel="0" collapsed="false">
      <c r="A56" s="7" t="s">
        <v>637</v>
      </c>
      <c r="B56" s="8"/>
      <c r="C56" s="8"/>
      <c r="D56" s="8"/>
      <c r="E56" s="8"/>
      <c r="F56" s="8"/>
      <c r="G56" s="8"/>
      <c r="H56" s="8"/>
      <c r="I56" s="8"/>
      <c r="J56" s="8"/>
      <c r="K56" s="8"/>
      <c r="L56" s="8"/>
      <c r="M56" s="8"/>
      <c r="N56" s="8"/>
    </row>
    <row r="57" customFormat="false" ht="15" hidden="false" customHeight="false" outlineLevel="0" collapsed="false">
      <c r="A57" s="4" t="s">
        <v>284</v>
      </c>
      <c r="C57" s="39" t="n">
        <v>0</v>
      </c>
      <c r="D57" s="39" t="n">
        <v>1</v>
      </c>
      <c r="E57" s="39" t="n">
        <v>2</v>
      </c>
      <c r="F57" s="39" t="n">
        <v>3</v>
      </c>
      <c r="G57" s="39" t="n">
        <v>4</v>
      </c>
      <c r="H57" s="39" t="n">
        <v>5</v>
      </c>
      <c r="I57" s="39" t="n">
        <v>6</v>
      </c>
      <c r="J57" s="39" t="n">
        <v>7</v>
      </c>
      <c r="K57" s="39" t="n">
        <v>8</v>
      </c>
      <c r="L57" s="39" t="n">
        <v>9</v>
      </c>
      <c r="M57" s="39" t="n">
        <v>10</v>
      </c>
    </row>
    <row r="58" customFormat="false" ht="15" hidden="false" customHeight="false" outlineLevel="0" collapsed="false">
      <c r="A58" s="9" t="s">
        <v>285</v>
      </c>
      <c r="C58" s="40" t="n">
        <f aca="false">cf_arr</f>
        <v>220</v>
      </c>
      <c r="D58" s="36" t="n">
        <f aca="false">C58*(1+lv_g)</f>
        <v>264</v>
      </c>
      <c r="E58" s="36" t="n">
        <f aca="false">D58*(1+lv_g)</f>
        <v>316.8</v>
      </c>
      <c r="F58" s="36" t="n">
        <f aca="false">E58*(1+lv_g)</f>
        <v>380.16</v>
      </c>
      <c r="G58" s="36" t="n">
        <f aca="false">F58*(1+lv_g)</f>
        <v>456.192</v>
      </c>
      <c r="H58" s="36" t="n">
        <f aca="false">G58*(1+lv_g)</f>
        <v>547.4304</v>
      </c>
      <c r="I58" s="36" t="n">
        <f aca="false">H58*(1+lv_g)</f>
        <v>656.91648</v>
      </c>
      <c r="J58" s="36" t="n">
        <f aca="false">I58*(1+lv_g)</f>
        <v>788.299776</v>
      </c>
      <c r="K58" s="36" t="n">
        <f aca="false">J58*(1+lv_g)</f>
        <v>945.9597312</v>
      </c>
      <c r="L58" s="36" t="n">
        <f aca="false">K58*(1+lv_g)</f>
        <v>1135.15167744</v>
      </c>
      <c r="M58" s="36" t="n">
        <f aca="false">L58*(1+lv_g)</f>
        <v>1362.182012928</v>
      </c>
    </row>
    <row r="59" customFormat="false" ht="15" hidden="false" customHeight="false" outlineLevel="0" collapsed="false">
      <c r="A59" s="9" t="s">
        <v>286</v>
      </c>
      <c r="C59" s="18" t="n">
        <f aca="false">1</f>
        <v>1</v>
      </c>
      <c r="D59" s="18" t="n">
        <f aca="false">IF(D57&gt;=a_churn_year,1-Churn!$A$13,1)</f>
        <v>1</v>
      </c>
      <c r="E59" s="18" t="n">
        <f aca="false">IF(E57&gt;=a_churn_year,1-Churn!$A$13,1)</f>
        <v>1</v>
      </c>
      <c r="F59" s="18" t="n">
        <f aca="false">IF(F57&gt;=a_churn_year,1-Churn!$A$13,1)</f>
        <v>1</v>
      </c>
      <c r="G59" s="18" t="n">
        <f aca="false">IF(G57&gt;=a_churn_year,1-Churn!$A$13,1)</f>
        <v>1</v>
      </c>
      <c r="H59" s="18" t="n">
        <f aca="false">IF(H57&gt;=a_churn_year,1-Churn!$A$13,1)</f>
        <v>1</v>
      </c>
      <c r="I59" s="18" t="n">
        <f aca="false">IF(I57&gt;=a_churn_year,1-Churn!$A$13,1)</f>
        <v>1</v>
      </c>
      <c r="J59" s="18" t="n">
        <f aca="false">IF(J57&gt;=a_churn_year,1-Churn!$A$13,1)</f>
        <v>1</v>
      </c>
      <c r="K59" s="18" t="n">
        <f aca="false">IF(K57&gt;=a_churn_year,1-Churn!$A$13,1)</f>
        <v>1</v>
      </c>
      <c r="L59" s="18" t="n">
        <f aca="false">IF(L57&gt;=a_churn_year,1-Churn!$A$13,1)</f>
        <v>1</v>
      </c>
      <c r="M59" s="18" t="n">
        <f aca="false">IF(M57&gt;=a_churn_year,1-Churn!$A$13,1)</f>
        <v>1</v>
      </c>
    </row>
    <row r="60" customFormat="false" ht="15" hidden="false" customHeight="false" outlineLevel="0" collapsed="false">
      <c r="A60" s="4" t="s">
        <v>287</v>
      </c>
      <c r="C60" s="41" t="n">
        <f aca="false">C58*C59</f>
        <v>220</v>
      </c>
      <c r="D60" s="41" t="n">
        <f aca="false">D58*D59</f>
        <v>264</v>
      </c>
      <c r="E60" s="41" t="n">
        <f aca="false">E58*E59</f>
        <v>316.8</v>
      </c>
      <c r="F60" s="41" t="n">
        <f aca="false">F58*F59</f>
        <v>380.16</v>
      </c>
      <c r="G60" s="41" t="n">
        <f aca="false">G58*G59</f>
        <v>456.192</v>
      </c>
      <c r="H60" s="41" t="n">
        <f aca="false">H58*H59</f>
        <v>547.4304</v>
      </c>
      <c r="I60" s="41" t="n">
        <f aca="false">I58*I59</f>
        <v>656.91648</v>
      </c>
      <c r="J60" s="41" t="n">
        <f aca="false">J58*J59</f>
        <v>788.299776</v>
      </c>
      <c r="K60" s="41" t="n">
        <f aca="false">K58*K59</f>
        <v>945.9597312</v>
      </c>
      <c r="L60" s="41" t="n">
        <f aca="false">L58*L59</f>
        <v>1135.15167744</v>
      </c>
      <c r="M60" s="41" t="n">
        <f aca="false">M58*M59</f>
        <v>1362.182012928</v>
      </c>
    </row>
    <row r="61" customFormat="false" ht="15" hidden="false" customHeight="false" outlineLevel="0" collapsed="false">
      <c r="A61" s="9" t="s">
        <v>288</v>
      </c>
      <c r="C61" s="18" t="n">
        <f aca="false">MIN(a_m0+a_mstep*C57,a_mcap)</f>
        <v>0</v>
      </c>
      <c r="D61" s="18" t="n">
        <f aca="false">MIN(a_m0+a_mstep*D57,a_mcap)</f>
        <v>0.05</v>
      </c>
      <c r="E61" s="18" t="n">
        <f aca="false">MIN(a_m0+a_mstep*E57,a_mcap)</f>
        <v>0.1</v>
      </c>
      <c r="F61" s="18" t="n">
        <f aca="false">MIN(a_m0+a_mstep*F57,a_mcap)</f>
        <v>0.15</v>
      </c>
      <c r="G61" s="18" t="n">
        <f aca="false">MIN(a_m0+a_mstep*G57,a_mcap)</f>
        <v>0.2</v>
      </c>
      <c r="H61" s="18" t="n">
        <f aca="false">MIN(a_m0+a_mstep*H57,a_mcap)</f>
        <v>0.25</v>
      </c>
      <c r="I61" s="18" t="n">
        <f aca="false">MIN(a_m0+a_mstep*I57,a_mcap)</f>
        <v>0.25</v>
      </c>
      <c r="J61" s="18" t="n">
        <f aca="false">MIN(a_m0+a_mstep*J57,a_mcap)</f>
        <v>0.25</v>
      </c>
      <c r="K61" s="18" t="n">
        <f aca="false">MIN(a_m0+a_mstep*K57,a_mcap)</f>
        <v>0.25</v>
      </c>
      <c r="L61" s="18" t="n">
        <f aca="false">MIN(a_m0+a_mstep*L57,a_mcap)</f>
        <v>0.25</v>
      </c>
      <c r="M61" s="18" t="n">
        <f aca="false">MIN(a_m0+a_mstep*M57,a_mcap)</f>
        <v>0.25</v>
      </c>
    </row>
    <row r="62" customFormat="false" ht="15" hidden="false" customHeight="false" outlineLevel="0" collapsed="false">
      <c r="A62" s="9" t="s">
        <v>289</v>
      </c>
      <c r="C62" s="36" t="n">
        <f aca="false">IF(C57=a_churn_year,a_sticky*(C58-C60)*(1-C61),0)</f>
        <v>0</v>
      </c>
      <c r="D62" s="36" t="n">
        <f aca="false">IF(D57=a_churn_year,a_sticky*(D58-D60)*(1-D61),0)</f>
        <v>0</v>
      </c>
      <c r="E62" s="36" t="n">
        <f aca="false">IF(E57=a_churn_year,a_sticky*(E58-E60)*(1-E61),0)</f>
        <v>0</v>
      </c>
      <c r="F62" s="36" t="n">
        <f aca="false">IF(F57=a_churn_year,a_sticky*(F58-F60)*(1-F61),0)</f>
        <v>0</v>
      </c>
      <c r="G62" s="36" t="n">
        <f aca="false">IF(G57=a_churn_year,a_sticky*(G58-G60)*(1-G61),0)</f>
        <v>0</v>
      </c>
      <c r="H62" s="36" t="n">
        <f aca="false">IF(H57=a_churn_year,a_sticky*(H58-H60)*(1-H61),0)</f>
        <v>0</v>
      </c>
      <c r="I62" s="36" t="n">
        <f aca="false">IF(I57=a_churn_year,a_sticky*(I58-I60)*(1-I61),0)</f>
        <v>0</v>
      </c>
      <c r="J62" s="36" t="n">
        <f aca="false">IF(J57=a_churn_year,a_sticky*(J58-J60)*(1-J61),0)</f>
        <v>0</v>
      </c>
      <c r="K62" s="36" t="n">
        <f aca="false">IF(K57=a_churn_year,a_sticky*(K58-K60)*(1-K61),0)</f>
        <v>0</v>
      </c>
      <c r="L62" s="36" t="n">
        <f aca="false">IF(L57=a_churn_year,a_sticky*(L58-L60)*(1-L61),0)</f>
        <v>0</v>
      </c>
      <c r="M62" s="36" t="n">
        <f aca="false">IF(M57=a_churn_year,a_sticky*(M58-M60)*(1-M61),0)</f>
        <v>0</v>
      </c>
    </row>
    <row r="63" customFormat="false" ht="15" hidden="false" customHeight="false" outlineLevel="0" collapsed="false">
      <c r="A63" s="4" t="s">
        <v>290</v>
      </c>
      <c r="C63" s="41" t="n">
        <f aca="false">C60*C61-C62</f>
        <v>0</v>
      </c>
      <c r="D63" s="41" t="n">
        <f aca="false">D60*D61-D62</f>
        <v>13.2</v>
      </c>
      <c r="E63" s="41" t="n">
        <f aca="false">E60*E61-E62</f>
        <v>31.68</v>
      </c>
      <c r="F63" s="41" t="n">
        <f aca="false">F60*F61-F62</f>
        <v>57.024</v>
      </c>
      <c r="G63" s="41" t="n">
        <f aca="false">G60*G61-G62</f>
        <v>91.2384</v>
      </c>
      <c r="H63" s="41" t="n">
        <f aca="false">H60*H61-H62</f>
        <v>136.8576</v>
      </c>
      <c r="I63" s="41" t="n">
        <f aca="false">I60*I61-I62</f>
        <v>164.22912</v>
      </c>
      <c r="J63" s="41" t="n">
        <f aca="false">J60*J61-J62</f>
        <v>197.074944</v>
      </c>
      <c r="K63" s="41" t="n">
        <f aca="false">K60*K61-K62</f>
        <v>236.4899328</v>
      </c>
      <c r="L63" s="41" t="n">
        <f aca="false">L60*L61-L62</f>
        <v>283.78791936</v>
      </c>
      <c r="M63" s="41" t="n">
        <f aca="false">M60*M61-M62</f>
        <v>340.545503232</v>
      </c>
    </row>
    <row r="64" customFormat="false" ht="15" hidden="false" customHeight="false" outlineLevel="0" collapsed="false">
      <c r="A64" s="9" t="s">
        <v>291</v>
      </c>
      <c r="C64" s="36" t="n">
        <f aca="false">C60*a_da</f>
        <v>6.6</v>
      </c>
      <c r="D64" s="36" t="n">
        <f aca="false">D60*a_da</f>
        <v>7.92</v>
      </c>
      <c r="E64" s="36" t="n">
        <f aca="false">E60*a_da</f>
        <v>9.504</v>
      </c>
      <c r="F64" s="36" t="n">
        <f aca="false">F60*a_da</f>
        <v>11.4048</v>
      </c>
      <c r="G64" s="36" t="n">
        <f aca="false">G60*a_da</f>
        <v>13.68576</v>
      </c>
      <c r="H64" s="36" t="n">
        <f aca="false">H60*a_da</f>
        <v>16.422912</v>
      </c>
      <c r="I64" s="36" t="n">
        <f aca="false">I60*a_da</f>
        <v>19.7074944</v>
      </c>
      <c r="J64" s="36" t="n">
        <f aca="false">J60*a_da</f>
        <v>23.64899328</v>
      </c>
      <c r="K64" s="36" t="n">
        <f aca="false">K60*a_da</f>
        <v>28.378791936</v>
      </c>
      <c r="L64" s="36" t="n">
        <f aca="false">L60*a_da</f>
        <v>34.0545503232</v>
      </c>
      <c r="M64" s="36" t="n">
        <f aca="false">M60*a_da</f>
        <v>40.86546038784</v>
      </c>
    </row>
    <row r="65" customFormat="false" ht="15" hidden="false" customHeight="false" outlineLevel="0" collapsed="false">
      <c r="A65" s="9" t="s">
        <v>292</v>
      </c>
      <c r="C65" s="36" t="n">
        <f aca="false">C63-C64</f>
        <v>-6.6</v>
      </c>
      <c r="D65" s="36" t="n">
        <f aca="false">D63-D64</f>
        <v>5.28</v>
      </c>
      <c r="E65" s="36" t="n">
        <f aca="false">E63-E64</f>
        <v>22.176</v>
      </c>
      <c r="F65" s="36" t="n">
        <f aca="false">F63-F64</f>
        <v>45.6192</v>
      </c>
      <c r="G65" s="36" t="n">
        <f aca="false">G63-G64</f>
        <v>77.55264</v>
      </c>
      <c r="H65" s="36" t="n">
        <f aca="false">H63-H64</f>
        <v>120.434688</v>
      </c>
      <c r="I65" s="36" t="n">
        <f aca="false">I63-I64</f>
        <v>144.5216256</v>
      </c>
      <c r="J65" s="36" t="n">
        <f aca="false">J63-J64</f>
        <v>173.42595072</v>
      </c>
      <c r="K65" s="36" t="n">
        <f aca="false">K63-K64</f>
        <v>208.111140864</v>
      </c>
      <c r="L65" s="36" t="n">
        <f aca="false">L63-L64</f>
        <v>249.7333690368</v>
      </c>
      <c r="M65" s="36" t="n">
        <f aca="false">M63-M64</f>
        <v>299.68004284416</v>
      </c>
    </row>
    <row r="66" customFormat="false" ht="15" hidden="false" customHeight="false" outlineLevel="0" collapsed="false">
      <c r="A66" s="9" t="s">
        <v>293</v>
      </c>
      <c r="C66" s="36" t="n">
        <f aca="false">MAX(0,C65)*a_tax</f>
        <v>0</v>
      </c>
      <c r="D66" s="36" t="n">
        <f aca="false">MAX(0,D65)*a_tax</f>
        <v>1.32</v>
      </c>
      <c r="E66" s="36" t="n">
        <f aca="false">MAX(0,E65)*a_tax</f>
        <v>5.544</v>
      </c>
      <c r="F66" s="36" t="n">
        <f aca="false">MAX(0,F65)*a_tax</f>
        <v>11.4048</v>
      </c>
      <c r="G66" s="36" t="n">
        <f aca="false">MAX(0,G65)*a_tax</f>
        <v>19.38816</v>
      </c>
      <c r="H66" s="36" t="n">
        <f aca="false">MAX(0,H65)*a_tax</f>
        <v>30.108672</v>
      </c>
      <c r="I66" s="36" t="n">
        <f aca="false">MAX(0,I65)*a_tax</f>
        <v>36.1304064</v>
      </c>
      <c r="J66" s="36" t="n">
        <f aca="false">MAX(0,J65)*a_tax</f>
        <v>43.35648768</v>
      </c>
      <c r="K66" s="36" t="n">
        <f aca="false">MAX(0,K65)*a_tax</f>
        <v>52.027785216</v>
      </c>
      <c r="L66" s="36" t="n">
        <f aca="false">MAX(0,L65)*a_tax</f>
        <v>62.4333422592</v>
      </c>
      <c r="M66" s="36" t="n">
        <f aca="false">MAX(0,M65)*a_tax</f>
        <v>74.92001071104</v>
      </c>
    </row>
    <row r="67" customFormat="false" ht="15" hidden="false" customHeight="false" outlineLevel="0" collapsed="false">
      <c r="A67" s="4" t="s">
        <v>294</v>
      </c>
      <c r="C67" s="42" t="n">
        <f aca="false">cf_lim_pat</f>
        <v>0</v>
      </c>
      <c r="D67" s="41" t="n">
        <f aca="false">D65-D66</f>
        <v>3.96</v>
      </c>
      <c r="E67" s="41" t="n">
        <f aca="false">E65-E66</f>
        <v>16.632</v>
      </c>
      <c r="F67" s="41" t="n">
        <f aca="false">F65-F66</f>
        <v>34.2144</v>
      </c>
      <c r="G67" s="41" t="n">
        <f aca="false">G65-G66</f>
        <v>58.16448</v>
      </c>
      <c r="H67" s="41" t="n">
        <f aca="false">H65-H66</f>
        <v>90.326016</v>
      </c>
      <c r="I67" s="41" t="n">
        <f aca="false">I65-I66</f>
        <v>108.3912192</v>
      </c>
      <c r="J67" s="41" t="n">
        <f aca="false">J65-J66</f>
        <v>130.06946304</v>
      </c>
      <c r="K67" s="41" t="n">
        <f aca="false">K65-K66</f>
        <v>156.083355648</v>
      </c>
      <c r="L67" s="41" t="n">
        <f aca="false">L65-L66</f>
        <v>187.3000267776</v>
      </c>
      <c r="M67" s="41" t="n">
        <f aca="false">M65-M66</f>
        <v>224.76003213312</v>
      </c>
    </row>
    <row r="68" customFormat="false" ht="15" hidden="false" customHeight="false" outlineLevel="0" collapsed="false">
      <c r="A68" s="9" t="s">
        <v>295</v>
      </c>
      <c r="C68" s="36" t="n">
        <f aca="false">C60*a_capex</f>
        <v>6.6</v>
      </c>
      <c r="D68" s="36" t="n">
        <f aca="false">D60*a_capex</f>
        <v>7.92</v>
      </c>
      <c r="E68" s="36" t="n">
        <f aca="false">E60*a_capex</f>
        <v>9.504</v>
      </c>
      <c r="F68" s="36" t="n">
        <f aca="false">F60*a_capex</f>
        <v>11.4048</v>
      </c>
      <c r="G68" s="36" t="n">
        <f aca="false">G60*a_capex</f>
        <v>13.68576</v>
      </c>
      <c r="H68" s="36" t="n">
        <f aca="false">H60*a_capex</f>
        <v>16.422912</v>
      </c>
      <c r="I68" s="36" t="n">
        <f aca="false">I60*a_capex</f>
        <v>19.7074944</v>
      </c>
      <c r="J68" s="36" t="n">
        <f aca="false">J60*a_capex</f>
        <v>23.64899328</v>
      </c>
      <c r="K68" s="36" t="n">
        <f aca="false">K60*a_capex</f>
        <v>28.378791936</v>
      </c>
      <c r="L68" s="36" t="n">
        <f aca="false">L60*a_capex</f>
        <v>34.0545503232</v>
      </c>
      <c r="M68" s="36" t="n">
        <f aca="false">M60*a_capex</f>
        <v>40.86546038784</v>
      </c>
    </row>
    <row r="69" customFormat="false" ht="15" hidden="false" customHeight="false" outlineLevel="0" collapsed="false">
      <c r="A69" s="9" t="s">
        <v>296</v>
      </c>
      <c r="C69" s="36" t="n">
        <f aca="false">0</f>
        <v>0</v>
      </c>
      <c r="D69" s="36" t="n">
        <f aca="false">a_wc*(D60-C60)</f>
        <v>2.2</v>
      </c>
      <c r="E69" s="36" t="n">
        <f aca="false">a_wc*(E60-D60)</f>
        <v>2.64</v>
      </c>
      <c r="F69" s="36" t="n">
        <f aca="false">a_wc*(F60-E60)</f>
        <v>3.168</v>
      </c>
      <c r="G69" s="36" t="n">
        <f aca="false">a_wc*(G60-F60)</f>
        <v>3.8016</v>
      </c>
      <c r="H69" s="36" t="n">
        <f aca="false">a_wc*(H60-G60)</f>
        <v>4.56192</v>
      </c>
      <c r="I69" s="36" t="n">
        <f aca="false">a_wc*(I60-H60)</f>
        <v>5.474304</v>
      </c>
      <c r="J69" s="36" t="n">
        <f aca="false">a_wc*(J60-I60)</f>
        <v>6.5691648</v>
      </c>
      <c r="K69" s="36" t="n">
        <f aca="false">a_wc*(K60-J60)</f>
        <v>7.88299776</v>
      </c>
      <c r="L69" s="36" t="n">
        <f aca="false">a_wc*(L60-K60)</f>
        <v>9.45959731199999</v>
      </c>
      <c r="M69" s="36" t="n">
        <f aca="false">a_wc*(M60-L60)</f>
        <v>11.3515167744</v>
      </c>
    </row>
    <row r="70" customFormat="false" ht="15" hidden="false" customHeight="false" outlineLevel="0" collapsed="false">
      <c r="A70" s="4" t="s">
        <v>297</v>
      </c>
      <c r="C70" s="36" t="n">
        <f aca="false">0</f>
        <v>0</v>
      </c>
      <c r="D70" s="41" t="n">
        <f aca="false">D67+D64-D68-D69</f>
        <v>1.76</v>
      </c>
      <c r="E70" s="41" t="n">
        <f aca="false">E67+E64-E68-E69</f>
        <v>13.992</v>
      </c>
      <c r="F70" s="41" t="n">
        <f aca="false">F67+F64-F68-F69</f>
        <v>31.0464</v>
      </c>
      <c r="G70" s="41" t="n">
        <f aca="false">G67+G64-G68-G69</f>
        <v>54.36288</v>
      </c>
      <c r="H70" s="41" t="n">
        <f aca="false">H67+H64-H68-H69</f>
        <v>85.764096</v>
      </c>
      <c r="I70" s="41" t="n">
        <f aca="false">I67+I64-I68-I69</f>
        <v>102.9169152</v>
      </c>
      <c r="J70" s="41" t="n">
        <f aca="false">J67+J64-J68-J69</f>
        <v>123.50029824</v>
      </c>
      <c r="K70" s="41" t="n">
        <f aca="false">K67+K64-K68-K69</f>
        <v>148.200357888</v>
      </c>
      <c r="L70" s="41" t="n">
        <f aca="false">L67+L64-L68-L69</f>
        <v>177.8404294656</v>
      </c>
      <c r="M70" s="41" t="n">
        <f aca="false">M67+M64-M68-M69</f>
        <v>213.40851535872</v>
      </c>
    </row>
    <row r="72" customFormat="false" ht="15" hidden="false" customHeight="false" outlineLevel="0" collapsed="false">
      <c r="A72" s="7" t="s">
        <v>638</v>
      </c>
      <c r="B72" s="8"/>
      <c r="C72" s="8"/>
      <c r="D72" s="8"/>
      <c r="E72" s="8"/>
      <c r="F72" s="8"/>
      <c r="G72" s="8"/>
      <c r="H72" s="8"/>
      <c r="I72" s="8"/>
      <c r="J72" s="8"/>
      <c r="K72" s="8"/>
      <c r="L72" s="8"/>
      <c r="M72" s="8"/>
      <c r="N72" s="8"/>
    </row>
    <row r="73" customFormat="false" ht="15" hidden="false" customHeight="false" outlineLevel="0" collapsed="false">
      <c r="A73" s="9" t="s">
        <v>482</v>
      </c>
      <c r="C73" s="35" t="n">
        <f aca="false">lv_mix_eq/(c_price*(1-a_issue_disc))</f>
        <v>1.024</v>
      </c>
    </row>
    <row r="74" customFormat="false" ht="15" hidden="false" customHeight="false" outlineLevel="0" collapsed="false">
      <c r="A74" s="9" t="s">
        <v>449</v>
      </c>
      <c r="C74" s="35" t="n">
        <f aca="false">cf_shares+C73</f>
        <v>65.024</v>
      </c>
    </row>
    <row r="75" customFormat="false" ht="15" hidden="false" customHeight="false" outlineLevel="0" collapsed="false">
      <c r="A75" s="9" t="s">
        <v>483</v>
      </c>
      <c r="C75" s="36" t="n">
        <f aca="false">lv_mix_cash*a_yield*(1-a_tax)+lv_mix_debt*a_kd*(1-a_tax)</f>
        <v>94.5</v>
      </c>
    </row>
    <row r="76" customFormat="false" ht="15" hidden="false" customHeight="false" outlineLevel="0" collapsed="false">
      <c r="A76" s="9" t="s">
        <v>484</v>
      </c>
      <c r="C76" s="36" t="n">
        <f aca="false">lv_price*a_ppa_share/a_ppa_life*(1-a_tax)</f>
        <v>93.75</v>
      </c>
    </row>
    <row r="77" customFormat="false" ht="15" hidden="false" customHeight="false" outlineLevel="0" collapsed="false">
      <c r="A77" s="9" t="s">
        <v>485</v>
      </c>
      <c r="C77" s="36" t="n">
        <f aca="false">a_ppa_on*C76</f>
        <v>0</v>
      </c>
    </row>
    <row r="78" customFormat="false" ht="15" hidden="false" customHeight="false" outlineLevel="0" collapsed="false">
      <c r="A78" s="9" t="s">
        <v>486</v>
      </c>
      <c r="C78" s="36" t="n">
        <f aca="false">lv_price*a_fees_pct+a_integ_full</f>
        <v>160</v>
      </c>
    </row>
    <row r="79" customFormat="false" ht="15" hidden="false" customHeight="false" outlineLevel="0" collapsed="false">
      <c r="A79" s="9" t="s">
        <v>487</v>
      </c>
      <c r="C79" s="36" t="n">
        <f aca="false">0</f>
        <v>0</v>
      </c>
      <c r="D79" s="36" t="n">
        <f aca="false">a_syn_on*(a_syn_partner_rev_y3+a_syn_xsell_y3)*a_mcap*IF(D57=1,a_syn_ramp1,IF(D57=2,a_syn_ramp2,1))+a_syn_on*IF(D57&gt;=2,a_syn_cost,0)</f>
        <v>0</v>
      </c>
      <c r="E79" s="36" t="n">
        <f aca="false">a_syn_on*(a_syn_partner_rev_y3+a_syn_xsell_y3)*a_mcap*IF(E57=1,a_syn_ramp1,IF(E57=2,a_syn_ramp2,1))+a_syn_on*IF(E57&gt;=2,a_syn_cost,0)</f>
        <v>0</v>
      </c>
      <c r="F79" s="36" t="n">
        <f aca="false">a_syn_on*(a_syn_partner_rev_y3+a_syn_xsell_y3)*a_mcap*IF(F57=1,a_syn_ramp1,IF(F57=2,a_syn_ramp2,1))+a_syn_on*IF(F57&gt;=2,a_syn_cost,0)</f>
        <v>0</v>
      </c>
      <c r="G79" s="36" t="n">
        <f aca="false">a_syn_on*(a_syn_partner_rev_y3+a_syn_xsell_y3)*a_mcap*IF(G57=1,a_syn_ramp1,IF(G57=2,a_syn_ramp2,1))+a_syn_on*IF(G57&gt;=2,a_syn_cost,0)</f>
        <v>0</v>
      </c>
      <c r="H79" s="36" t="n">
        <f aca="false">a_syn_on*(a_syn_partner_rev_y3+a_syn_xsell_y3)*a_mcap*IF(H57=1,a_syn_ramp1,IF(H57=2,a_syn_ramp2,1))+a_syn_on*IF(H57&gt;=2,a_syn_cost,0)</f>
        <v>0</v>
      </c>
      <c r="I79" s="36" t="n">
        <f aca="false">a_syn_on*(a_syn_partner_rev_y3+a_syn_xsell_y3)*a_mcap*IF(I57=1,a_syn_ramp1,IF(I57=2,a_syn_ramp2,1))+a_syn_on*IF(I57&gt;=2,a_syn_cost,0)</f>
        <v>0</v>
      </c>
      <c r="J79" s="36" t="n">
        <f aca="false">a_syn_on*(a_syn_partner_rev_y3+a_syn_xsell_y3)*a_mcap*IF(J57=1,a_syn_ramp1,IF(J57=2,a_syn_ramp2,1))+a_syn_on*IF(J57&gt;=2,a_syn_cost,0)</f>
        <v>0</v>
      </c>
      <c r="K79" s="36" t="n">
        <f aca="false">a_syn_on*(a_syn_partner_rev_y3+a_syn_xsell_y3)*a_mcap*IF(K57=1,a_syn_ramp1,IF(K57=2,a_syn_ramp2,1))+a_syn_on*IF(K57&gt;=2,a_syn_cost,0)</f>
        <v>0</v>
      </c>
      <c r="L79" s="36" t="n">
        <f aca="false">a_syn_on*(a_syn_partner_rev_y3+a_syn_xsell_y3)*a_mcap*IF(L57=1,a_syn_ramp1,IF(L57=2,a_syn_ramp2,1))+a_syn_on*IF(L57&gt;=2,a_syn_cost,0)</f>
        <v>0</v>
      </c>
      <c r="M79" s="36" t="n">
        <f aca="false">a_syn_on*(a_syn_partner_rev_y3+a_syn_xsell_y3)*a_mcap*IF(M57=1,a_syn_ramp1,IF(M57=2,a_syn_ramp2,1))+a_syn_on*IF(M57&gt;=2,a_syn_cost,0)</f>
        <v>0</v>
      </c>
    </row>
    <row r="80" customFormat="false" ht="15" hidden="false" customHeight="false" outlineLevel="0" collapsed="false">
      <c r="A80" s="9" t="s">
        <v>488</v>
      </c>
      <c r="C80" s="36" t="n">
        <f aca="false">0</f>
        <v>0</v>
      </c>
      <c r="D80" s="36" t="n">
        <f aca="false">CHOOSE(lv_drag_mode,lv_drag,lv_drag*D60/cf_arr,lv_drag*(1-a_tax))</f>
        <v>750</v>
      </c>
      <c r="E80" s="36" t="n">
        <f aca="false">CHOOSE(lv_drag_mode,lv_drag,lv_drag*E60/cf_arr,lv_drag*(1-a_tax))</f>
        <v>750</v>
      </c>
      <c r="F80" s="36" t="n">
        <f aca="false">CHOOSE(lv_drag_mode,lv_drag,lv_drag*F60/cf_arr,lv_drag*(1-a_tax))</f>
        <v>750</v>
      </c>
      <c r="G80" s="36" t="n">
        <f aca="false">CHOOSE(lv_drag_mode,lv_drag,lv_drag*G60/cf_arr,lv_drag*(1-a_tax))</f>
        <v>750</v>
      </c>
      <c r="H80" s="36" t="n">
        <f aca="false">CHOOSE(lv_drag_mode,lv_drag,lv_drag*H60/cf_arr,lv_drag*(1-a_tax))</f>
        <v>750</v>
      </c>
      <c r="I80" s="36" t="n">
        <f aca="false">CHOOSE(lv_drag_mode,lv_drag,lv_drag*I60/cf_arr,lv_drag*(1-a_tax))</f>
        <v>750</v>
      </c>
      <c r="J80" s="36" t="n">
        <f aca="false">CHOOSE(lv_drag_mode,lv_drag,lv_drag*J60/cf_arr,lv_drag*(1-a_tax))</f>
        <v>750</v>
      </c>
      <c r="K80" s="36" t="n">
        <f aca="false">CHOOSE(lv_drag_mode,lv_drag,lv_drag*K60/cf_arr,lv_drag*(1-a_tax))</f>
        <v>750</v>
      </c>
      <c r="L80" s="36" t="n">
        <f aca="false">CHOOSE(lv_drag_mode,lv_drag,lv_drag*L60/cf_arr,lv_drag*(1-a_tax))</f>
        <v>750</v>
      </c>
      <c r="M80" s="36" t="n">
        <f aca="false">CHOOSE(lv_drag_mode,lv_drag,lv_drag*M60/cf_arr,lv_drag*(1-a_tax))</f>
        <v>750</v>
      </c>
    </row>
    <row r="81" customFormat="false" ht="15" hidden="false" customHeight="false" outlineLevel="0" collapsed="false">
      <c r="A81" s="9" t="s">
        <v>489</v>
      </c>
      <c r="C81" s="36" t="n">
        <f aca="false">0</f>
        <v>0</v>
      </c>
      <c r="D81" s="36" t="n">
        <f aca="false">IF(lv_drag_mode=3,lv_drag*(1-a_tax),0)</f>
        <v>0</v>
      </c>
      <c r="E81" s="36" t="n">
        <f aca="false">IF(lv_drag_mode=3,lv_drag*(1-a_tax),0)</f>
        <v>0</v>
      </c>
      <c r="F81" s="36" t="n">
        <f aca="false">IF(lv_drag_mode=3,lv_drag*(1-a_tax),0)</f>
        <v>0</v>
      </c>
      <c r="G81" s="36" t="n">
        <f aca="false">IF(lv_drag_mode=3,lv_drag*(1-a_tax),0)</f>
        <v>0</v>
      </c>
      <c r="H81" s="36" t="n">
        <f aca="false">IF(lv_drag_mode=3,lv_drag*(1-a_tax),0)</f>
        <v>0</v>
      </c>
      <c r="I81" s="36" t="n">
        <f aca="false">IF(lv_drag_mode=3,lv_drag*(1-a_tax),0)</f>
        <v>0</v>
      </c>
      <c r="J81" s="36" t="n">
        <f aca="false">IF(lv_drag_mode=3,lv_drag*(1-a_tax),0)</f>
        <v>0</v>
      </c>
      <c r="K81" s="36" t="n">
        <f aca="false">IF(lv_drag_mode=3,lv_drag*(1-a_tax),0)</f>
        <v>0</v>
      </c>
      <c r="L81" s="36" t="n">
        <f aca="false">IF(lv_drag_mode=3,lv_drag*(1-a_tax),0)</f>
        <v>0</v>
      </c>
      <c r="M81" s="36" t="n">
        <f aca="false">IF(lv_drag_mode=3,lv_drag*(1-a_tax),0)</f>
        <v>0</v>
      </c>
    </row>
    <row r="82" customFormat="false" ht="15" hidden="false" customHeight="false" outlineLevel="0" collapsed="false">
      <c r="A82" s="9" t="s">
        <v>490</v>
      </c>
      <c r="C82" s="36" t="n">
        <f aca="false">0</f>
        <v>0</v>
      </c>
      <c r="D82" s="36" t="n">
        <f aca="false">IF(lv_drag_mode=3,0,C82+D80)</f>
        <v>750</v>
      </c>
      <c r="E82" s="36" t="n">
        <f aca="false">IF(lv_drag_mode=3,0,D82+E80)</f>
        <v>1500</v>
      </c>
      <c r="F82" s="36" t="n">
        <f aca="false">IF(lv_drag_mode=3,0,E82+F80)</f>
        <v>2250</v>
      </c>
      <c r="G82" s="36" t="n">
        <f aca="false">IF(lv_drag_mode=3,0,F82+G80)</f>
        <v>3000</v>
      </c>
      <c r="H82" s="36" t="n">
        <f aca="false">IF(lv_drag_mode=3,0,G82+H80)</f>
        <v>3750</v>
      </c>
      <c r="I82" s="36" t="n">
        <f aca="false">IF(lv_drag_mode=3,0,H82+I80)</f>
        <v>4500</v>
      </c>
      <c r="J82" s="36" t="n">
        <f aca="false">IF(lv_drag_mode=3,0,I82+J80)</f>
        <v>5250</v>
      </c>
      <c r="K82" s="36" t="n">
        <f aca="false">IF(lv_drag_mode=3,0,J82+K80)</f>
        <v>6000</v>
      </c>
      <c r="L82" s="36" t="n">
        <f aca="false">IF(lv_drag_mode=3,0,K82+L80)</f>
        <v>6750</v>
      </c>
      <c r="M82" s="36" t="n">
        <f aca="false">IF(lv_drag_mode=3,0,L82+M80)</f>
        <v>7500</v>
      </c>
    </row>
    <row r="83" customFormat="false" ht="15" hidden="false" customHeight="false" outlineLevel="0" collapsed="false">
      <c r="A83" s="9" t="s">
        <v>491</v>
      </c>
      <c r="C83" s="36" t="n">
        <f aca="false">0</f>
        <v>0</v>
      </c>
      <c r="D83" s="36" t="n">
        <f aca="false">C82*a_yield*(1-a_tax)</f>
        <v>0</v>
      </c>
      <c r="E83" s="36" t="n">
        <f aca="false">D82*a_yield*(1-a_tax)</f>
        <v>33.75</v>
      </c>
      <c r="F83" s="36" t="n">
        <f aca="false">E82*a_yield*(1-a_tax)</f>
        <v>67.5</v>
      </c>
      <c r="G83" s="36" t="n">
        <f aca="false">F82*a_yield*(1-a_tax)</f>
        <v>101.25</v>
      </c>
      <c r="H83" s="36" t="n">
        <f aca="false">G82*a_yield*(1-a_tax)</f>
        <v>135</v>
      </c>
      <c r="I83" s="36" t="n">
        <f aca="false">H82*a_yield*(1-a_tax)</f>
        <v>168.75</v>
      </c>
      <c r="J83" s="36" t="n">
        <f aca="false">I82*a_yield*(1-a_tax)</f>
        <v>202.5</v>
      </c>
      <c r="K83" s="36" t="n">
        <f aca="false">J82*a_yield*(1-a_tax)</f>
        <v>236.25</v>
      </c>
      <c r="L83" s="36" t="n">
        <f aca="false">K82*a_yield*(1-a_tax)</f>
        <v>270</v>
      </c>
      <c r="M83" s="36" t="n">
        <f aca="false">L82*a_yield*(1-a_tax)</f>
        <v>303.75</v>
      </c>
    </row>
    <row r="84" customFormat="false" ht="15" hidden="false" customHeight="false" outlineLevel="0" collapsed="false">
      <c r="A84" s="9" t="s">
        <v>492</v>
      </c>
      <c r="C84" s="36" t="n">
        <f aca="false">cf_pat</f>
        <v>480</v>
      </c>
      <c r="D84" s="36" t="n">
        <f aca="false">cf_pat*(1+a_pat_growth)^D57</f>
        <v>480</v>
      </c>
      <c r="E84" s="36" t="n">
        <f aca="false">cf_pat*(1+a_pat_growth)^E57</f>
        <v>480</v>
      </c>
      <c r="F84" s="36" t="n">
        <f aca="false">cf_pat*(1+a_pat_growth)^F57</f>
        <v>480</v>
      </c>
      <c r="G84" s="36" t="n">
        <f aca="false">cf_pat*(1+a_pat_growth)^G57</f>
        <v>480</v>
      </c>
      <c r="H84" s="36" t="n">
        <f aca="false">cf_pat*(1+a_pat_growth)^H57</f>
        <v>480</v>
      </c>
      <c r="I84" s="36" t="n">
        <f aca="false">cf_pat*(1+a_pat_growth)^I57</f>
        <v>480</v>
      </c>
      <c r="J84" s="36" t="n">
        <f aca="false">cf_pat*(1+a_pat_growth)^J57</f>
        <v>480</v>
      </c>
      <c r="K84" s="36" t="n">
        <f aca="false">cf_pat*(1+a_pat_growth)^K57</f>
        <v>480</v>
      </c>
      <c r="L84" s="36" t="n">
        <f aca="false">cf_pat*(1+a_pat_growth)^L57</f>
        <v>480</v>
      </c>
      <c r="M84" s="36" t="n">
        <f aca="false">cf_pat*(1+a_pat_growth)^M57</f>
        <v>480</v>
      </c>
    </row>
    <row r="85" customFormat="false" ht="15" hidden="false" customHeight="false" outlineLevel="0" collapsed="false">
      <c r="A85" s="9" t="s">
        <v>493</v>
      </c>
      <c r="C85" s="36" t="n">
        <f aca="false">0</f>
        <v>0</v>
      </c>
      <c r="D85" s="36" t="n">
        <f aca="false">cf_mdr*a_mdr_flow*(1-a_tax)</f>
        <v>69</v>
      </c>
      <c r="E85" s="36" t="n">
        <f aca="false">cf_mdr*a_mdr_flow*(1-a_tax)</f>
        <v>69</v>
      </c>
      <c r="F85" s="36" t="n">
        <f aca="false">cf_mdr*a_mdr_flow*(1-a_tax)</f>
        <v>69</v>
      </c>
      <c r="G85" s="36" t="n">
        <f aca="false">cf_mdr*a_mdr_flow*(1-a_tax)</f>
        <v>69</v>
      </c>
      <c r="H85" s="36" t="n">
        <f aca="false">cf_mdr*a_mdr_flow*(1-a_tax)</f>
        <v>69</v>
      </c>
      <c r="I85" s="36" t="n">
        <f aca="false">cf_mdr*a_mdr_flow*(1-a_tax)</f>
        <v>69</v>
      </c>
      <c r="J85" s="36" t="n">
        <f aca="false">cf_mdr*a_mdr_flow*(1-a_tax)</f>
        <v>69</v>
      </c>
      <c r="K85" s="36" t="n">
        <f aca="false">cf_mdr*a_mdr_flow*(1-a_tax)</f>
        <v>69</v>
      </c>
      <c r="L85" s="36" t="n">
        <f aca="false">cf_mdr*a_mdr_flow*(1-a_tax)</f>
        <v>69</v>
      </c>
      <c r="M85" s="36" t="n">
        <f aca="false">cf_mdr*a_mdr_flow*(1-a_tax)</f>
        <v>69</v>
      </c>
    </row>
    <row r="86" customFormat="false" ht="15" hidden="false" customHeight="false" outlineLevel="0" collapsed="false">
      <c r="A86" s="9" t="s">
        <v>494</v>
      </c>
      <c r="C86" s="50" t="n">
        <f aca="false">cf_eps</f>
        <v>7.5</v>
      </c>
      <c r="D86" s="50" t="n">
        <f aca="false">D84/cf_shares</f>
        <v>7.5</v>
      </c>
      <c r="E86" s="50" t="n">
        <f aca="false">E84/cf_shares</f>
        <v>7.5</v>
      </c>
      <c r="F86" s="50" t="n">
        <f aca="false">F84/cf_shares</f>
        <v>7.5</v>
      </c>
      <c r="G86" s="50" t="n">
        <f aca="false">G84/cf_shares</f>
        <v>7.5</v>
      </c>
      <c r="H86" s="50" t="n">
        <f aca="false">H84/cf_shares</f>
        <v>7.5</v>
      </c>
      <c r="I86" s="50" t="n">
        <f aca="false">I84/cf_shares</f>
        <v>7.5</v>
      </c>
      <c r="J86" s="50" t="n">
        <f aca="false">J84/cf_shares</f>
        <v>7.5</v>
      </c>
      <c r="K86" s="50" t="n">
        <f aca="false">K84/cf_shares</f>
        <v>7.5</v>
      </c>
      <c r="L86" s="50" t="n">
        <f aca="false">L84/cf_shares</f>
        <v>7.5</v>
      </c>
      <c r="M86" s="50" t="n">
        <f aca="false">M84/cf_shares</f>
        <v>7.5</v>
      </c>
    </row>
    <row r="87" customFormat="false" ht="15" hidden="false" customHeight="false" outlineLevel="0" collapsed="false">
      <c r="A87" s="9" t="s">
        <v>495</v>
      </c>
      <c r="C87" s="50" t="n">
        <f aca="false">cf_eps</f>
        <v>7.5</v>
      </c>
      <c r="D87" s="50" t="n">
        <f aca="false">(D84+D85)/cf_shares</f>
        <v>8.578125</v>
      </c>
      <c r="E87" s="50" t="n">
        <f aca="false">(E84+E85)/cf_shares</f>
        <v>8.578125</v>
      </c>
      <c r="F87" s="50" t="n">
        <f aca="false">(F84+F85)/cf_shares</f>
        <v>8.578125</v>
      </c>
      <c r="G87" s="50" t="n">
        <f aca="false">(G84+G85)/cf_shares</f>
        <v>8.578125</v>
      </c>
      <c r="H87" s="50" t="n">
        <f aca="false">(H84+H85)/cf_shares</f>
        <v>8.578125</v>
      </c>
      <c r="I87" s="50" t="n">
        <f aca="false">(I84+I85)/cf_shares</f>
        <v>8.578125</v>
      </c>
      <c r="J87" s="50" t="n">
        <f aca="false">(J84+J85)/cf_shares</f>
        <v>8.578125</v>
      </c>
      <c r="K87" s="50" t="n">
        <f aca="false">(K84+K85)/cf_shares</f>
        <v>8.578125</v>
      </c>
      <c r="L87" s="50" t="n">
        <f aca="false">(L84+L85)/cf_shares</f>
        <v>8.578125</v>
      </c>
      <c r="M87" s="50" t="n">
        <f aca="false">(M84+M85)/cf_shares</f>
        <v>8.578125</v>
      </c>
    </row>
    <row r="88" customFormat="false" ht="15" hidden="false" customHeight="false" outlineLevel="0" collapsed="false">
      <c r="A88" s="4" t="s">
        <v>496</v>
      </c>
      <c r="C88" s="41" t="n">
        <f aca="false">-C75-C77</f>
        <v>-94.5</v>
      </c>
      <c r="D88" s="41" t="n">
        <f aca="false">D67+D79*(1-a_tax)-C75-C77-D81-D83</f>
        <v>-90.54</v>
      </c>
      <c r="E88" s="41" t="n">
        <f aca="false">E67+E79*(1-a_tax)-C75-C77-E81-E83</f>
        <v>-111.618</v>
      </c>
      <c r="F88" s="41" t="n">
        <f aca="false">F67+F79*(1-a_tax)-C75-C77-F81-F83</f>
        <v>-127.7856</v>
      </c>
      <c r="G88" s="41" t="n">
        <f aca="false">G67+G79*(1-a_tax)-C75-C77-G81-G83</f>
        <v>-137.58552</v>
      </c>
      <c r="H88" s="41" t="n">
        <f aca="false">H67+H79*(1-a_tax)-C75-C77-H81-H83</f>
        <v>-139.173984</v>
      </c>
      <c r="I88" s="41" t="n">
        <f aca="false">I67+I79*(1-a_tax)-C75-C77-I81-I83</f>
        <v>-154.8587808</v>
      </c>
      <c r="J88" s="41" t="n">
        <f aca="false">J67+J79*(1-a_tax)-C75-C77-J81-J83</f>
        <v>-166.93053696</v>
      </c>
      <c r="K88" s="41" t="n">
        <f aca="false">K67+K79*(1-a_tax)-C75-C77-K81-K83</f>
        <v>-174.666644352</v>
      </c>
      <c r="L88" s="41" t="n">
        <f aca="false">L67+L79*(1-a_tax)-C75-C77-L81-L83</f>
        <v>-177.1999732224</v>
      </c>
      <c r="M88" s="41" t="n">
        <f aca="false">M67+M79*(1-a_tax)-C75-C77-M81-M83</f>
        <v>-173.48996786688</v>
      </c>
    </row>
    <row r="89" customFormat="false" ht="15" hidden="false" customHeight="false" outlineLevel="0" collapsed="false">
      <c r="A89" s="9" t="s">
        <v>497</v>
      </c>
      <c r="C89" s="36" t="n">
        <f aca="false">C84+C88</f>
        <v>385.5</v>
      </c>
      <c r="D89" s="36" t="n">
        <f aca="false">D84+D88</f>
        <v>389.46</v>
      </c>
      <c r="E89" s="36" t="n">
        <f aca="false">E84+E88</f>
        <v>368.382</v>
      </c>
      <c r="F89" s="36" t="n">
        <f aca="false">F84+F88</f>
        <v>352.2144</v>
      </c>
      <c r="G89" s="36" t="n">
        <f aca="false">G84+G88</f>
        <v>342.41448</v>
      </c>
      <c r="H89" s="36" t="n">
        <f aca="false">H84+H88</f>
        <v>340.826016</v>
      </c>
      <c r="I89" s="36" t="n">
        <f aca="false">I84+I88</f>
        <v>325.1412192</v>
      </c>
      <c r="J89" s="36" t="n">
        <f aca="false">J84+J88</f>
        <v>313.06946304</v>
      </c>
      <c r="K89" s="36" t="n">
        <f aca="false">K84+K88</f>
        <v>305.333355648</v>
      </c>
      <c r="L89" s="36" t="n">
        <f aca="false">L84+L88</f>
        <v>302.8000267776</v>
      </c>
      <c r="M89" s="36" t="n">
        <f aca="false">M84+M88</f>
        <v>306.51003213312</v>
      </c>
    </row>
    <row r="90" customFormat="false" ht="15" hidden="false" customHeight="false" outlineLevel="0" collapsed="false">
      <c r="A90" s="4" t="s">
        <v>498</v>
      </c>
      <c r="C90" s="48" t="n">
        <f aca="false">C89/C74</f>
        <v>5.92858021653543</v>
      </c>
      <c r="D90" s="48" t="n">
        <f aca="false">D89/C74</f>
        <v>5.98948080708662</v>
      </c>
      <c r="E90" s="48" t="n">
        <f aca="false">E89/C74</f>
        <v>5.66532357283465</v>
      </c>
      <c r="F90" s="48" t="n">
        <f aca="false">F89/C74</f>
        <v>5.41668307086614</v>
      </c>
      <c r="G90" s="48" t="n">
        <f aca="false">G89/C74</f>
        <v>5.26597071850394</v>
      </c>
      <c r="H90" s="48" t="n">
        <f aca="false">H89/C74</f>
        <v>5.24154183070866</v>
      </c>
      <c r="I90" s="48" t="n">
        <f aca="false">I89/C74</f>
        <v>5.00032632874016</v>
      </c>
      <c r="J90" s="48" t="n">
        <f aca="false">J89/C74</f>
        <v>4.8146755511811</v>
      </c>
      <c r="K90" s="48" t="n">
        <f aca="false">K89/C74</f>
        <v>4.69570244291339</v>
      </c>
      <c r="L90" s="48" t="n">
        <f aca="false">L89/C74</f>
        <v>4.65674253779527</v>
      </c>
      <c r="M90" s="48" t="n">
        <f aca="false">M89/C74</f>
        <v>4.71379847645669</v>
      </c>
    </row>
    <row r="91" customFormat="false" ht="15" hidden="false" customHeight="false" outlineLevel="0" collapsed="false">
      <c r="A91" s="4" t="s">
        <v>499</v>
      </c>
      <c r="C91" s="14" t="n">
        <f aca="false">C90/cf_eps-1</f>
        <v>-0.209522637795276</v>
      </c>
      <c r="D91" s="14" t="n">
        <f aca="false">D90/cf_eps-1</f>
        <v>-0.201402559055118</v>
      </c>
      <c r="E91" s="14" t="n">
        <f aca="false">E90/cf_eps-1</f>
        <v>-0.244623523622047</v>
      </c>
      <c r="F91" s="14" t="n">
        <f aca="false">F90/cf_eps-1</f>
        <v>-0.277775590551181</v>
      </c>
      <c r="G91" s="14" t="n">
        <f aca="false">G90/cf_eps-1</f>
        <v>-0.297870570866142</v>
      </c>
      <c r="H91" s="14" t="n">
        <f aca="false">H90/cf_eps-1</f>
        <v>-0.301127755905512</v>
      </c>
      <c r="I91" s="14" t="n">
        <f aca="false">I90/cf_eps-1</f>
        <v>-0.333289822834646</v>
      </c>
      <c r="J91" s="14" t="n">
        <f aca="false">J90/cf_eps-1</f>
        <v>-0.35804325984252</v>
      </c>
      <c r="K91" s="14" t="n">
        <f aca="false">K90/cf_eps-1</f>
        <v>-0.373906340944882</v>
      </c>
      <c r="L91" s="14" t="n">
        <f aca="false">L90/cf_eps-1</f>
        <v>-0.37910099496063</v>
      </c>
      <c r="M91" s="14" t="n">
        <f aca="false">M90/cf_eps-1</f>
        <v>-0.371493536472441</v>
      </c>
    </row>
    <row r="92" customFormat="false" ht="15" hidden="false" customHeight="false" outlineLevel="0" collapsed="false">
      <c r="A92" s="9" t="s">
        <v>500</v>
      </c>
      <c r="C92" s="50" t="n">
        <f aca="false">C90</f>
        <v>5.92858021653543</v>
      </c>
      <c r="D92" s="50" t="n">
        <f aca="false">(D89+D85)/C74</f>
        <v>7.05062746062992</v>
      </c>
      <c r="E92" s="50" t="n">
        <f aca="false">(E89+E85)/C74</f>
        <v>6.72647022637795</v>
      </c>
      <c r="F92" s="50" t="n">
        <f aca="false">(F89+F85)/C74</f>
        <v>6.47782972440945</v>
      </c>
      <c r="G92" s="50" t="n">
        <f aca="false">(G89+G85)/C74</f>
        <v>6.32711737204724</v>
      </c>
      <c r="H92" s="50" t="n">
        <f aca="false">(H89+H85)/C74</f>
        <v>6.30268848425197</v>
      </c>
      <c r="I92" s="50" t="n">
        <f aca="false">(I89+I85)/C74</f>
        <v>6.06147298228346</v>
      </c>
      <c r="J92" s="50" t="n">
        <f aca="false">(J89+J85)/C74</f>
        <v>5.87582220472441</v>
      </c>
      <c r="K92" s="50" t="n">
        <f aca="false">(K89+K85)/C74</f>
        <v>5.75684909645669</v>
      </c>
      <c r="L92" s="50" t="n">
        <f aca="false">(L89+L85)/C74</f>
        <v>5.71788919133858</v>
      </c>
      <c r="M92" s="50" t="n">
        <f aca="false">(M89+M85)/C74</f>
        <v>5.77494513</v>
      </c>
    </row>
    <row r="93" customFormat="false" ht="15" hidden="false" customHeight="false" outlineLevel="0" collapsed="false">
      <c r="A93" s="9" t="s">
        <v>501</v>
      </c>
      <c r="C93" s="18" t="n">
        <f aca="false">C91</f>
        <v>-0.209522637795276</v>
      </c>
      <c r="D93" s="18" t="n">
        <f aca="false">D92/D87-1</f>
        <v>-0.178068929908352</v>
      </c>
      <c r="E93" s="18" t="n">
        <f aca="false">E92/E87-1</f>
        <v>-0.215857751387634</v>
      </c>
      <c r="F93" s="18" t="n">
        <f aca="false">F92/F87-1</f>
        <v>-0.244843165096166</v>
      </c>
      <c r="G93" s="18" t="n">
        <f aca="false">G92/G87-1</f>
        <v>-0.262412546792307</v>
      </c>
      <c r="H93" s="18" t="n">
        <f aca="false">H92/H87-1</f>
        <v>-0.265260358848587</v>
      </c>
      <c r="I93" s="18" t="n">
        <f aca="false">I92/I87-1</f>
        <v>-0.293380198786627</v>
      </c>
      <c r="J93" s="18" t="n">
        <f aca="false">J92/J87-1</f>
        <v>-0.315022548083129</v>
      </c>
      <c r="K93" s="18" t="n">
        <f aca="false">K92/K87-1</f>
        <v>-0.328891908609784</v>
      </c>
      <c r="L93" s="18" t="n">
        <f aca="false">L92/L87-1</f>
        <v>-0.333433682612624</v>
      </c>
      <c r="M93" s="18" t="n">
        <f aca="false">M92/M87-1</f>
        <v>-0.326782352786885</v>
      </c>
    </row>
    <row r="94" customFormat="false" ht="15" hidden="false" customHeight="false" outlineLevel="0" collapsed="false">
      <c r="A94" s="9" t="s">
        <v>502</v>
      </c>
      <c r="C94" s="50" t="n">
        <f aca="false">(C89+C77)/C74</f>
        <v>5.92858021653543</v>
      </c>
      <c r="D94" s="50" t="n">
        <f aca="false">(D89+C77)/C74</f>
        <v>5.98948080708662</v>
      </c>
      <c r="E94" s="50" t="n">
        <f aca="false">(E89+C77)/C74</f>
        <v>5.66532357283465</v>
      </c>
      <c r="F94" s="50" t="n">
        <f aca="false">(F89+C77)/C74</f>
        <v>5.41668307086614</v>
      </c>
      <c r="G94" s="50" t="n">
        <f aca="false">(G89+C77)/C74</f>
        <v>5.26597071850394</v>
      </c>
      <c r="H94" s="50" t="n">
        <f aca="false">(H89+C77)/C74</f>
        <v>5.24154183070866</v>
      </c>
      <c r="I94" s="50" t="n">
        <f aca="false">(I89+C77)/C74</f>
        <v>5.00032632874016</v>
      </c>
      <c r="J94" s="50" t="n">
        <f aca="false">(J89+C77)/C74</f>
        <v>4.8146755511811</v>
      </c>
      <c r="K94" s="50" t="n">
        <f aca="false">(K89+C77)/C74</f>
        <v>4.69570244291339</v>
      </c>
      <c r="L94" s="50" t="n">
        <f aca="false">(L89+C77)/C74</f>
        <v>4.65674253779527</v>
      </c>
      <c r="M94" s="50" t="n">
        <f aca="false">(M89+C77)/C74</f>
        <v>4.71379847645669</v>
      </c>
    </row>
    <row r="95" customFormat="false" ht="15" hidden="false" customHeight="false" outlineLevel="0" collapsed="false">
      <c r="A95" s="9" t="s">
        <v>503</v>
      </c>
      <c r="C95" s="50" t="n">
        <f aca="false">(C89-C76+C77)/C74</f>
        <v>4.48680487204724</v>
      </c>
      <c r="D95" s="50" t="n">
        <f aca="false">(D89-C76+C77)/C74</f>
        <v>4.54770546259843</v>
      </c>
      <c r="E95" s="50" t="n">
        <f aca="false">(E89-C76+C77)/C74</f>
        <v>4.22354822834646</v>
      </c>
      <c r="F95" s="50" t="n">
        <f aca="false">(F89-C76+C77)/C74</f>
        <v>3.97490772637795</v>
      </c>
      <c r="G95" s="50" t="n">
        <f aca="false">(G89-C76+C77)/C74</f>
        <v>3.82419537401575</v>
      </c>
      <c r="H95" s="50" t="n">
        <f aca="false">(H89-C76+C77)/C74</f>
        <v>3.79976648622047</v>
      </c>
      <c r="I95" s="50" t="n">
        <f aca="false">(I89-C76+C77)/C74</f>
        <v>3.55855098425197</v>
      </c>
      <c r="J95" s="50" t="n">
        <f aca="false">(J89-C76+C77)/C74</f>
        <v>3.37290020669291</v>
      </c>
      <c r="K95" s="50" t="n">
        <f aca="false">(K89-C76+C77)/C74</f>
        <v>3.2539270984252</v>
      </c>
      <c r="L95" s="50" t="n">
        <f aca="false">(L89-C76+C77)/C74</f>
        <v>3.21496719330709</v>
      </c>
      <c r="M95" s="50" t="n">
        <f aca="false">(M89-C76+C77)/C74</f>
        <v>3.2720231319685</v>
      </c>
    </row>
    <row r="96" customFormat="false" ht="15" hidden="false" customHeight="false" outlineLevel="0" collapsed="false">
      <c r="A96" s="9" t="s">
        <v>504</v>
      </c>
      <c r="C96" s="50" t="n">
        <f aca="false">C84/C74</f>
        <v>7.38188976377953</v>
      </c>
      <c r="D96" s="50" t="n">
        <f aca="false">D84/C74</f>
        <v>7.38188976377953</v>
      </c>
      <c r="E96" s="50" t="n">
        <f aca="false">E84/C74</f>
        <v>7.38188976377953</v>
      </c>
      <c r="F96" s="50" t="n">
        <f aca="false">F84/C74</f>
        <v>7.38188976377953</v>
      </c>
      <c r="G96" s="50" t="n">
        <f aca="false">G84/C74</f>
        <v>7.38188976377953</v>
      </c>
      <c r="H96" s="50" t="n">
        <f aca="false">H84/C74</f>
        <v>7.38188976377953</v>
      </c>
      <c r="I96" s="50" t="n">
        <f aca="false">I84/C74</f>
        <v>7.38188976377953</v>
      </c>
      <c r="J96" s="50" t="n">
        <f aca="false">J84/C74</f>
        <v>7.38188976377953</v>
      </c>
      <c r="K96" s="50" t="n">
        <f aca="false">K84/C74</f>
        <v>7.38188976377953</v>
      </c>
      <c r="L96" s="50" t="n">
        <f aca="false">L84/C74</f>
        <v>7.38188976377953</v>
      </c>
      <c r="M96" s="50" t="n">
        <f aca="false">M84/C74</f>
        <v>7.38188976377953</v>
      </c>
    </row>
    <row r="97" customFormat="false" ht="15" hidden="false" customHeight="false" outlineLevel="0" collapsed="false">
      <c r="A97" s="9" t="s">
        <v>505</v>
      </c>
      <c r="D97" s="36" t="n">
        <f aca="false">D70+D79*(1-a_tax)-D80-IF(D57=1,C78,0)</f>
        <v>-908.24</v>
      </c>
      <c r="E97" s="36" t="n">
        <f aca="false">E70+E79*(1-a_tax)-E80-IF(E57=1,C78,0)</f>
        <v>-736.008</v>
      </c>
      <c r="F97" s="36" t="n">
        <f aca="false">F70+F79*(1-a_tax)-F80-IF(F57=1,C78,0)</f>
        <v>-718.9536</v>
      </c>
      <c r="G97" s="36" t="n">
        <f aca="false">G70+G79*(1-a_tax)-G80-IF(G57=1,C78,0)</f>
        <v>-695.63712</v>
      </c>
      <c r="H97" s="36" t="n">
        <f aca="false">H70+H79*(1-a_tax)-H80-IF(H57=1,C78,0)</f>
        <v>-664.235904</v>
      </c>
      <c r="I97" s="36" t="n">
        <f aca="false">I70+I79*(1-a_tax)-I80-IF(I57=1,C78,0)</f>
        <v>-647.0830848</v>
      </c>
      <c r="J97" s="36" t="n">
        <f aca="false">J70+J79*(1-a_tax)-J80-IF(J57=1,C78,0)</f>
        <v>-626.49970176</v>
      </c>
      <c r="K97" s="36" t="n">
        <f aca="false">K70+K79*(1-a_tax)-K80-IF(K57=1,C78,0)</f>
        <v>-601.799642112</v>
      </c>
      <c r="L97" s="36" t="n">
        <f aca="false">L70+L79*(1-a_tax)-L80-IF(L57=1,C78,0)</f>
        <v>-572.1595705344</v>
      </c>
      <c r="M97" s="36" t="n">
        <f aca="false">M70+M79*(1-a_tax)-M80-IF(M57=1,C78,0)</f>
        <v>-536.59148464128</v>
      </c>
    </row>
    <row r="98" customFormat="false" ht="15" hidden="false" customHeight="false" outlineLevel="0" collapsed="false">
      <c r="A98" s="4" t="s">
        <v>506</v>
      </c>
      <c r="D98" s="41" t="n">
        <f aca="false">D97-C75</f>
        <v>-1002.74</v>
      </c>
      <c r="E98" s="41" t="n">
        <f aca="false">E97-C75</f>
        <v>-830.508</v>
      </c>
      <c r="F98" s="41" t="n">
        <f aca="false">F97-C75</f>
        <v>-813.4536</v>
      </c>
      <c r="G98" s="41" t="n">
        <f aca="false">G97-C75</f>
        <v>-790.13712</v>
      </c>
      <c r="H98" s="41" t="n">
        <f aca="false">H97-C75</f>
        <v>-758.735904</v>
      </c>
      <c r="I98" s="41" t="n">
        <f aca="false">I97-C75</f>
        <v>-741.5830848</v>
      </c>
      <c r="J98" s="41" t="n">
        <f aca="false">J97-C75</f>
        <v>-720.99970176</v>
      </c>
      <c r="K98" s="41" t="n">
        <f aca="false">K97-C75</f>
        <v>-696.299642112</v>
      </c>
      <c r="L98" s="41" t="n">
        <f aca="false">L97-C75</f>
        <v>-666.6595705344</v>
      </c>
      <c r="M98" s="41" t="n">
        <f aca="false">M97-C75</f>
        <v>-631.09148464128</v>
      </c>
    </row>
    <row r="99" customFormat="false" ht="15" hidden="false" customHeight="false" outlineLevel="0" collapsed="false">
      <c r="A99" s="9" t="s">
        <v>507</v>
      </c>
      <c r="C99" s="36" t="n">
        <f aca="false">0</f>
        <v>0</v>
      </c>
      <c r="D99" s="36" t="n">
        <f aca="false">D85</f>
        <v>69</v>
      </c>
      <c r="E99" s="36" t="n">
        <f aca="false">E85</f>
        <v>69</v>
      </c>
      <c r="F99" s="36" t="n">
        <f aca="false">F85</f>
        <v>69</v>
      </c>
      <c r="G99" s="36" t="n">
        <f aca="false">G85</f>
        <v>69</v>
      </c>
      <c r="H99" s="36" t="n">
        <f aca="false">H85</f>
        <v>69</v>
      </c>
      <c r="I99" s="36" t="n">
        <f aca="false">I85</f>
        <v>69</v>
      </c>
      <c r="J99" s="36" t="n">
        <f aca="false">J85</f>
        <v>69</v>
      </c>
      <c r="K99" s="36" t="n">
        <f aca="false">K85</f>
        <v>69</v>
      </c>
      <c r="L99" s="36" t="n">
        <f aca="false">L85</f>
        <v>69</v>
      </c>
      <c r="M99" s="36" t="n">
        <f aca="false">M85</f>
        <v>69</v>
      </c>
    </row>
    <row r="100" customFormat="false" ht="15" hidden="false" customHeight="false" outlineLevel="0" collapsed="false">
      <c r="A100" s="9" t="s">
        <v>508</v>
      </c>
      <c r="D100" s="36" t="n">
        <f aca="false">D98+D99</f>
        <v>-933.74</v>
      </c>
      <c r="E100" s="36" t="n">
        <f aca="false">E98+E99</f>
        <v>-761.508</v>
      </c>
      <c r="F100" s="36" t="n">
        <f aca="false">F98+F99</f>
        <v>-744.4536</v>
      </c>
      <c r="G100" s="36" t="n">
        <f aca="false">G98+G99</f>
        <v>-721.13712</v>
      </c>
      <c r="H100" s="36" t="n">
        <f aca="false">H98+H99</f>
        <v>-689.735904</v>
      </c>
      <c r="I100" s="36" t="n">
        <f aca="false">I98+I99</f>
        <v>-672.5830848</v>
      </c>
      <c r="J100" s="36" t="n">
        <f aca="false">J98+J99</f>
        <v>-651.99970176</v>
      </c>
      <c r="K100" s="36" t="n">
        <f aca="false">K98+K99</f>
        <v>-627.299642112</v>
      </c>
      <c r="L100" s="36" t="n">
        <f aca="false">L98+L99</f>
        <v>-597.6595705344</v>
      </c>
      <c r="M100" s="36" t="n">
        <f aca="false">M98+M99</f>
        <v>-562.09148464128</v>
      </c>
    </row>
    <row r="101" customFormat="false" ht="15" hidden="false" customHeight="false" outlineLevel="0" collapsed="false">
      <c r="A101" s="9" t="s">
        <v>509</v>
      </c>
      <c r="D101" s="36" t="n">
        <f aca="false">IF(lv_mdr_in_deal=1,D100,D98)</f>
        <v>-1002.74</v>
      </c>
      <c r="E101" s="36" t="n">
        <f aca="false">IF(lv_mdr_in_deal=1,E100,E98)</f>
        <v>-830.508</v>
      </c>
      <c r="F101" s="36" t="n">
        <f aca="false">IF(lv_mdr_in_deal=1,F100,F98)</f>
        <v>-813.4536</v>
      </c>
      <c r="G101" s="36" t="n">
        <f aca="false">IF(lv_mdr_in_deal=1,G100,G98)</f>
        <v>-790.13712</v>
      </c>
      <c r="H101" s="36" t="n">
        <f aca="false">IF(lv_mdr_in_deal=1,H100,H98)</f>
        <v>-758.735904</v>
      </c>
      <c r="I101" s="36" t="n">
        <f aca="false">IF(lv_mdr_in_deal=1,I100,I98)</f>
        <v>-741.5830848</v>
      </c>
      <c r="J101" s="36" t="n">
        <f aca="false">IF(lv_mdr_in_deal=1,J100,J98)</f>
        <v>-720.99970176</v>
      </c>
      <c r="K101" s="36" t="n">
        <f aca="false">IF(lv_mdr_in_deal=1,K100,K98)</f>
        <v>-696.299642112</v>
      </c>
      <c r="L101" s="36" t="n">
        <f aca="false">IF(lv_mdr_in_deal=1,L100,L98)</f>
        <v>-666.6595705344</v>
      </c>
      <c r="M101" s="36" t="n">
        <f aca="false">IF(lv_mdr_in_deal=1,M100,M98)</f>
        <v>-631.09148464128</v>
      </c>
    </row>
    <row r="102" customFormat="false" ht="15" hidden="false" customHeight="false" outlineLevel="0" collapsed="false">
      <c r="A102" s="9" t="s">
        <v>510</v>
      </c>
      <c r="C102" s="36" t="n">
        <f aca="false">-lv_price</f>
        <v>-4000</v>
      </c>
      <c r="D102" s="36" t="n">
        <f aca="false">C102+D101</f>
        <v>-5002.74</v>
      </c>
      <c r="E102" s="36" t="n">
        <f aca="false">D102+E101</f>
        <v>-5833.248</v>
      </c>
      <c r="F102" s="36" t="n">
        <f aca="false">E102+F101</f>
        <v>-6646.7016</v>
      </c>
      <c r="G102" s="36" t="n">
        <f aca="false">F102+G101</f>
        <v>-7436.83872</v>
      </c>
      <c r="H102" s="36" t="n">
        <f aca="false">G102+H101</f>
        <v>-8195.574624</v>
      </c>
      <c r="I102" s="36" t="n">
        <f aca="false">H102+I101</f>
        <v>-8937.1577088</v>
      </c>
      <c r="J102" s="36" t="n">
        <f aca="false">I102+J101</f>
        <v>-9658.15741056</v>
      </c>
      <c r="K102" s="36" t="n">
        <f aca="false">J102+K101</f>
        <v>-10354.457052672</v>
      </c>
      <c r="L102" s="36" t="n">
        <f aca="false">K102+L101</f>
        <v>-11021.1166232064</v>
      </c>
      <c r="M102" s="36" t="n">
        <f aca="false">L102+M101</f>
        <v>-11652.2081078477</v>
      </c>
    </row>
    <row r="103" customFormat="false" ht="15" hidden="false" customHeight="false" outlineLevel="0" collapsed="false">
      <c r="A103" s="9" t="s">
        <v>511</v>
      </c>
      <c r="C103" s="43" t="n">
        <f aca="false">1</f>
        <v>1</v>
      </c>
      <c r="D103" s="43" t="n">
        <f aca="false">1/(1+lv_wacc)^D57</f>
        <v>0.884955752212389</v>
      </c>
      <c r="E103" s="43" t="n">
        <f aca="false">1/(1+lv_wacc)^E57</f>
        <v>0.783146683373796</v>
      </c>
      <c r="F103" s="43" t="n">
        <f aca="false">1/(1+lv_wacc)^F57</f>
        <v>0.693050162277696</v>
      </c>
      <c r="G103" s="43" t="n">
        <f aca="false">1/(1+lv_wacc)^G57</f>
        <v>0.613318727679377</v>
      </c>
      <c r="H103" s="43" t="n">
        <f aca="false">1/(1+lv_wacc)^H57</f>
        <v>0.542759935999449</v>
      </c>
      <c r="I103" s="43" t="n">
        <f aca="false">1/(1+lv_wacc)^I57</f>
        <v>0.48031852743314</v>
      </c>
      <c r="J103" s="43" t="n">
        <f aca="false">1/(1+lv_wacc)^J57</f>
        <v>0.425060643746142</v>
      </c>
      <c r="K103" s="43" t="n">
        <f aca="false">1/(1+lv_wacc)^K57</f>
        <v>0.37615986172225</v>
      </c>
      <c r="L103" s="43" t="n">
        <f aca="false">1/(1+lv_wacc)^L57</f>
        <v>0.332884833382522</v>
      </c>
      <c r="M103" s="43" t="n">
        <f aca="false">1/(1+lv_wacc)^M57</f>
        <v>0.294588348126126</v>
      </c>
    </row>
    <row r="104" customFormat="false" ht="15" hidden="false" customHeight="false" outlineLevel="0" collapsed="false">
      <c r="A104" s="9" t="s">
        <v>512</v>
      </c>
      <c r="C104" s="46" t="n">
        <f aca="false">99</f>
        <v>99</v>
      </c>
      <c r="D104" s="46" t="n">
        <f aca="false">IF(D88&gt;=0,D57,99)</f>
        <v>99</v>
      </c>
      <c r="E104" s="46" t="n">
        <f aca="false">IF(E88&gt;=0,E57,99)</f>
        <v>99</v>
      </c>
      <c r="F104" s="46" t="n">
        <f aca="false">IF(F88&gt;=0,F57,99)</f>
        <v>99</v>
      </c>
      <c r="G104" s="46" t="n">
        <f aca="false">IF(G88&gt;=0,G57,99)</f>
        <v>99</v>
      </c>
      <c r="H104" s="46" t="n">
        <f aca="false">IF(H88&gt;=0,H57,99)</f>
        <v>99</v>
      </c>
      <c r="I104" s="46" t="n">
        <f aca="false">IF(I88&gt;=0,I57,99)</f>
        <v>99</v>
      </c>
      <c r="J104" s="46" t="n">
        <f aca="false">IF(J88&gt;=0,J57,99)</f>
        <v>99</v>
      </c>
      <c r="K104" s="46" t="n">
        <f aca="false">IF(K88&gt;=0,K57,99)</f>
        <v>99</v>
      </c>
      <c r="L104" s="46" t="n">
        <f aca="false">IF(L88&gt;=0,L57,99)</f>
        <v>99</v>
      </c>
      <c r="M104" s="46" t="n">
        <f aca="false">IF(M88&gt;=0,M57,99)</f>
        <v>99</v>
      </c>
    </row>
    <row r="105" customFormat="false" ht="15" hidden="false" customHeight="false" outlineLevel="0" collapsed="false">
      <c r="A105" s="9" t="s">
        <v>513</v>
      </c>
      <c r="C105" s="46" t="n">
        <f aca="false">99</f>
        <v>99</v>
      </c>
      <c r="D105" s="46" t="n">
        <f aca="false">IF(D88+D85&gt;=0,D57,99)</f>
        <v>99</v>
      </c>
      <c r="E105" s="46" t="n">
        <f aca="false">IF(E88+E85&gt;=0,E57,99)</f>
        <v>99</v>
      </c>
      <c r="F105" s="46" t="n">
        <f aca="false">IF(F88+F85&gt;=0,F57,99)</f>
        <v>99</v>
      </c>
      <c r="G105" s="46" t="n">
        <f aca="false">IF(G88+G85&gt;=0,G57,99)</f>
        <v>99</v>
      </c>
      <c r="H105" s="46" t="n">
        <f aca="false">IF(H88+H85&gt;=0,H57,99)</f>
        <v>99</v>
      </c>
      <c r="I105" s="46" t="n">
        <f aca="false">IF(I88+I85&gt;=0,I57,99)</f>
        <v>99</v>
      </c>
      <c r="J105" s="46" t="n">
        <f aca="false">IF(J88+J85&gt;=0,J57,99)</f>
        <v>99</v>
      </c>
      <c r="K105" s="46" t="n">
        <f aca="false">IF(K88+K85&gt;=0,K57,99)</f>
        <v>99</v>
      </c>
      <c r="L105" s="46" t="n">
        <f aca="false">IF(L88+L85&gt;=0,L57,99)</f>
        <v>99</v>
      </c>
      <c r="M105" s="46" t="n">
        <f aca="false">IF(M88+M85&gt;=0,M57,99)</f>
        <v>99</v>
      </c>
    </row>
    <row r="106" customFormat="false" ht="15" hidden="false" customHeight="false" outlineLevel="0" collapsed="false">
      <c r="A106" s="9" t="s">
        <v>514</v>
      </c>
      <c r="C106" s="46" t="n">
        <f aca="false">99</f>
        <v>99</v>
      </c>
      <c r="D106" s="46" t="n">
        <f aca="false">IF(D98&gt;=0,D57,99)</f>
        <v>99</v>
      </c>
      <c r="E106" s="46" t="n">
        <f aca="false">IF(E98&gt;=0,E57,99)</f>
        <v>99</v>
      </c>
      <c r="F106" s="46" t="n">
        <f aca="false">IF(F98&gt;=0,F57,99)</f>
        <v>99</v>
      </c>
      <c r="G106" s="46" t="n">
        <f aca="false">IF(G98&gt;=0,G57,99)</f>
        <v>99</v>
      </c>
      <c r="H106" s="46" t="n">
        <f aca="false">IF(H98&gt;=0,H57,99)</f>
        <v>99</v>
      </c>
      <c r="I106" s="46" t="n">
        <f aca="false">IF(I98&gt;=0,I57,99)</f>
        <v>99</v>
      </c>
      <c r="J106" s="46" t="n">
        <f aca="false">IF(J98&gt;=0,J57,99)</f>
        <v>99</v>
      </c>
      <c r="K106" s="46" t="n">
        <f aca="false">IF(K98&gt;=0,K57,99)</f>
        <v>99</v>
      </c>
      <c r="L106" s="46" t="n">
        <f aca="false">IF(L98&gt;=0,L57,99)</f>
        <v>99</v>
      </c>
      <c r="M106" s="46" t="n">
        <f aca="false">IF(M98&gt;=0,M57,99)</f>
        <v>99</v>
      </c>
    </row>
    <row r="107" customFormat="false" ht="15" hidden="false" customHeight="false" outlineLevel="0" collapsed="false">
      <c r="A107" s="9" t="s">
        <v>515</v>
      </c>
      <c r="C107" s="46" t="n">
        <f aca="false">99</f>
        <v>99</v>
      </c>
      <c r="D107" s="46" t="n">
        <f aca="false">IF(D100&gt;=0,D57,99)</f>
        <v>99</v>
      </c>
      <c r="E107" s="46" t="n">
        <f aca="false">IF(E100&gt;=0,E57,99)</f>
        <v>99</v>
      </c>
      <c r="F107" s="46" t="n">
        <f aca="false">IF(F100&gt;=0,F57,99)</f>
        <v>99</v>
      </c>
      <c r="G107" s="46" t="n">
        <f aca="false">IF(G100&gt;=0,G57,99)</f>
        <v>99</v>
      </c>
      <c r="H107" s="46" t="n">
        <f aca="false">IF(H100&gt;=0,H57,99)</f>
        <v>99</v>
      </c>
      <c r="I107" s="46" t="n">
        <f aca="false">IF(I100&gt;=0,I57,99)</f>
        <v>99</v>
      </c>
      <c r="J107" s="46" t="n">
        <f aca="false">IF(J100&gt;=0,J57,99)</f>
        <v>99</v>
      </c>
      <c r="K107" s="46" t="n">
        <f aca="false">IF(K100&gt;=0,K57,99)</f>
        <v>99</v>
      </c>
      <c r="L107" s="46" t="n">
        <f aca="false">IF(L100&gt;=0,L57,99)</f>
        <v>99</v>
      </c>
      <c r="M107" s="46" t="n">
        <f aca="false">IF(M100&gt;=0,M57,99)</f>
        <v>99</v>
      </c>
    </row>
    <row r="108" customFormat="false" ht="15" hidden="false" customHeight="false" outlineLevel="0" collapsed="false">
      <c r="A108" s="9" t="s">
        <v>516</v>
      </c>
      <c r="C108" s="46" t="n">
        <f aca="false">99</f>
        <v>99</v>
      </c>
      <c r="D108" s="46" t="n">
        <f aca="false">IF(D102&gt;=0,D57,99)</f>
        <v>99</v>
      </c>
      <c r="E108" s="46" t="n">
        <f aca="false">IF(E102&gt;=0,E57,99)</f>
        <v>99</v>
      </c>
      <c r="F108" s="46" t="n">
        <f aca="false">IF(F102&gt;=0,F57,99)</f>
        <v>99</v>
      </c>
      <c r="G108" s="46" t="n">
        <f aca="false">IF(G102&gt;=0,G57,99)</f>
        <v>99</v>
      </c>
      <c r="H108" s="46" t="n">
        <f aca="false">IF(H102&gt;=0,H57,99)</f>
        <v>99</v>
      </c>
      <c r="I108" s="46" t="n">
        <f aca="false">IF(I102&gt;=0,I57,99)</f>
        <v>99</v>
      </c>
      <c r="J108" s="46" t="n">
        <f aca="false">IF(J102&gt;=0,J57,99)</f>
        <v>99</v>
      </c>
      <c r="K108" s="46" t="n">
        <f aca="false">IF(K102&gt;=0,K57,99)</f>
        <v>99</v>
      </c>
      <c r="L108" s="46" t="n">
        <f aca="false">IF(L102&gt;=0,L57,99)</f>
        <v>99</v>
      </c>
      <c r="M108" s="46" t="n">
        <f aca="false">IF(M102&gt;=0,M57,99)</f>
        <v>99</v>
      </c>
    </row>
    <row r="109" customFormat="false" ht="15" hidden="false" customHeight="false" outlineLevel="0" collapsed="false">
      <c r="A109" s="4" t="s">
        <v>517</v>
      </c>
      <c r="C109" s="23" t="n">
        <f aca="false">MIN(D104:M104)</f>
        <v>99</v>
      </c>
    </row>
    <row r="110" customFormat="false" ht="15" hidden="false" customHeight="false" outlineLevel="0" collapsed="false">
      <c r="A110" s="9" t="s">
        <v>518</v>
      </c>
      <c r="C110" s="46" t="n">
        <f aca="false">MIN(D105:M105)</f>
        <v>99</v>
      </c>
    </row>
    <row r="111" customFormat="false" ht="15" hidden="false" customHeight="false" outlineLevel="0" collapsed="false">
      <c r="A111" s="4" t="s">
        <v>519</v>
      </c>
      <c r="C111" s="23" t="n">
        <f aca="false">MIN(D106:M106)</f>
        <v>99</v>
      </c>
    </row>
    <row r="112" customFormat="false" ht="15" hidden="false" customHeight="false" outlineLevel="0" collapsed="false">
      <c r="A112" s="9" t="s">
        <v>520</v>
      </c>
      <c r="C112" s="46" t="n">
        <f aca="false">MIN(D107:M107)</f>
        <v>99</v>
      </c>
    </row>
    <row r="113" customFormat="false" ht="15" hidden="false" customHeight="false" outlineLevel="0" collapsed="false">
      <c r="A113" s="9" t="s">
        <v>521</v>
      </c>
      <c r="C113" s="46" t="n">
        <f aca="false">MIN(D108:M108)</f>
        <v>99</v>
      </c>
    </row>
    <row r="114" customFormat="false" ht="15" hidden="false" customHeight="false" outlineLevel="0" collapsed="false">
      <c r="A114" s="4" t="s">
        <v>522</v>
      </c>
      <c r="C114" s="15" t="n">
        <f aca="false">M102</f>
        <v>-11652.2081078477</v>
      </c>
    </row>
    <row r="115" customFormat="false" ht="15" hidden="false" customHeight="false" outlineLevel="0" collapsed="false">
      <c r="A115" s="9" t="s">
        <v>523</v>
      </c>
      <c r="C115" s="36" t="n">
        <f aca="false">SUMPRODUCT(D70:M70,D103:M103)</f>
        <v>393.6661980332</v>
      </c>
    </row>
    <row r="116" customFormat="false" ht="15" hidden="false" customHeight="false" outlineLevel="0" collapsed="false">
      <c r="A116" s="9" t="s">
        <v>524</v>
      </c>
      <c r="C116" s="36" t="n">
        <f aca="false">M70*(1+a_tg)/(lv_wacc-a_tg)</f>
        <v>2800.9867640832</v>
      </c>
    </row>
    <row r="117" customFormat="false" ht="15" hidden="false" customHeight="false" outlineLevel="0" collapsed="false">
      <c r="A117" s="9" t="s">
        <v>314</v>
      </c>
      <c r="C117" s="36" t="n">
        <f aca="false">C116*M103</f>
        <v>825.138063954411</v>
      </c>
    </row>
    <row r="118" customFormat="false" ht="15" hidden="false" customHeight="false" outlineLevel="0" collapsed="false">
      <c r="A118" s="4" t="s">
        <v>525</v>
      </c>
      <c r="C118" s="15" t="n">
        <f aca="false">C115+C117</f>
        <v>1218.80426198761</v>
      </c>
    </row>
    <row r="119" customFormat="false" ht="15" hidden="false" customHeight="false" outlineLevel="0" collapsed="false">
      <c r="A119" s="9" t="s">
        <v>526</v>
      </c>
      <c r="C119" s="32" t="n">
        <f aca="false">SUMPRODUCT(D80:M80,D103:M103)-a_recovery*M82*M103</f>
        <v>4069.68260696466</v>
      </c>
    </row>
    <row r="120" customFormat="false" ht="15" hidden="false" customHeight="false" outlineLevel="0" collapsed="false">
      <c r="A120" s="9" t="s">
        <v>527</v>
      </c>
      <c r="C120" s="36" t="n">
        <f aca="false">SUMPRODUCT(D79:M79,D103:M103)*(1-a_tax)</f>
        <v>0</v>
      </c>
    </row>
    <row r="121" customFormat="false" ht="15" hidden="false" customHeight="false" outlineLevel="0" collapsed="false">
      <c r="A121" s="9" t="s">
        <v>528</v>
      </c>
      <c r="C121" s="36" t="n">
        <f aca="false">C78*D103</f>
        <v>141.592920353982</v>
      </c>
    </row>
    <row r="122" customFormat="false" ht="15" hidden="false" customHeight="false" outlineLevel="0" collapsed="false">
      <c r="A122" s="4" t="s">
        <v>529</v>
      </c>
      <c r="C122" s="20" t="n">
        <f aca="false">C118+C120-C119-C121-lv_price</f>
        <v>-6992.47126533103</v>
      </c>
    </row>
    <row r="123" customFormat="false" ht="15" hidden="false" customHeight="false" outlineLevel="0" collapsed="false">
      <c r="A123" s="9" t="s">
        <v>530</v>
      </c>
      <c r="C123" s="32" t="n">
        <f aca="false">C122+SUMPRODUCT(D99:M99,D103:M103)</f>
        <v>-6618.06046549029</v>
      </c>
    </row>
    <row r="124" customFormat="false" ht="15" hidden="false" customHeight="false" outlineLevel="0" collapsed="false">
      <c r="A124" s="4" t="s">
        <v>531</v>
      </c>
      <c r="C124" s="59" t="n">
        <f aca="false">lv_price/D60</f>
        <v>15.1515151515152</v>
      </c>
    </row>
    <row r="125" customFormat="false" ht="15" hidden="false" customHeight="false" outlineLevel="0" collapsed="false">
      <c r="A125" s="9" t="s">
        <v>532</v>
      </c>
      <c r="C125" s="17" t="n">
        <f aca="false">(lv_price+C119)/D60</f>
        <v>30.5669795718358</v>
      </c>
    </row>
    <row r="126" customFormat="false" ht="15" hidden="false" customHeight="false" outlineLevel="0" collapsed="false">
      <c r="A126" s="4" t="s">
        <v>533</v>
      </c>
      <c r="C126" s="15" t="n">
        <f aca="false">(C122+C119)/SUMPRODUCT(D103:M103)</f>
        <v>-538.639423630564</v>
      </c>
    </row>
    <row r="127" customFormat="false" ht="15" hidden="false" customHeight="false" outlineLevel="0" collapsed="false">
      <c r="A127" s="4" t="s">
        <v>534</v>
      </c>
      <c r="C127" s="25" t="n">
        <f aca="false">D90</f>
        <v>5.98948080708662</v>
      </c>
    </row>
    <row r="128" customFormat="false" ht="15" hidden="false" customHeight="false" outlineLevel="0" collapsed="false">
      <c r="A128" s="9" t="s">
        <v>535</v>
      </c>
      <c r="C128" s="50" t="n">
        <f aca="false">F90</f>
        <v>5.41668307086614</v>
      </c>
    </row>
    <row r="129" customFormat="false" ht="15" hidden="false" customHeight="false" outlineLevel="0" collapsed="false">
      <c r="A129" s="4" t="s">
        <v>536</v>
      </c>
      <c r="C129" s="20" t="n">
        <f aca="false">D98</f>
        <v>-1002.74</v>
      </c>
    </row>
    <row r="130" customFormat="false" ht="15" hidden="false" customHeight="false" outlineLevel="0" collapsed="false">
      <c r="A130" s="9" t="s">
        <v>537</v>
      </c>
      <c r="C130" s="32" t="n">
        <f aca="false">cf_cash-lv_mix_cash-C78</f>
        <v>6640</v>
      </c>
    </row>
    <row r="131" customFormat="false" ht="15" hidden="false" customHeight="false" outlineLevel="0" collapsed="false">
      <c r="A131" s="9" t="s">
        <v>538</v>
      </c>
      <c r="C131" s="32" t="n">
        <f aca="false">cf_debt+lv_mix_debt</f>
        <v>350</v>
      </c>
    </row>
    <row r="132" customFormat="false" ht="15" hidden="false" customHeight="false" outlineLevel="0" collapsed="false">
      <c r="A132" s="9" t="s">
        <v>539</v>
      </c>
      <c r="C132" s="34" t="n">
        <f aca="false">C131/cf_ebitda</f>
        <v>0.546875</v>
      </c>
    </row>
    <row r="133" customFormat="false" ht="15" hidden="false" customHeight="false" outlineLevel="0" collapsed="false">
      <c r="A133" s="9" t="s">
        <v>540</v>
      </c>
      <c r="C133" s="32" t="n">
        <f aca="false">C130+SUM(D101:F101)+3*cf_pat</f>
        <v>5433.2984</v>
      </c>
    </row>
    <row r="135" customFormat="false" ht="15" hidden="false" customHeight="false" outlineLevel="0" collapsed="false">
      <c r="A135" s="7" t="s">
        <v>639</v>
      </c>
      <c r="B135" s="8"/>
      <c r="C135" s="8"/>
      <c r="D135" s="8"/>
      <c r="E135" s="8"/>
      <c r="F135" s="8"/>
      <c r="G135" s="8"/>
      <c r="H135" s="8"/>
      <c r="I135" s="8"/>
      <c r="J135" s="8"/>
      <c r="K135" s="8"/>
      <c r="L135" s="8"/>
      <c r="M135" s="8"/>
      <c r="N135" s="8"/>
    </row>
    <row r="136" customFormat="false" ht="15" hidden="false" customHeight="false" outlineLevel="0" collapsed="false">
      <c r="A136" s="4" t="s">
        <v>284</v>
      </c>
      <c r="C136" s="39" t="n">
        <v>0</v>
      </c>
      <c r="D136" s="39" t="n">
        <v>1</v>
      </c>
      <c r="E136" s="39" t="n">
        <v>2</v>
      </c>
      <c r="F136" s="39" t="n">
        <v>3</v>
      </c>
      <c r="G136" s="39" t="n">
        <v>4</v>
      </c>
      <c r="H136" s="39" t="n">
        <v>5</v>
      </c>
      <c r="I136" s="39" t="n">
        <v>6</v>
      </c>
      <c r="J136" s="39" t="n">
        <v>7</v>
      </c>
      <c r="K136" s="39" t="n">
        <v>8</v>
      </c>
      <c r="L136" s="39" t="n">
        <v>9</v>
      </c>
      <c r="M136" s="39" t="n">
        <v>10</v>
      </c>
    </row>
    <row r="137" customFormat="false" ht="15" hidden="false" customHeight="false" outlineLevel="0" collapsed="false">
      <c r="A137" s="9" t="s">
        <v>285</v>
      </c>
      <c r="C137" s="40" t="n">
        <f aca="false">cf_arr</f>
        <v>220</v>
      </c>
      <c r="D137" s="36" t="n">
        <f aca="false">C137*(1+lv_g)</f>
        <v>264</v>
      </c>
      <c r="E137" s="36" t="n">
        <f aca="false">D137*(1+lv_g)</f>
        <v>316.8</v>
      </c>
      <c r="F137" s="36" t="n">
        <f aca="false">E137*(1+lv_g)</f>
        <v>380.16</v>
      </c>
      <c r="G137" s="36" t="n">
        <f aca="false">F137*(1+lv_g)</f>
        <v>456.192</v>
      </c>
      <c r="H137" s="36" t="n">
        <f aca="false">G137*(1+lv_g)</f>
        <v>547.4304</v>
      </c>
      <c r="I137" s="36" t="n">
        <f aca="false">H137*(1+lv_g)</f>
        <v>656.91648</v>
      </c>
      <c r="J137" s="36" t="n">
        <f aca="false">I137*(1+lv_g)</f>
        <v>788.299776</v>
      </c>
      <c r="K137" s="36" t="n">
        <f aca="false">J137*(1+lv_g)</f>
        <v>945.9597312</v>
      </c>
      <c r="L137" s="36" t="n">
        <f aca="false">K137*(1+lv_g)</f>
        <v>1135.15167744</v>
      </c>
      <c r="M137" s="36" t="n">
        <f aca="false">L137*(1+lv_g)</f>
        <v>1362.182012928</v>
      </c>
    </row>
    <row r="138" customFormat="false" ht="15" hidden="false" customHeight="false" outlineLevel="0" collapsed="false">
      <c r="A138" s="9" t="s">
        <v>286</v>
      </c>
      <c r="C138" s="18" t="n">
        <f aca="false">1</f>
        <v>1</v>
      </c>
      <c r="D138" s="18" t="n">
        <f aca="false">IF(D136&gt;=a_churn_year,1-Churn!$A$13,1)</f>
        <v>1</v>
      </c>
      <c r="E138" s="18" t="n">
        <f aca="false">IF(E136&gt;=a_churn_year,1-Churn!$A$13,1)</f>
        <v>1</v>
      </c>
      <c r="F138" s="18" t="n">
        <f aca="false">IF(F136&gt;=a_churn_year,1-Churn!$A$13,1)</f>
        <v>1</v>
      </c>
      <c r="G138" s="18" t="n">
        <f aca="false">IF(G136&gt;=a_churn_year,1-Churn!$A$13,1)</f>
        <v>1</v>
      </c>
      <c r="H138" s="18" t="n">
        <f aca="false">IF(H136&gt;=a_churn_year,1-Churn!$A$13,1)</f>
        <v>1</v>
      </c>
      <c r="I138" s="18" t="n">
        <f aca="false">IF(I136&gt;=a_churn_year,1-Churn!$A$13,1)</f>
        <v>1</v>
      </c>
      <c r="J138" s="18" t="n">
        <f aca="false">IF(J136&gt;=a_churn_year,1-Churn!$A$13,1)</f>
        <v>1</v>
      </c>
      <c r="K138" s="18" t="n">
        <f aca="false">IF(K136&gt;=a_churn_year,1-Churn!$A$13,1)</f>
        <v>1</v>
      </c>
      <c r="L138" s="18" t="n">
        <f aca="false">IF(L136&gt;=a_churn_year,1-Churn!$A$13,1)</f>
        <v>1</v>
      </c>
      <c r="M138" s="18" t="n">
        <f aca="false">IF(M136&gt;=a_churn_year,1-Churn!$A$13,1)</f>
        <v>1</v>
      </c>
    </row>
    <row r="139" customFormat="false" ht="15" hidden="false" customHeight="false" outlineLevel="0" collapsed="false">
      <c r="A139" s="4" t="s">
        <v>287</v>
      </c>
      <c r="C139" s="41" t="n">
        <f aca="false">C137*C138</f>
        <v>220</v>
      </c>
      <c r="D139" s="41" t="n">
        <f aca="false">D137*D138</f>
        <v>264</v>
      </c>
      <c r="E139" s="41" t="n">
        <f aca="false">E137*E138</f>
        <v>316.8</v>
      </c>
      <c r="F139" s="41" t="n">
        <f aca="false">F137*F138</f>
        <v>380.16</v>
      </c>
      <c r="G139" s="41" t="n">
        <f aca="false">G137*G138</f>
        <v>456.192</v>
      </c>
      <c r="H139" s="41" t="n">
        <f aca="false">H137*H138</f>
        <v>547.4304</v>
      </c>
      <c r="I139" s="41" t="n">
        <f aca="false">I137*I138</f>
        <v>656.91648</v>
      </c>
      <c r="J139" s="41" t="n">
        <f aca="false">J137*J138</f>
        <v>788.299776</v>
      </c>
      <c r="K139" s="41" t="n">
        <f aca="false">K137*K138</f>
        <v>945.9597312</v>
      </c>
      <c r="L139" s="41" t="n">
        <f aca="false">L137*L138</f>
        <v>1135.15167744</v>
      </c>
      <c r="M139" s="41" t="n">
        <f aca="false">M137*M138</f>
        <v>1362.182012928</v>
      </c>
    </row>
    <row r="140" customFormat="false" ht="15" hidden="false" customHeight="false" outlineLevel="0" collapsed="false">
      <c r="A140" s="9" t="s">
        <v>288</v>
      </c>
      <c r="C140" s="18" t="n">
        <f aca="false">MIN(a_m0+a_mstep*C136,a_mcap)</f>
        <v>0</v>
      </c>
      <c r="D140" s="18" t="n">
        <f aca="false">MIN(a_m0+a_mstep*D136,a_mcap)</f>
        <v>0.05</v>
      </c>
      <c r="E140" s="18" t="n">
        <f aca="false">MIN(a_m0+a_mstep*E136,a_mcap)</f>
        <v>0.1</v>
      </c>
      <c r="F140" s="18" t="n">
        <f aca="false">MIN(a_m0+a_mstep*F136,a_mcap)</f>
        <v>0.15</v>
      </c>
      <c r="G140" s="18" t="n">
        <f aca="false">MIN(a_m0+a_mstep*G136,a_mcap)</f>
        <v>0.2</v>
      </c>
      <c r="H140" s="18" t="n">
        <f aca="false">MIN(a_m0+a_mstep*H136,a_mcap)</f>
        <v>0.25</v>
      </c>
      <c r="I140" s="18" t="n">
        <f aca="false">MIN(a_m0+a_mstep*I136,a_mcap)</f>
        <v>0.25</v>
      </c>
      <c r="J140" s="18" t="n">
        <f aca="false">MIN(a_m0+a_mstep*J136,a_mcap)</f>
        <v>0.25</v>
      </c>
      <c r="K140" s="18" t="n">
        <f aca="false">MIN(a_m0+a_mstep*K136,a_mcap)</f>
        <v>0.25</v>
      </c>
      <c r="L140" s="18" t="n">
        <f aca="false">MIN(a_m0+a_mstep*L136,a_mcap)</f>
        <v>0.25</v>
      </c>
      <c r="M140" s="18" t="n">
        <f aca="false">MIN(a_m0+a_mstep*M136,a_mcap)</f>
        <v>0.25</v>
      </c>
    </row>
    <row r="141" customFormat="false" ht="15" hidden="false" customHeight="false" outlineLevel="0" collapsed="false">
      <c r="A141" s="9" t="s">
        <v>289</v>
      </c>
      <c r="C141" s="36" t="n">
        <f aca="false">IF(C136=a_churn_year,a_sticky*(C137-C139)*(1-C140),0)</f>
        <v>0</v>
      </c>
      <c r="D141" s="36" t="n">
        <f aca="false">IF(D136=a_churn_year,a_sticky*(D137-D139)*(1-D140),0)</f>
        <v>0</v>
      </c>
      <c r="E141" s="36" t="n">
        <f aca="false">IF(E136=a_churn_year,a_sticky*(E137-E139)*(1-E140),0)</f>
        <v>0</v>
      </c>
      <c r="F141" s="36" t="n">
        <f aca="false">IF(F136=a_churn_year,a_sticky*(F137-F139)*(1-F140),0)</f>
        <v>0</v>
      </c>
      <c r="G141" s="36" t="n">
        <f aca="false">IF(G136=a_churn_year,a_sticky*(G137-G139)*(1-G140),0)</f>
        <v>0</v>
      </c>
      <c r="H141" s="36" t="n">
        <f aca="false">IF(H136=a_churn_year,a_sticky*(H137-H139)*(1-H140),0)</f>
        <v>0</v>
      </c>
      <c r="I141" s="36" t="n">
        <f aca="false">IF(I136=a_churn_year,a_sticky*(I137-I139)*(1-I140),0)</f>
        <v>0</v>
      </c>
      <c r="J141" s="36" t="n">
        <f aca="false">IF(J136=a_churn_year,a_sticky*(J137-J139)*(1-J140),0)</f>
        <v>0</v>
      </c>
      <c r="K141" s="36" t="n">
        <f aca="false">IF(K136=a_churn_year,a_sticky*(K137-K139)*(1-K140),0)</f>
        <v>0</v>
      </c>
      <c r="L141" s="36" t="n">
        <f aca="false">IF(L136=a_churn_year,a_sticky*(L137-L139)*(1-L140),0)</f>
        <v>0</v>
      </c>
      <c r="M141" s="36" t="n">
        <f aca="false">IF(M136=a_churn_year,a_sticky*(M137-M139)*(1-M140),0)</f>
        <v>0</v>
      </c>
    </row>
    <row r="142" customFormat="false" ht="15" hidden="false" customHeight="false" outlineLevel="0" collapsed="false">
      <c r="A142" s="4" t="s">
        <v>290</v>
      </c>
      <c r="C142" s="41" t="n">
        <f aca="false">C139*C140-C141</f>
        <v>0</v>
      </c>
      <c r="D142" s="41" t="n">
        <f aca="false">D139*D140-D141</f>
        <v>13.2</v>
      </c>
      <c r="E142" s="41" t="n">
        <f aca="false">E139*E140-E141</f>
        <v>31.68</v>
      </c>
      <c r="F142" s="41" t="n">
        <f aca="false">F139*F140-F141</f>
        <v>57.024</v>
      </c>
      <c r="G142" s="41" t="n">
        <f aca="false">G139*G140-G141</f>
        <v>91.2384</v>
      </c>
      <c r="H142" s="41" t="n">
        <f aca="false">H139*H140-H141</f>
        <v>136.8576</v>
      </c>
      <c r="I142" s="41" t="n">
        <f aca="false">I139*I140-I141</f>
        <v>164.22912</v>
      </c>
      <c r="J142" s="41" t="n">
        <f aca="false">J139*J140-J141</f>
        <v>197.074944</v>
      </c>
      <c r="K142" s="41" t="n">
        <f aca="false">K139*K140-K141</f>
        <v>236.4899328</v>
      </c>
      <c r="L142" s="41" t="n">
        <f aca="false">L139*L140-L141</f>
        <v>283.78791936</v>
      </c>
      <c r="M142" s="41" t="n">
        <f aca="false">M139*M140-M141</f>
        <v>340.545503232</v>
      </c>
    </row>
    <row r="143" customFormat="false" ht="15" hidden="false" customHeight="false" outlineLevel="0" collapsed="false">
      <c r="A143" s="9" t="s">
        <v>291</v>
      </c>
      <c r="C143" s="36" t="n">
        <f aca="false">C139*a_da</f>
        <v>6.6</v>
      </c>
      <c r="D143" s="36" t="n">
        <f aca="false">D139*a_da</f>
        <v>7.92</v>
      </c>
      <c r="E143" s="36" t="n">
        <f aca="false">E139*a_da</f>
        <v>9.504</v>
      </c>
      <c r="F143" s="36" t="n">
        <f aca="false">F139*a_da</f>
        <v>11.4048</v>
      </c>
      <c r="G143" s="36" t="n">
        <f aca="false">G139*a_da</f>
        <v>13.68576</v>
      </c>
      <c r="H143" s="36" t="n">
        <f aca="false">H139*a_da</f>
        <v>16.422912</v>
      </c>
      <c r="I143" s="36" t="n">
        <f aca="false">I139*a_da</f>
        <v>19.7074944</v>
      </c>
      <c r="J143" s="36" t="n">
        <f aca="false">J139*a_da</f>
        <v>23.64899328</v>
      </c>
      <c r="K143" s="36" t="n">
        <f aca="false">K139*a_da</f>
        <v>28.378791936</v>
      </c>
      <c r="L143" s="36" t="n">
        <f aca="false">L139*a_da</f>
        <v>34.0545503232</v>
      </c>
      <c r="M143" s="36" t="n">
        <f aca="false">M139*a_da</f>
        <v>40.86546038784</v>
      </c>
    </row>
    <row r="144" customFormat="false" ht="15" hidden="false" customHeight="false" outlineLevel="0" collapsed="false">
      <c r="A144" s="9" t="s">
        <v>292</v>
      </c>
      <c r="C144" s="36" t="n">
        <f aca="false">C142-C143</f>
        <v>-6.6</v>
      </c>
      <c r="D144" s="36" t="n">
        <f aca="false">D142-D143</f>
        <v>5.28</v>
      </c>
      <c r="E144" s="36" t="n">
        <f aca="false">E142-E143</f>
        <v>22.176</v>
      </c>
      <c r="F144" s="36" t="n">
        <f aca="false">F142-F143</f>
        <v>45.6192</v>
      </c>
      <c r="G144" s="36" t="n">
        <f aca="false">G142-G143</f>
        <v>77.55264</v>
      </c>
      <c r="H144" s="36" t="n">
        <f aca="false">H142-H143</f>
        <v>120.434688</v>
      </c>
      <c r="I144" s="36" t="n">
        <f aca="false">I142-I143</f>
        <v>144.5216256</v>
      </c>
      <c r="J144" s="36" t="n">
        <f aca="false">J142-J143</f>
        <v>173.42595072</v>
      </c>
      <c r="K144" s="36" t="n">
        <f aca="false">K142-K143</f>
        <v>208.111140864</v>
      </c>
      <c r="L144" s="36" t="n">
        <f aca="false">L142-L143</f>
        <v>249.7333690368</v>
      </c>
      <c r="M144" s="36" t="n">
        <f aca="false">M142-M143</f>
        <v>299.68004284416</v>
      </c>
    </row>
    <row r="145" customFormat="false" ht="15" hidden="false" customHeight="false" outlineLevel="0" collapsed="false">
      <c r="A145" s="9" t="s">
        <v>293</v>
      </c>
      <c r="C145" s="36" t="n">
        <f aca="false">MAX(0,C144)*a_tax</f>
        <v>0</v>
      </c>
      <c r="D145" s="36" t="n">
        <f aca="false">MAX(0,D144)*a_tax</f>
        <v>1.32</v>
      </c>
      <c r="E145" s="36" t="n">
        <f aca="false">MAX(0,E144)*a_tax</f>
        <v>5.544</v>
      </c>
      <c r="F145" s="36" t="n">
        <f aca="false">MAX(0,F144)*a_tax</f>
        <v>11.4048</v>
      </c>
      <c r="G145" s="36" t="n">
        <f aca="false">MAX(0,G144)*a_tax</f>
        <v>19.38816</v>
      </c>
      <c r="H145" s="36" t="n">
        <f aca="false">MAX(0,H144)*a_tax</f>
        <v>30.108672</v>
      </c>
      <c r="I145" s="36" t="n">
        <f aca="false">MAX(0,I144)*a_tax</f>
        <v>36.1304064</v>
      </c>
      <c r="J145" s="36" t="n">
        <f aca="false">MAX(0,J144)*a_tax</f>
        <v>43.35648768</v>
      </c>
      <c r="K145" s="36" t="n">
        <f aca="false">MAX(0,K144)*a_tax</f>
        <v>52.027785216</v>
      </c>
      <c r="L145" s="36" t="n">
        <f aca="false">MAX(0,L144)*a_tax</f>
        <v>62.4333422592</v>
      </c>
      <c r="M145" s="36" t="n">
        <f aca="false">MAX(0,M144)*a_tax</f>
        <v>74.92001071104</v>
      </c>
    </row>
    <row r="146" customFormat="false" ht="15" hidden="false" customHeight="false" outlineLevel="0" collapsed="false">
      <c r="A146" s="4" t="s">
        <v>294</v>
      </c>
      <c r="C146" s="42" t="n">
        <f aca="false">cf_lim_pat</f>
        <v>0</v>
      </c>
      <c r="D146" s="41" t="n">
        <f aca="false">D144-D145</f>
        <v>3.96</v>
      </c>
      <c r="E146" s="41" t="n">
        <f aca="false">E144-E145</f>
        <v>16.632</v>
      </c>
      <c r="F146" s="41" t="n">
        <f aca="false">F144-F145</f>
        <v>34.2144</v>
      </c>
      <c r="G146" s="41" t="n">
        <f aca="false">G144-G145</f>
        <v>58.16448</v>
      </c>
      <c r="H146" s="41" t="n">
        <f aca="false">H144-H145</f>
        <v>90.326016</v>
      </c>
      <c r="I146" s="41" t="n">
        <f aca="false">I144-I145</f>
        <v>108.3912192</v>
      </c>
      <c r="J146" s="41" t="n">
        <f aca="false">J144-J145</f>
        <v>130.06946304</v>
      </c>
      <c r="K146" s="41" t="n">
        <f aca="false">K144-K145</f>
        <v>156.083355648</v>
      </c>
      <c r="L146" s="41" t="n">
        <f aca="false">L144-L145</f>
        <v>187.3000267776</v>
      </c>
      <c r="M146" s="41" t="n">
        <f aca="false">M144-M145</f>
        <v>224.76003213312</v>
      </c>
    </row>
    <row r="147" customFormat="false" ht="15" hidden="false" customHeight="false" outlineLevel="0" collapsed="false">
      <c r="A147" s="9" t="s">
        <v>295</v>
      </c>
      <c r="C147" s="36" t="n">
        <f aca="false">C139*a_capex</f>
        <v>6.6</v>
      </c>
      <c r="D147" s="36" t="n">
        <f aca="false">D139*a_capex</f>
        <v>7.92</v>
      </c>
      <c r="E147" s="36" t="n">
        <f aca="false">E139*a_capex</f>
        <v>9.504</v>
      </c>
      <c r="F147" s="36" t="n">
        <f aca="false">F139*a_capex</f>
        <v>11.4048</v>
      </c>
      <c r="G147" s="36" t="n">
        <f aca="false">G139*a_capex</f>
        <v>13.68576</v>
      </c>
      <c r="H147" s="36" t="n">
        <f aca="false">H139*a_capex</f>
        <v>16.422912</v>
      </c>
      <c r="I147" s="36" t="n">
        <f aca="false">I139*a_capex</f>
        <v>19.7074944</v>
      </c>
      <c r="J147" s="36" t="n">
        <f aca="false">J139*a_capex</f>
        <v>23.64899328</v>
      </c>
      <c r="K147" s="36" t="n">
        <f aca="false">K139*a_capex</f>
        <v>28.378791936</v>
      </c>
      <c r="L147" s="36" t="n">
        <f aca="false">L139*a_capex</f>
        <v>34.0545503232</v>
      </c>
      <c r="M147" s="36" t="n">
        <f aca="false">M139*a_capex</f>
        <v>40.86546038784</v>
      </c>
    </row>
    <row r="148" customFormat="false" ht="15" hidden="false" customHeight="false" outlineLevel="0" collapsed="false">
      <c r="A148" s="9" t="s">
        <v>296</v>
      </c>
      <c r="C148" s="36" t="n">
        <f aca="false">0</f>
        <v>0</v>
      </c>
      <c r="D148" s="36" t="n">
        <f aca="false">a_wc*(D139-C139)</f>
        <v>2.2</v>
      </c>
      <c r="E148" s="36" t="n">
        <f aca="false">a_wc*(E139-D139)</f>
        <v>2.64</v>
      </c>
      <c r="F148" s="36" t="n">
        <f aca="false">a_wc*(F139-E139)</f>
        <v>3.168</v>
      </c>
      <c r="G148" s="36" t="n">
        <f aca="false">a_wc*(G139-F139)</f>
        <v>3.8016</v>
      </c>
      <c r="H148" s="36" t="n">
        <f aca="false">a_wc*(H139-G139)</f>
        <v>4.56192</v>
      </c>
      <c r="I148" s="36" t="n">
        <f aca="false">a_wc*(I139-H139)</f>
        <v>5.474304</v>
      </c>
      <c r="J148" s="36" t="n">
        <f aca="false">a_wc*(J139-I139)</f>
        <v>6.5691648</v>
      </c>
      <c r="K148" s="36" t="n">
        <f aca="false">a_wc*(K139-J139)</f>
        <v>7.88299776</v>
      </c>
      <c r="L148" s="36" t="n">
        <f aca="false">a_wc*(L139-K139)</f>
        <v>9.45959731199999</v>
      </c>
      <c r="M148" s="36" t="n">
        <f aca="false">a_wc*(M139-L139)</f>
        <v>11.3515167744</v>
      </c>
    </row>
    <row r="149" customFormat="false" ht="15" hidden="false" customHeight="false" outlineLevel="0" collapsed="false">
      <c r="A149" s="4" t="s">
        <v>297</v>
      </c>
      <c r="C149" s="36" t="n">
        <f aca="false">0</f>
        <v>0</v>
      </c>
      <c r="D149" s="41" t="n">
        <f aca="false">D146+D143-D147-D148</f>
        <v>1.76</v>
      </c>
      <c r="E149" s="41" t="n">
        <f aca="false">E146+E143-E147-E148</f>
        <v>13.992</v>
      </c>
      <c r="F149" s="41" t="n">
        <f aca="false">F146+F143-F147-F148</f>
        <v>31.0464</v>
      </c>
      <c r="G149" s="41" t="n">
        <f aca="false">G146+G143-G147-G148</f>
        <v>54.36288</v>
      </c>
      <c r="H149" s="41" t="n">
        <f aca="false">H146+H143-H147-H148</f>
        <v>85.764096</v>
      </c>
      <c r="I149" s="41" t="n">
        <f aca="false">I146+I143-I147-I148</f>
        <v>102.9169152</v>
      </c>
      <c r="J149" s="41" t="n">
        <f aca="false">J146+J143-J147-J148</f>
        <v>123.50029824</v>
      </c>
      <c r="K149" s="41" t="n">
        <f aca="false">K146+K143-K147-K148</f>
        <v>148.200357888</v>
      </c>
      <c r="L149" s="41" t="n">
        <f aca="false">L146+L143-L147-L148</f>
        <v>177.8404294656</v>
      </c>
      <c r="M149" s="41" t="n">
        <f aca="false">M146+M143-M147-M148</f>
        <v>213.40851535872</v>
      </c>
    </row>
    <row r="151" customFormat="false" ht="15" hidden="false" customHeight="false" outlineLevel="0" collapsed="false">
      <c r="A151" s="7" t="s">
        <v>640</v>
      </c>
      <c r="B151" s="8"/>
      <c r="C151" s="8"/>
      <c r="D151" s="8"/>
      <c r="E151" s="8"/>
      <c r="F151" s="8"/>
      <c r="G151" s="8"/>
      <c r="H151" s="8"/>
      <c r="I151" s="8"/>
      <c r="J151" s="8"/>
      <c r="K151" s="8"/>
      <c r="L151" s="8"/>
      <c r="M151" s="8"/>
      <c r="N151" s="8"/>
    </row>
    <row r="152" customFormat="false" ht="15" hidden="false" customHeight="false" outlineLevel="0" collapsed="false">
      <c r="A152" s="9" t="s">
        <v>482</v>
      </c>
      <c r="C152" s="35" t="n">
        <f aca="false">lv_mix_eq/(c_price*(1-a_issue_disc))</f>
        <v>1.024</v>
      </c>
    </row>
    <row r="153" customFormat="false" ht="15" hidden="false" customHeight="false" outlineLevel="0" collapsed="false">
      <c r="A153" s="9" t="s">
        <v>449</v>
      </c>
      <c r="C153" s="35" t="n">
        <f aca="false">cf_shares+C152</f>
        <v>65.024</v>
      </c>
    </row>
    <row r="154" customFormat="false" ht="15" hidden="false" customHeight="false" outlineLevel="0" collapsed="false">
      <c r="A154" s="9" t="s">
        <v>483</v>
      </c>
      <c r="C154" s="36" t="n">
        <f aca="false">lv_mix_cash*a_yield*(1-a_tax)+lv_mix_debt*a_kd*(1-a_tax)</f>
        <v>94.5</v>
      </c>
    </row>
    <row r="155" customFormat="false" ht="15" hidden="false" customHeight="false" outlineLevel="0" collapsed="false">
      <c r="A155" s="9" t="s">
        <v>484</v>
      </c>
      <c r="C155" s="36" t="n">
        <f aca="false">lv_price*a_ppa_share/a_ppa_life*(1-a_tax)</f>
        <v>93.75</v>
      </c>
    </row>
    <row r="156" customFormat="false" ht="15" hidden="false" customHeight="false" outlineLevel="0" collapsed="false">
      <c r="A156" s="9" t="s">
        <v>485</v>
      </c>
      <c r="C156" s="36" t="n">
        <f aca="false">a_ppa_on*C155</f>
        <v>0</v>
      </c>
    </row>
    <row r="157" customFormat="false" ht="15" hidden="false" customHeight="false" outlineLevel="0" collapsed="false">
      <c r="A157" s="9" t="s">
        <v>486</v>
      </c>
      <c r="C157" s="36" t="n">
        <f aca="false">lv_price*a_fees_pct+a_integ_full</f>
        <v>160</v>
      </c>
    </row>
    <row r="158" customFormat="false" ht="15" hidden="false" customHeight="false" outlineLevel="0" collapsed="false">
      <c r="A158" s="9" t="s">
        <v>487</v>
      </c>
      <c r="C158" s="36" t="n">
        <f aca="false">0</f>
        <v>0</v>
      </c>
      <c r="D158" s="36" t="n">
        <f aca="false">a_syn_on*(a_syn_partner_rev_y3+a_syn_xsell_y3)*a_mcap*IF(D136=1,a_syn_ramp1,IF(D136=2,a_syn_ramp2,1))+a_syn_on*IF(D136&gt;=2,a_syn_cost,0)</f>
        <v>0</v>
      </c>
      <c r="E158" s="36" t="n">
        <f aca="false">a_syn_on*(a_syn_partner_rev_y3+a_syn_xsell_y3)*a_mcap*IF(E136=1,a_syn_ramp1,IF(E136=2,a_syn_ramp2,1))+a_syn_on*IF(E136&gt;=2,a_syn_cost,0)</f>
        <v>0</v>
      </c>
      <c r="F158" s="36" t="n">
        <f aca="false">a_syn_on*(a_syn_partner_rev_y3+a_syn_xsell_y3)*a_mcap*IF(F136=1,a_syn_ramp1,IF(F136=2,a_syn_ramp2,1))+a_syn_on*IF(F136&gt;=2,a_syn_cost,0)</f>
        <v>0</v>
      </c>
      <c r="G158" s="36" t="n">
        <f aca="false">a_syn_on*(a_syn_partner_rev_y3+a_syn_xsell_y3)*a_mcap*IF(G136=1,a_syn_ramp1,IF(G136=2,a_syn_ramp2,1))+a_syn_on*IF(G136&gt;=2,a_syn_cost,0)</f>
        <v>0</v>
      </c>
      <c r="H158" s="36" t="n">
        <f aca="false">a_syn_on*(a_syn_partner_rev_y3+a_syn_xsell_y3)*a_mcap*IF(H136=1,a_syn_ramp1,IF(H136=2,a_syn_ramp2,1))+a_syn_on*IF(H136&gt;=2,a_syn_cost,0)</f>
        <v>0</v>
      </c>
      <c r="I158" s="36" t="n">
        <f aca="false">a_syn_on*(a_syn_partner_rev_y3+a_syn_xsell_y3)*a_mcap*IF(I136=1,a_syn_ramp1,IF(I136=2,a_syn_ramp2,1))+a_syn_on*IF(I136&gt;=2,a_syn_cost,0)</f>
        <v>0</v>
      </c>
      <c r="J158" s="36" t="n">
        <f aca="false">a_syn_on*(a_syn_partner_rev_y3+a_syn_xsell_y3)*a_mcap*IF(J136=1,a_syn_ramp1,IF(J136=2,a_syn_ramp2,1))+a_syn_on*IF(J136&gt;=2,a_syn_cost,0)</f>
        <v>0</v>
      </c>
      <c r="K158" s="36" t="n">
        <f aca="false">a_syn_on*(a_syn_partner_rev_y3+a_syn_xsell_y3)*a_mcap*IF(K136=1,a_syn_ramp1,IF(K136=2,a_syn_ramp2,1))+a_syn_on*IF(K136&gt;=2,a_syn_cost,0)</f>
        <v>0</v>
      </c>
      <c r="L158" s="36" t="n">
        <f aca="false">a_syn_on*(a_syn_partner_rev_y3+a_syn_xsell_y3)*a_mcap*IF(L136=1,a_syn_ramp1,IF(L136=2,a_syn_ramp2,1))+a_syn_on*IF(L136&gt;=2,a_syn_cost,0)</f>
        <v>0</v>
      </c>
      <c r="M158" s="36" t="n">
        <f aca="false">a_syn_on*(a_syn_partner_rev_y3+a_syn_xsell_y3)*a_mcap*IF(M136=1,a_syn_ramp1,IF(M136=2,a_syn_ramp2,1))+a_syn_on*IF(M136&gt;=2,a_syn_cost,0)</f>
        <v>0</v>
      </c>
    </row>
    <row r="159" customFormat="false" ht="15" hidden="false" customHeight="false" outlineLevel="0" collapsed="false">
      <c r="A159" s="9" t="s">
        <v>488</v>
      </c>
      <c r="C159" s="36" t="n">
        <f aca="false">0</f>
        <v>0</v>
      </c>
      <c r="D159" s="36" t="n">
        <f aca="false">CHOOSE(lv_drag_mode,0,0*D139/cf_arr,0*(1-a_tax))</f>
        <v>0</v>
      </c>
      <c r="E159" s="36" t="n">
        <f aca="false">CHOOSE(lv_drag_mode,0,0*E139/cf_arr,0*(1-a_tax))</f>
        <v>0</v>
      </c>
      <c r="F159" s="36" t="n">
        <f aca="false">CHOOSE(lv_drag_mode,0,0*F139/cf_arr,0*(1-a_tax))</f>
        <v>0</v>
      </c>
      <c r="G159" s="36" t="n">
        <f aca="false">CHOOSE(lv_drag_mode,0,0*G139/cf_arr,0*(1-a_tax))</f>
        <v>0</v>
      </c>
      <c r="H159" s="36" t="n">
        <f aca="false">CHOOSE(lv_drag_mode,0,0*H139/cf_arr,0*(1-a_tax))</f>
        <v>0</v>
      </c>
      <c r="I159" s="36" t="n">
        <f aca="false">CHOOSE(lv_drag_mode,0,0*I139/cf_arr,0*(1-a_tax))</f>
        <v>0</v>
      </c>
      <c r="J159" s="36" t="n">
        <f aca="false">CHOOSE(lv_drag_mode,0,0*J139/cf_arr,0*(1-a_tax))</f>
        <v>0</v>
      </c>
      <c r="K159" s="36" t="n">
        <f aca="false">CHOOSE(lv_drag_mode,0,0*K139/cf_arr,0*(1-a_tax))</f>
        <v>0</v>
      </c>
      <c r="L159" s="36" t="n">
        <f aca="false">CHOOSE(lv_drag_mode,0,0*L139/cf_arr,0*(1-a_tax))</f>
        <v>0</v>
      </c>
      <c r="M159" s="36" t="n">
        <f aca="false">CHOOSE(lv_drag_mode,0,0*M139/cf_arr,0*(1-a_tax))</f>
        <v>0</v>
      </c>
    </row>
    <row r="160" customFormat="false" ht="15" hidden="false" customHeight="false" outlineLevel="0" collapsed="false">
      <c r="A160" s="9" t="s">
        <v>489</v>
      </c>
      <c r="C160" s="36" t="n">
        <f aca="false">0</f>
        <v>0</v>
      </c>
      <c r="D160" s="36" t="n">
        <f aca="false">IF(lv_drag_mode=3,0*(1-a_tax),0)</f>
        <v>0</v>
      </c>
      <c r="E160" s="36" t="n">
        <f aca="false">IF(lv_drag_mode=3,0*(1-a_tax),0)</f>
        <v>0</v>
      </c>
      <c r="F160" s="36" t="n">
        <f aca="false">IF(lv_drag_mode=3,0*(1-a_tax),0)</f>
        <v>0</v>
      </c>
      <c r="G160" s="36" t="n">
        <f aca="false">IF(lv_drag_mode=3,0*(1-a_tax),0)</f>
        <v>0</v>
      </c>
      <c r="H160" s="36" t="n">
        <f aca="false">IF(lv_drag_mode=3,0*(1-a_tax),0)</f>
        <v>0</v>
      </c>
      <c r="I160" s="36" t="n">
        <f aca="false">IF(lv_drag_mode=3,0*(1-a_tax),0)</f>
        <v>0</v>
      </c>
      <c r="J160" s="36" t="n">
        <f aca="false">IF(lv_drag_mode=3,0*(1-a_tax),0)</f>
        <v>0</v>
      </c>
      <c r="K160" s="36" t="n">
        <f aca="false">IF(lv_drag_mode=3,0*(1-a_tax),0)</f>
        <v>0</v>
      </c>
      <c r="L160" s="36" t="n">
        <f aca="false">IF(lv_drag_mode=3,0*(1-a_tax),0)</f>
        <v>0</v>
      </c>
      <c r="M160" s="36" t="n">
        <f aca="false">IF(lv_drag_mode=3,0*(1-a_tax),0)</f>
        <v>0</v>
      </c>
    </row>
    <row r="161" customFormat="false" ht="15" hidden="false" customHeight="false" outlineLevel="0" collapsed="false">
      <c r="A161" s="9" t="s">
        <v>490</v>
      </c>
      <c r="C161" s="36" t="n">
        <f aca="false">0</f>
        <v>0</v>
      </c>
      <c r="D161" s="36" t="n">
        <f aca="false">IF(lv_drag_mode=3,0,C161+D159)</f>
        <v>0</v>
      </c>
      <c r="E161" s="36" t="n">
        <f aca="false">IF(lv_drag_mode=3,0,D161+E159)</f>
        <v>0</v>
      </c>
      <c r="F161" s="36" t="n">
        <f aca="false">IF(lv_drag_mode=3,0,E161+F159)</f>
        <v>0</v>
      </c>
      <c r="G161" s="36" t="n">
        <f aca="false">IF(lv_drag_mode=3,0,F161+G159)</f>
        <v>0</v>
      </c>
      <c r="H161" s="36" t="n">
        <f aca="false">IF(lv_drag_mode=3,0,G161+H159)</f>
        <v>0</v>
      </c>
      <c r="I161" s="36" t="n">
        <f aca="false">IF(lv_drag_mode=3,0,H161+I159)</f>
        <v>0</v>
      </c>
      <c r="J161" s="36" t="n">
        <f aca="false">IF(lv_drag_mode=3,0,I161+J159)</f>
        <v>0</v>
      </c>
      <c r="K161" s="36" t="n">
        <f aca="false">IF(lv_drag_mode=3,0,J161+K159)</f>
        <v>0</v>
      </c>
      <c r="L161" s="36" t="n">
        <f aca="false">IF(lv_drag_mode=3,0,K161+L159)</f>
        <v>0</v>
      </c>
      <c r="M161" s="36" t="n">
        <f aca="false">IF(lv_drag_mode=3,0,L161+M159)</f>
        <v>0</v>
      </c>
    </row>
    <row r="162" customFormat="false" ht="15" hidden="false" customHeight="false" outlineLevel="0" collapsed="false">
      <c r="A162" s="9" t="s">
        <v>491</v>
      </c>
      <c r="C162" s="36" t="n">
        <f aca="false">0</f>
        <v>0</v>
      </c>
      <c r="D162" s="36" t="n">
        <f aca="false">C161*a_yield*(1-a_tax)</f>
        <v>0</v>
      </c>
      <c r="E162" s="36" t="n">
        <f aca="false">D161*a_yield*(1-a_tax)</f>
        <v>0</v>
      </c>
      <c r="F162" s="36" t="n">
        <f aca="false">E161*a_yield*(1-a_tax)</f>
        <v>0</v>
      </c>
      <c r="G162" s="36" t="n">
        <f aca="false">F161*a_yield*(1-a_tax)</f>
        <v>0</v>
      </c>
      <c r="H162" s="36" t="n">
        <f aca="false">G161*a_yield*(1-a_tax)</f>
        <v>0</v>
      </c>
      <c r="I162" s="36" t="n">
        <f aca="false">H161*a_yield*(1-a_tax)</f>
        <v>0</v>
      </c>
      <c r="J162" s="36" t="n">
        <f aca="false">I161*a_yield*(1-a_tax)</f>
        <v>0</v>
      </c>
      <c r="K162" s="36" t="n">
        <f aca="false">J161*a_yield*(1-a_tax)</f>
        <v>0</v>
      </c>
      <c r="L162" s="36" t="n">
        <f aca="false">K161*a_yield*(1-a_tax)</f>
        <v>0</v>
      </c>
      <c r="M162" s="36" t="n">
        <f aca="false">L161*a_yield*(1-a_tax)</f>
        <v>0</v>
      </c>
    </row>
    <row r="163" customFormat="false" ht="15" hidden="false" customHeight="false" outlineLevel="0" collapsed="false">
      <c r="A163" s="9" t="s">
        <v>492</v>
      </c>
      <c r="C163" s="36" t="n">
        <f aca="false">cf_pat</f>
        <v>480</v>
      </c>
      <c r="D163" s="36" t="n">
        <f aca="false">cf_pat*(1+a_pat_growth)^D136</f>
        <v>480</v>
      </c>
      <c r="E163" s="36" t="n">
        <f aca="false">cf_pat*(1+a_pat_growth)^E136</f>
        <v>480</v>
      </c>
      <c r="F163" s="36" t="n">
        <f aca="false">cf_pat*(1+a_pat_growth)^F136</f>
        <v>480</v>
      </c>
      <c r="G163" s="36" t="n">
        <f aca="false">cf_pat*(1+a_pat_growth)^G136</f>
        <v>480</v>
      </c>
      <c r="H163" s="36" t="n">
        <f aca="false">cf_pat*(1+a_pat_growth)^H136</f>
        <v>480</v>
      </c>
      <c r="I163" s="36" t="n">
        <f aca="false">cf_pat*(1+a_pat_growth)^I136</f>
        <v>480</v>
      </c>
      <c r="J163" s="36" t="n">
        <f aca="false">cf_pat*(1+a_pat_growth)^J136</f>
        <v>480</v>
      </c>
      <c r="K163" s="36" t="n">
        <f aca="false">cf_pat*(1+a_pat_growth)^K136</f>
        <v>480</v>
      </c>
      <c r="L163" s="36" t="n">
        <f aca="false">cf_pat*(1+a_pat_growth)^L136</f>
        <v>480</v>
      </c>
      <c r="M163" s="36" t="n">
        <f aca="false">cf_pat*(1+a_pat_growth)^M136</f>
        <v>480</v>
      </c>
    </row>
    <row r="164" customFormat="false" ht="15" hidden="false" customHeight="false" outlineLevel="0" collapsed="false">
      <c r="A164" s="9" t="s">
        <v>493</v>
      </c>
      <c r="C164" s="36" t="n">
        <f aca="false">0</f>
        <v>0</v>
      </c>
      <c r="D164" s="36" t="n">
        <f aca="false">cf_mdr*a_mdr_flow*(1-a_tax)</f>
        <v>69</v>
      </c>
      <c r="E164" s="36" t="n">
        <f aca="false">cf_mdr*a_mdr_flow*(1-a_tax)</f>
        <v>69</v>
      </c>
      <c r="F164" s="36" t="n">
        <f aca="false">cf_mdr*a_mdr_flow*(1-a_tax)</f>
        <v>69</v>
      </c>
      <c r="G164" s="36" t="n">
        <f aca="false">cf_mdr*a_mdr_flow*(1-a_tax)</f>
        <v>69</v>
      </c>
      <c r="H164" s="36" t="n">
        <f aca="false">cf_mdr*a_mdr_flow*(1-a_tax)</f>
        <v>69</v>
      </c>
      <c r="I164" s="36" t="n">
        <f aca="false">cf_mdr*a_mdr_flow*(1-a_tax)</f>
        <v>69</v>
      </c>
      <c r="J164" s="36" t="n">
        <f aca="false">cf_mdr*a_mdr_flow*(1-a_tax)</f>
        <v>69</v>
      </c>
      <c r="K164" s="36" t="n">
        <f aca="false">cf_mdr*a_mdr_flow*(1-a_tax)</f>
        <v>69</v>
      </c>
      <c r="L164" s="36" t="n">
        <f aca="false">cf_mdr*a_mdr_flow*(1-a_tax)</f>
        <v>69</v>
      </c>
      <c r="M164" s="36" t="n">
        <f aca="false">cf_mdr*a_mdr_flow*(1-a_tax)</f>
        <v>69</v>
      </c>
    </row>
    <row r="165" customFormat="false" ht="15" hidden="false" customHeight="false" outlineLevel="0" collapsed="false">
      <c r="A165" s="9" t="s">
        <v>494</v>
      </c>
      <c r="C165" s="50" t="n">
        <f aca="false">cf_eps</f>
        <v>7.5</v>
      </c>
      <c r="D165" s="50" t="n">
        <f aca="false">D163/cf_shares</f>
        <v>7.5</v>
      </c>
      <c r="E165" s="50" t="n">
        <f aca="false">E163/cf_shares</f>
        <v>7.5</v>
      </c>
      <c r="F165" s="50" t="n">
        <f aca="false">F163/cf_shares</f>
        <v>7.5</v>
      </c>
      <c r="G165" s="50" t="n">
        <f aca="false">G163/cf_shares</f>
        <v>7.5</v>
      </c>
      <c r="H165" s="50" t="n">
        <f aca="false">H163/cf_shares</f>
        <v>7.5</v>
      </c>
      <c r="I165" s="50" t="n">
        <f aca="false">I163/cf_shares</f>
        <v>7.5</v>
      </c>
      <c r="J165" s="50" t="n">
        <f aca="false">J163/cf_shares</f>
        <v>7.5</v>
      </c>
      <c r="K165" s="50" t="n">
        <f aca="false">K163/cf_shares</f>
        <v>7.5</v>
      </c>
      <c r="L165" s="50" t="n">
        <f aca="false">L163/cf_shares</f>
        <v>7.5</v>
      </c>
      <c r="M165" s="50" t="n">
        <f aca="false">M163/cf_shares</f>
        <v>7.5</v>
      </c>
    </row>
    <row r="166" customFormat="false" ht="15" hidden="false" customHeight="false" outlineLevel="0" collapsed="false">
      <c r="A166" s="9" t="s">
        <v>495</v>
      </c>
      <c r="C166" s="50" t="n">
        <f aca="false">cf_eps</f>
        <v>7.5</v>
      </c>
      <c r="D166" s="50" t="n">
        <f aca="false">(D163+D164)/cf_shares</f>
        <v>8.578125</v>
      </c>
      <c r="E166" s="50" t="n">
        <f aca="false">(E163+E164)/cf_shares</f>
        <v>8.578125</v>
      </c>
      <c r="F166" s="50" t="n">
        <f aca="false">(F163+F164)/cf_shares</f>
        <v>8.578125</v>
      </c>
      <c r="G166" s="50" t="n">
        <f aca="false">(G163+G164)/cf_shares</f>
        <v>8.578125</v>
      </c>
      <c r="H166" s="50" t="n">
        <f aca="false">(H163+H164)/cf_shares</f>
        <v>8.578125</v>
      </c>
      <c r="I166" s="50" t="n">
        <f aca="false">(I163+I164)/cf_shares</f>
        <v>8.578125</v>
      </c>
      <c r="J166" s="50" t="n">
        <f aca="false">(J163+J164)/cf_shares</f>
        <v>8.578125</v>
      </c>
      <c r="K166" s="50" t="n">
        <f aca="false">(K163+K164)/cf_shares</f>
        <v>8.578125</v>
      </c>
      <c r="L166" s="50" t="n">
        <f aca="false">(L163+L164)/cf_shares</f>
        <v>8.578125</v>
      </c>
      <c r="M166" s="50" t="n">
        <f aca="false">(M163+M164)/cf_shares</f>
        <v>8.578125</v>
      </c>
    </row>
    <row r="167" customFormat="false" ht="15" hidden="false" customHeight="false" outlineLevel="0" collapsed="false">
      <c r="A167" s="4" t="s">
        <v>496</v>
      </c>
      <c r="C167" s="41" t="n">
        <f aca="false">-C154-C156</f>
        <v>-94.5</v>
      </c>
      <c r="D167" s="41" t="n">
        <f aca="false">D146+D158*(1-a_tax)-C154-C156-D160-D162</f>
        <v>-90.54</v>
      </c>
      <c r="E167" s="41" t="n">
        <f aca="false">E146+E158*(1-a_tax)-C154-C156-E160-E162</f>
        <v>-77.868</v>
      </c>
      <c r="F167" s="41" t="n">
        <f aca="false">F146+F158*(1-a_tax)-C154-C156-F160-F162</f>
        <v>-60.2856</v>
      </c>
      <c r="G167" s="41" t="n">
        <f aca="false">G146+G158*(1-a_tax)-C154-C156-G160-G162</f>
        <v>-36.33552</v>
      </c>
      <c r="H167" s="41" t="n">
        <f aca="false">H146+H158*(1-a_tax)-C154-C156-H160-H162</f>
        <v>-4.173984</v>
      </c>
      <c r="I167" s="41" t="n">
        <f aca="false">I146+I158*(1-a_tax)-C154-C156-I160-I162</f>
        <v>13.8912192</v>
      </c>
      <c r="J167" s="41" t="n">
        <f aca="false">J146+J158*(1-a_tax)-C154-C156-J160-J162</f>
        <v>35.56946304</v>
      </c>
      <c r="K167" s="41" t="n">
        <f aca="false">K146+K158*(1-a_tax)-C154-C156-K160-K162</f>
        <v>61.583355648</v>
      </c>
      <c r="L167" s="41" t="n">
        <f aca="false">L146+L158*(1-a_tax)-C154-C156-L160-L162</f>
        <v>92.8000267776</v>
      </c>
      <c r="M167" s="41" t="n">
        <f aca="false">M146+M158*(1-a_tax)-C154-C156-M160-M162</f>
        <v>130.26003213312</v>
      </c>
    </row>
    <row r="168" customFormat="false" ht="15" hidden="false" customHeight="false" outlineLevel="0" collapsed="false">
      <c r="A168" s="9" t="s">
        <v>497</v>
      </c>
      <c r="C168" s="36" t="n">
        <f aca="false">C163+C167</f>
        <v>385.5</v>
      </c>
      <c r="D168" s="36" t="n">
        <f aca="false">D163+D167</f>
        <v>389.46</v>
      </c>
      <c r="E168" s="36" t="n">
        <f aca="false">E163+E167</f>
        <v>402.132</v>
      </c>
      <c r="F168" s="36" t="n">
        <f aca="false">F163+F167</f>
        <v>419.7144</v>
      </c>
      <c r="G168" s="36" t="n">
        <f aca="false">G163+G167</f>
        <v>443.66448</v>
      </c>
      <c r="H168" s="36" t="n">
        <f aca="false">H163+H167</f>
        <v>475.826016</v>
      </c>
      <c r="I168" s="36" t="n">
        <f aca="false">I163+I167</f>
        <v>493.8912192</v>
      </c>
      <c r="J168" s="36" t="n">
        <f aca="false">J163+J167</f>
        <v>515.56946304</v>
      </c>
      <c r="K168" s="36" t="n">
        <f aca="false">K163+K167</f>
        <v>541.583355648</v>
      </c>
      <c r="L168" s="36" t="n">
        <f aca="false">L163+L167</f>
        <v>572.8000267776</v>
      </c>
      <c r="M168" s="36" t="n">
        <f aca="false">M163+M167</f>
        <v>610.26003213312</v>
      </c>
    </row>
    <row r="169" customFormat="false" ht="15" hidden="false" customHeight="false" outlineLevel="0" collapsed="false">
      <c r="A169" s="4" t="s">
        <v>498</v>
      </c>
      <c r="C169" s="48" t="n">
        <f aca="false">C168/C153</f>
        <v>5.92858021653543</v>
      </c>
      <c r="D169" s="48" t="n">
        <f aca="false">D168/C153</f>
        <v>5.98948080708662</v>
      </c>
      <c r="E169" s="48" t="n">
        <f aca="false">E168/C153</f>
        <v>6.18436269685039</v>
      </c>
      <c r="F169" s="48" t="n">
        <f aca="false">F168/C153</f>
        <v>6.45476131889764</v>
      </c>
      <c r="G169" s="48" t="n">
        <f aca="false">G168/C153</f>
        <v>6.82308809055118</v>
      </c>
      <c r="H169" s="48" t="n">
        <f aca="false">H168/C153</f>
        <v>7.31769832677165</v>
      </c>
      <c r="I169" s="48" t="n">
        <f aca="false">I168/C153</f>
        <v>7.5955219488189</v>
      </c>
      <c r="J169" s="48" t="n">
        <f aca="false">J168/C153</f>
        <v>7.92891029527559</v>
      </c>
      <c r="K169" s="48" t="n">
        <f aca="false">K168/C153</f>
        <v>8.32897631102362</v>
      </c>
      <c r="L169" s="48" t="n">
        <f aca="false">L168/C153</f>
        <v>8.80905552992126</v>
      </c>
      <c r="M169" s="48" t="n">
        <f aca="false">M168/C153</f>
        <v>9.38515059259842</v>
      </c>
    </row>
    <row r="170" customFormat="false" ht="15" hidden="false" customHeight="false" outlineLevel="0" collapsed="false">
      <c r="A170" s="4" t="s">
        <v>499</v>
      </c>
      <c r="C170" s="14" t="n">
        <f aca="false">C169/cf_eps-1</f>
        <v>-0.209522637795276</v>
      </c>
      <c r="D170" s="14" t="n">
        <f aca="false">D169/cf_eps-1</f>
        <v>-0.201402559055118</v>
      </c>
      <c r="E170" s="14" t="n">
        <f aca="false">E169/cf_eps-1</f>
        <v>-0.175418307086614</v>
      </c>
      <c r="F170" s="14" t="n">
        <f aca="false">F169/cf_eps-1</f>
        <v>-0.139365157480315</v>
      </c>
      <c r="G170" s="14" t="n">
        <f aca="false">G169/cf_eps-1</f>
        <v>-0.0902549212598426</v>
      </c>
      <c r="H170" s="14" t="n">
        <f aca="false">H169/cf_eps-1</f>
        <v>-0.0243068897637796</v>
      </c>
      <c r="I170" s="14" t="n">
        <f aca="false">I169/cf_eps-1</f>
        <v>0.0127362598425198</v>
      </c>
      <c r="J170" s="14" t="n">
        <f aca="false">J169/cf_eps-1</f>
        <v>0.057188039370079</v>
      </c>
      <c r="K170" s="14" t="n">
        <f aca="false">K169/cf_eps-1</f>
        <v>0.11053017480315</v>
      </c>
      <c r="L170" s="14" t="n">
        <f aca="false">L169/cf_eps-1</f>
        <v>0.174540737322834</v>
      </c>
      <c r="M170" s="14" t="n">
        <f aca="false">M169/cf_eps-1</f>
        <v>0.251353412346457</v>
      </c>
    </row>
    <row r="171" customFormat="false" ht="15" hidden="false" customHeight="false" outlineLevel="0" collapsed="false">
      <c r="A171" s="9" t="s">
        <v>500</v>
      </c>
      <c r="C171" s="50" t="n">
        <f aca="false">C169</f>
        <v>5.92858021653543</v>
      </c>
      <c r="D171" s="50" t="n">
        <f aca="false">(D168+D164)/C153</f>
        <v>7.05062746062992</v>
      </c>
      <c r="E171" s="50" t="n">
        <f aca="false">(E168+E164)/C153</f>
        <v>7.2455093503937</v>
      </c>
      <c r="F171" s="50" t="n">
        <f aca="false">(F168+F164)/C153</f>
        <v>7.51590797244095</v>
      </c>
      <c r="G171" s="50" t="n">
        <f aca="false">(G168+G164)/C153</f>
        <v>7.88423474409449</v>
      </c>
      <c r="H171" s="50" t="n">
        <f aca="false">(H168+H164)/C153</f>
        <v>8.37884498031496</v>
      </c>
      <c r="I171" s="50" t="n">
        <f aca="false">(I168+I164)/C153</f>
        <v>8.6566686023622</v>
      </c>
      <c r="J171" s="50" t="n">
        <f aca="false">(J168+J164)/C153</f>
        <v>8.9900569488189</v>
      </c>
      <c r="K171" s="50" t="n">
        <f aca="false">(K168+K164)/C153</f>
        <v>9.39012296456693</v>
      </c>
      <c r="L171" s="50" t="n">
        <f aca="false">(L168+L164)/C153</f>
        <v>9.87020218346457</v>
      </c>
      <c r="M171" s="50" t="n">
        <f aca="false">(M168+M164)/C153</f>
        <v>10.4462972461417</v>
      </c>
    </row>
    <row r="172" customFormat="false" ht="15" hidden="false" customHeight="false" outlineLevel="0" collapsed="false">
      <c r="A172" s="9" t="s">
        <v>501</v>
      </c>
      <c r="C172" s="18" t="n">
        <f aca="false">C170</f>
        <v>-0.209522637795276</v>
      </c>
      <c r="D172" s="18" t="n">
        <f aca="false">D171/D166-1</f>
        <v>-0.178068929908352</v>
      </c>
      <c r="E172" s="18" t="n">
        <f aca="false">E171/E166-1</f>
        <v>-0.1553504582419</v>
      </c>
      <c r="F172" s="18" t="n">
        <f aca="false">F171/F166-1</f>
        <v>-0.123828578804699</v>
      </c>
      <c r="G172" s="18" t="n">
        <f aca="false">G171/G166-1</f>
        <v>-0.0808906673551052</v>
      </c>
      <c r="H172" s="18" t="n">
        <f aca="false">H171/H166-1</f>
        <v>-0.0232311862656512</v>
      </c>
      <c r="I172" s="18" t="n">
        <f aca="false">I171/I166-1</f>
        <v>0.00915626694204197</v>
      </c>
      <c r="J172" s="18" t="n">
        <f aca="false">J171/J166-1</f>
        <v>0.0480212107912741</v>
      </c>
      <c r="K172" s="18" t="n">
        <f aca="false">K171/K166-1</f>
        <v>0.0946591434103523</v>
      </c>
      <c r="L172" s="18" t="n">
        <f aca="false">L171/L166-1</f>
        <v>0.150624662553246</v>
      </c>
      <c r="M172" s="18" t="n">
        <f aca="false">M171/M166-1</f>
        <v>0.217783285524719</v>
      </c>
    </row>
    <row r="173" customFormat="false" ht="15" hidden="false" customHeight="false" outlineLevel="0" collapsed="false">
      <c r="A173" s="9" t="s">
        <v>502</v>
      </c>
      <c r="C173" s="50" t="n">
        <f aca="false">(C168+C156)/C153</f>
        <v>5.92858021653543</v>
      </c>
      <c r="D173" s="50" t="n">
        <f aca="false">(D168+C156)/C153</f>
        <v>5.98948080708662</v>
      </c>
      <c r="E173" s="50" t="n">
        <f aca="false">(E168+C156)/C153</f>
        <v>6.18436269685039</v>
      </c>
      <c r="F173" s="50" t="n">
        <f aca="false">(F168+C156)/C153</f>
        <v>6.45476131889764</v>
      </c>
      <c r="G173" s="50" t="n">
        <f aca="false">(G168+C156)/C153</f>
        <v>6.82308809055118</v>
      </c>
      <c r="H173" s="50" t="n">
        <f aca="false">(H168+C156)/C153</f>
        <v>7.31769832677165</v>
      </c>
      <c r="I173" s="50" t="n">
        <f aca="false">(I168+C156)/C153</f>
        <v>7.5955219488189</v>
      </c>
      <c r="J173" s="50" t="n">
        <f aca="false">(J168+C156)/C153</f>
        <v>7.92891029527559</v>
      </c>
      <c r="K173" s="50" t="n">
        <f aca="false">(K168+C156)/C153</f>
        <v>8.32897631102362</v>
      </c>
      <c r="L173" s="50" t="n">
        <f aca="false">(L168+C156)/C153</f>
        <v>8.80905552992126</v>
      </c>
      <c r="M173" s="50" t="n">
        <f aca="false">(M168+C156)/C153</f>
        <v>9.38515059259842</v>
      </c>
    </row>
    <row r="174" customFormat="false" ht="15" hidden="false" customHeight="false" outlineLevel="0" collapsed="false">
      <c r="A174" s="9" t="s">
        <v>503</v>
      </c>
      <c r="C174" s="50" t="n">
        <f aca="false">(C168-C155+C156)/C153</f>
        <v>4.48680487204724</v>
      </c>
      <c r="D174" s="50" t="n">
        <f aca="false">(D168-C155+C156)/C153</f>
        <v>4.54770546259843</v>
      </c>
      <c r="E174" s="50" t="n">
        <f aca="false">(E168-C155+C156)/C153</f>
        <v>4.74258735236221</v>
      </c>
      <c r="F174" s="50" t="n">
        <f aca="false">(F168-C155+C156)/C153</f>
        <v>5.01298597440945</v>
      </c>
      <c r="G174" s="50" t="n">
        <f aca="false">(G168-C155+C156)/C153</f>
        <v>5.38131274606299</v>
      </c>
      <c r="H174" s="50" t="n">
        <f aca="false">(H168-C155+C156)/C153</f>
        <v>5.87592298228346</v>
      </c>
      <c r="I174" s="50" t="n">
        <f aca="false">(I168-C155+C156)/C153</f>
        <v>6.15374660433071</v>
      </c>
      <c r="J174" s="50" t="n">
        <f aca="false">(J168-C155+C156)/C153</f>
        <v>6.4871349507874</v>
      </c>
      <c r="K174" s="50" t="n">
        <f aca="false">(K168-C155+C156)/C153</f>
        <v>6.88720096653543</v>
      </c>
      <c r="L174" s="50" t="n">
        <f aca="false">(L168-C155+C156)/C153</f>
        <v>7.36728018543307</v>
      </c>
      <c r="M174" s="50" t="n">
        <f aca="false">(M168-C155+C156)/C153</f>
        <v>7.94337524811024</v>
      </c>
    </row>
    <row r="175" customFormat="false" ht="15" hidden="false" customHeight="false" outlineLevel="0" collapsed="false">
      <c r="A175" s="9" t="s">
        <v>504</v>
      </c>
      <c r="C175" s="50" t="n">
        <f aca="false">C163/C153</f>
        <v>7.38188976377953</v>
      </c>
      <c r="D175" s="50" t="n">
        <f aca="false">D163/C153</f>
        <v>7.38188976377953</v>
      </c>
      <c r="E175" s="50" t="n">
        <f aca="false">E163/C153</f>
        <v>7.38188976377953</v>
      </c>
      <c r="F175" s="50" t="n">
        <f aca="false">F163/C153</f>
        <v>7.38188976377953</v>
      </c>
      <c r="G175" s="50" t="n">
        <f aca="false">G163/C153</f>
        <v>7.38188976377953</v>
      </c>
      <c r="H175" s="50" t="n">
        <f aca="false">H163/C153</f>
        <v>7.38188976377953</v>
      </c>
      <c r="I175" s="50" t="n">
        <f aca="false">I163/C153</f>
        <v>7.38188976377953</v>
      </c>
      <c r="J175" s="50" t="n">
        <f aca="false">J163/C153</f>
        <v>7.38188976377953</v>
      </c>
      <c r="K175" s="50" t="n">
        <f aca="false">K163/C153</f>
        <v>7.38188976377953</v>
      </c>
      <c r="L175" s="50" t="n">
        <f aca="false">L163/C153</f>
        <v>7.38188976377953</v>
      </c>
      <c r="M175" s="50" t="n">
        <f aca="false">M163/C153</f>
        <v>7.38188976377953</v>
      </c>
    </row>
    <row r="176" customFormat="false" ht="15" hidden="false" customHeight="false" outlineLevel="0" collapsed="false">
      <c r="A176" s="9" t="s">
        <v>505</v>
      </c>
      <c r="D176" s="36" t="n">
        <f aca="false">D149+D158*(1-a_tax)-D159-IF(D136=1,C157,0)</f>
        <v>-158.24</v>
      </c>
      <c r="E176" s="36" t="n">
        <f aca="false">E149+E158*(1-a_tax)-E159-IF(E136=1,C157,0)</f>
        <v>13.992</v>
      </c>
      <c r="F176" s="36" t="n">
        <f aca="false">F149+F158*(1-a_tax)-F159-IF(F136=1,C157,0)</f>
        <v>31.0464</v>
      </c>
      <c r="G176" s="36" t="n">
        <f aca="false">G149+G158*(1-a_tax)-G159-IF(G136=1,C157,0)</f>
        <v>54.36288</v>
      </c>
      <c r="H176" s="36" t="n">
        <f aca="false">H149+H158*(1-a_tax)-H159-IF(H136=1,C157,0)</f>
        <v>85.764096</v>
      </c>
      <c r="I176" s="36" t="n">
        <f aca="false">I149+I158*(1-a_tax)-I159-IF(I136=1,C157,0)</f>
        <v>102.9169152</v>
      </c>
      <c r="J176" s="36" t="n">
        <f aca="false">J149+J158*(1-a_tax)-J159-IF(J136=1,C157,0)</f>
        <v>123.50029824</v>
      </c>
      <c r="K176" s="36" t="n">
        <f aca="false">K149+K158*(1-a_tax)-K159-IF(K136=1,C157,0)</f>
        <v>148.200357888</v>
      </c>
      <c r="L176" s="36" t="n">
        <f aca="false">L149+L158*(1-a_tax)-L159-IF(L136=1,C157,0)</f>
        <v>177.8404294656</v>
      </c>
      <c r="M176" s="36" t="n">
        <f aca="false">M149+M158*(1-a_tax)-M159-IF(M136=1,C157,0)</f>
        <v>213.40851535872</v>
      </c>
    </row>
    <row r="177" customFormat="false" ht="15" hidden="false" customHeight="false" outlineLevel="0" collapsed="false">
      <c r="A177" s="4" t="s">
        <v>506</v>
      </c>
      <c r="D177" s="41" t="n">
        <f aca="false">D176-C154</f>
        <v>-252.74</v>
      </c>
      <c r="E177" s="41" t="n">
        <f aca="false">E176-C154</f>
        <v>-80.508</v>
      </c>
      <c r="F177" s="41" t="n">
        <f aca="false">F176-C154</f>
        <v>-63.4536</v>
      </c>
      <c r="G177" s="41" t="n">
        <f aca="false">G176-C154</f>
        <v>-40.13712</v>
      </c>
      <c r="H177" s="41" t="n">
        <f aca="false">H176-C154</f>
        <v>-8.73590400000001</v>
      </c>
      <c r="I177" s="41" t="n">
        <f aca="false">I176-C154</f>
        <v>8.41691519999999</v>
      </c>
      <c r="J177" s="41" t="n">
        <f aca="false">J176-C154</f>
        <v>29.00029824</v>
      </c>
      <c r="K177" s="41" t="n">
        <f aca="false">K176-C154</f>
        <v>53.700357888</v>
      </c>
      <c r="L177" s="41" t="n">
        <f aca="false">L176-C154</f>
        <v>83.3404294656</v>
      </c>
      <c r="M177" s="41" t="n">
        <f aca="false">M176-C154</f>
        <v>118.90851535872</v>
      </c>
    </row>
    <row r="178" customFormat="false" ht="15" hidden="false" customHeight="false" outlineLevel="0" collapsed="false">
      <c r="A178" s="9" t="s">
        <v>507</v>
      </c>
      <c r="C178" s="36" t="n">
        <f aca="false">0</f>
        <v>0</v>
      </c>
      <c r="D178" s="36" t="n">
        <f aca="false">D164</f>
        <v>69</v>
      </c>
      <c r="E178" s="36" t="n">
        <f aca="false">E164</f>
        <v>69</v>
      </c>
      <c r="F178" s="36" t="n">
        <f aca="false">F164</f>
        <v>69</v>
      </c>
      <c r="G178" s="36" t="n">
        <f aca="false">G164</f>
        <v>69</v>
      </c>
      <c r="H178" s="36" t="n">
        <f aca="false">H164</f>
        <v>69</v>
      </c>
      <c r="I178" s="36" t="n">
        <f aca="false">I164</f>
        <v>69</v>
      </c>
      <c r="J178" s="36" t="n">
        <f aca="false">J164</f>
        <v>69</v>
      </c>
      <c r="K178" s="36" t="n">
        <f aca="false">K164</f>
        <v>69</v>
      </c>
      <c r="L178" s="36" t="n">
        <f aca="false">L164</f>
        <v>69</v>
      </c>
      <c r="M178" s="36" t="n">
        <f aca="false">M164</f>
        <v>69</v>
      </c>
    </row>
    <row r="179" customFormat="false" ht="15" hidden="false" customHeight="false" outlineLevel="0" collapsed="false">
      <c r="A179" s="9" t="s">
        <v>508</v>
      </c>
      <c r="D179" s="36" t="n">
        <f aca="false">D177+D178</f>
        <v>-183.74</v>
      </c>
      <c r="E179" s="36" t="n">
        <f aca="false">E177+E178</f>
        <v>-11.508</v>
      </c>
      <c r="F179" s="36" t="n">
        <f aca="false">F177+F178</f>
        <v>5.54640000000001</v>
      </c>
      <c r="G179" s="36" t="n">
        <f aca="false">G177+G178</f>
        <v>28.86288</v>
      </c>
      <c r="H179" s="36" t="n">
        <f aca="false">H177+H178</f>
        <v>60.264096</v>
      </c>
      <c r="I179" s="36" t="n">
        <f aca="false">I177+I178</f>
        <v>77.4169152</v>
      </c>
      <c r="J179" s="36" t="n">
        <f aca="false">J177+J178</f>
        <v>98.00029824</v>
      </c>
      <c r="K179" s="36" t="n">
        <f aca="false">K177+K178</f>
        <v>122.700357888</v>
      </c>
      <c r="L179" s="36" t="n">
        <f aca="false">L177+L178</f>
        <v>152.3404294656</v>
      </c>
      <c r="M179" s="36" t="n">
        <f aca="false">M177+M178</f>
        <v>187.90851535872</v>
      </c>
    </row>
    <row r="180" customFormat="false" ht="15" hidden="false" customHeight="false" outlineLevel="0" collapsed="false">
      <c r="A180" s="9" t="s">
        <v>509</v>
      </c>
      <c r="D180" s="36" t="n">
        <f aca="false">IF(lv_mdr_in_deal=1,D179,D177)</f>
        <v>-252.74</v>
      </c>
      <c r="E180" s="36" t="n">
        <f aca="false">IF(lv_mdr_in_deal=1,E179,E177)</f>
        <v>-80.508</v>
      </c>
      <c r="F180" s="36" t="n">
        <f aca="false">IF(lv_mdr_in_deal=1,F179,F177)</f>
        <v>-63.4536</v>
      </c>
      <c r="G180" s="36" t="n">
        <f aca="false">IF(lv_mdr_in_deal=1,G179,G177)</f>
        <v>-40.13712</v>
      </c>
      <c r="H180" s="36" t="n">
        <f aca="false">IF(lv_mdr_in_deal=1,H179,H177)</f>
        <v>-8.73590400000001</v>
      </c>
      <c r="I180" s="36" t="n">
        <f aca="false">IF(lv_mdr_in_deal=1,I179,I177)</f>
        <v>8.41691519999999</v>
      </c>
      <c r="J180" s="36" t="n">
        <f aca="false">IF(lv_mdr_in_deal=1,J179,J177)</f>
        <v>29.00029824</v>
      </c>
      <c r="K180" s="36" t="n">
        <f aca="false">IF(lv_mdr_in_deal=1,K179,K177)</f>
        <v>53.700357888</v>
      </c>
      <c r="L180" s="36" t="n">
        <f aca="false">IF(lv_mdr_in_deal=1,L179,L177)</f>
        <v>83.3404294656</v>
      </c>
      <c r="M180" s="36" t="n">
        <f aca="false">IF(lv_mdr_in_deal=1,M179,M177)</f>
        <v>118.90851535872</v>
      </c>
    </row>
    <row r="181" customFormat="false" ht="15" hidden="false" customHeight="false" outlineLevel="0" collapsed="false">
      <c r="A181" s="9" t="s">
        <v>510</v>
      </c>
      <c r="C181" s="36" t="n">
        <f aca="false">-lv_price</f>
        <v>-4000</v>
      </c>
      <c r="D181" s="36" t="n">
        <f aca="false">C181+D180</f>
        <v>-4252.74</v>
      </c>
      <c r="E181" s="36" t="n">
        <f aca="false">D181+E180</f>
        <v>-4333.248</v>
      </c>
      <c r="F181" s="36" t="n">
        <f aca="false">E181+F180</f>
        <v>-4396.7016</v>
      </c>
      <c r="G181" s="36" t="n">
        <f aca="false">F181+G180</f>
        <v>-4436.83872</v>
      </c>
      <c r="H181" s="36" t="n">
        <f aca="false">G181+H180</f>
        <v>-4445.574624</v>
      </c>
      <c r="I181" s="36" t="n">
        <f aca="false">H181+I180</f>
        <v>-4437.1577088</v>
      </c>
      <c r="J181" s="36" t="n">
        <f aca="false">I181+J180</f>
        <v>-4408.15741056</v>
      </c>
      <c r="K181" s="36" t="n">
        <f aca="false">J181+K180</f>
        <v>-4354.457052672</v>
      </c>
      <c r="L181" s="36" t="n">
        <f aca="false">K181+L180</f>
        <v>-4271.1166232064</v>
      </c>
      <c r="M181" s="36" t="n">
        <f aca="false">L181+M180</f>
        <v>-4152.20810784768</v>
      </c>
    </row>
    <row r="182" customFormat="false" ht="15" hidden="false" customHeight="false" outlineLevel="0" collapsed="false">
      <c r="A182" s="9" t="s">
        <v>511</v>
      </c>
      <c r="C182" s="43" t="n">
        <f aca="false">1</f>
        <v>1</v>
      </c>
      <c r="D182" s="43" t="n">
        <f aca="false">1/(1+lv_wacc)^D136</f>
        <v>0.884955752212389</v>
      </c>
      <c r="E182" s="43" t="n">
        <f aca="false">1/(1+lv_wacc)^E136</f>
        <v>0.783146683373796</v>
      </c>
      <c r="F182" s="43" t="n">
        <f aca="false">1/(1+lv_wacc)^F136</f>
        <v>0.693050162277696</v>
      </c>
      <c r="G182" s="43" t="n">
        <f aca="false">1/(1+lv_wacc)^G136</f>
        <v>0.613318727679377</v>
      </c>
      <c r="H182" s="43" t="n">
        <f aca="false">1/(1+lv_wacc)^H136</f>
        <v>0.542759935999449</v>
      </c>
      <c r="I182" s="43" t="n">
        <f aca="false">1/(1+lv_wacc)^I136</f>
        <v>0.48031852743314</v>
      </c>
      <c r="J182" s="43" t="n">
        <f aca="false">1/(1+lv_wacc)^J136</f>
        <v>0.425060643746142</v>
      </c>
      <c r="K182" s="43" t="n">
        <f aca="false">1/(1+lv_wacc)^K136</f>
        <v>0.37615986172225</v>
      </c>
      <c r="L182" s="43" t="n">
        <f aca="false">1/(1+lv_wacc)^L136</f>
        <v>0.332884833382522</v>
      </c>
      <c r="M182" s="43" t="n">
        <f aca="false">1/(1+lv_wacc)^M136</f>
        <v>0.294588348126126</v>
      </c>
    </row>
    <row r="183" customFormat="false" ht="15" hidden="false" customHeight="false" outlineLevel="0" collapsed="false">
      <c r="A183" s="9" t="s">
        <v>512</v>
      </c>
      <c r="C183" s="46" t="n">
        <f aca="false">99</f>
        <v>99</v>
      </c>
      <c r="D183" s="46" t="n">
        <f aca="false">IF(D167&gt;=0,D136,99)</f>
        <v>99</v>
      </c>
      <c r="E183" s="46" t="n">
        <f aca="false">IF(E167&gt;=0,E136,99)</f>
        <v>99</v>
      </c>
      <c r="F183" s="46" t="n">
        <f aca="false">IF(F167&gt;=0,F136,99)</f>
        <v>99</v>
      </c>
      <c r="G183" s="46" t="n">
        <f aca="false">IF(G167&gt;=0,G136,99)</f>
        <v>99</v>
      </c>
      <c r="H183" s="46" t="n">
        <f aca="false">IF(H167&gt;=0,H136,99)</f>
        <v>99</v>
      </c>
      <c r="I183" s="46" t="n">
        <f aca="false">IF(I167&gt;=0,I136,99)</f>
        <v>6</v>
      </c>
      <c r="J183" s="46" t="n">
        <f aca="false">IF(J167&gt;=0,J136,99)</f>
        <v>7</v>
      </c>
      <c r="K183" s="46" t="n">
        <f aca="false">IF(K167&gt;=0,K136,99)</f>
        <v>8</v>
      </c>
      <c r="L183" s="46" t="n">
        <f aca="false">IF(L167&gt;=0,L136,99)</f>
        <v>9</v>
      </c>
      <c r="M183" s="46" t="n">
        <f aca="false">IF(M167&gt;=0,M136,99)</f>
        <v>10</v>
      </c>
    </row>
    <row r="184" customFormat="false" ht="15" hidden="false" customHeight="false" outlineLevel="0" collapsed="false">
      <c r="A184" s="9" t="s">
        <v>513</v>
      </c>
      <c r="C184" s="46" t="n">
        <f aca="false">99</f>
        <v>99</v>
      </c>
      <c r="D184" s="46" t="n">
        <f aca="false">IF(D167+D164&gt;=0,D136,99)</f>
        <v>99</v>
      </c>
      <c r="E184" s="46" t="n">
        <f aca="false">IF(E167+E164&gt;=0,E136,99)</f>
        <v>99</v>
      </c>
      <c r="F184" s="46" t="n">
        <f aca="false">IF(F167+F164&gt;=0,F136,99)</f>
        <v>3</v>
      </c>
      <c r="G184" s="46" t="n">
        <f aca="false">IF(G167+G164&gt;=0,G136,99)</f>
        <v>4</v>
      </c>
      <c r="H184" s="46" t="n">
        <f aca="false">IF(H167+H164&gt;=0,H136,99)</f>
        <v>5</v>
      </c>
      <c r="I184" s="46" t="n">
        <f aca="false">IF(I167+I164&gt;=0,I136,99)</f>
        <v>6</v>
      </c>
      <c r="J184" s="46" t="n">
        <f aca="false">IF(J167+J164&gt;=0,J136,99)</f>
        <v>7</v>
      </c>
      <c r="K184" s="46" t="n">
        <f aca="false">IF(K167+K164&gt;=0,K136,99)</f>
        <v>8</v>
      </c>
      <c r="L184" s="46" t="n">
        <f aca="false">IF(L167+L164&gt;=0,L136,99)</f>
        <v>9</v>
      </c>
      <c r="M184" s="46" t="n">
        <f aca="false">IF(M167+M164&gt;=0,M136,99)</f>
        <v>10</v>
      </c>
    </row>
    <row r="185" customFormat="false" ht="15" hidden="false" customHeight="false" outlineLevel="0" collapsed="false">
      <c r="A185" s="9" t="s">
        <v>514</v>
      </c>
      <c r="C185" s="46" t="n">
        <f aca="false">99</f>
        <v>99</v>
      </c>
      <c r="D185" s="46" t="n">
        <f aca="false">IF(D177&gt;=0,D136,99)</f>
        <v>99</v>
      </c>
      <c r="E185" s="46" t="n">
        <f aca="false">IF(E177&gt;=0,E136,99)</f>
        <v>99</v>
      </c>
      <c r="F185" s="46" t="n">
        <f aca="false">IF(F177&gt;=0,F136,99)</f>
        <v>99</v>
      </c>
      <c r="G185" s="46" t="n">
        <f aca="false">IF(G177&gt;=0,G136,99)</f>
        <v>99</v>
      </c>
      <c r="H185" s="46" t="n">
        <f aca="false">IF(H177&gt;=0,H136,99)</f>
        <v>99</v>
      </c>
      <c r="I185" s="46" t="n">
        <f aca="false">IF(I177&gt;=0,I136,99)</f>
        <v>6</v>
      </c>
      <c r="J185" s="46" t="n">
        <f aca="false">IF(J177&gt;=0,J136,99)</f>
        <v>7</v>
      </c>
      <c r="K185" s="46" t="n">
        <f aca="false">IF(K177&gt;=0,K136,99)</f>
        <v>8</v>
      </c>
      <c r="L185" s="46" t="n">
        <f aca="false">IF(L177&gt;=0,L136,99)</f>
        <v>9</v>
      </c>
      <c r="M185" s="46" t="n">
        <f aca="false">IF(M177&gt;=0,M136,99)</f>
        <v>10</v>
      </c>
    </row>
    <row r="186" customFormat="false" ht="15" hidden="false" customHeight="false" outlineLevel="0" collapsed="false">
      <c r="A186" s="9" t="s">
        <v>515</v>
      </c>
      <c r="C186" s="46" t="n">
        <f aca="false">99</f>
        <v>99</v>
      </c>
      <c r="D186" s="46" t="n">
        <f aca="false">IF(D179&gt;=0,D136,99)</f>
        <v>99</v>
      </c>
      <c r="E186" s="46" t="n">
        <f aca="false">IF(E179&gt;=0,E136,99)</f>
        <v>99</v>
      </c>
      <c r="F186" s="46" t="n">
        <f aca="false">IF(F179&gt;=0,F136,99)</f>
        <v>3</v>
      </c>
      <c r="G186" s="46" t="n">
        <f aca="false">IF(G179&gt;=0,G136,99)</f>
        <v>4</v>
      </c>
      <c r="H186" s="46" t="n">
        <f aca="false">IF(H179&gt;=0,H136,99)</f>
        <v>5</v>
      </c>
      <c r="I186" s="46" t="n">
        <f aca="false">IF(I179&gt;=0,I136,99)</f>
        <v>6</v>
      </c>
      <c r="J186" s="46" t="n">
        <f aca="false">IF(J179&gt;=0,J136,99)</f>
        <v>7</v>
      </c>
      <c r="K186" s="46" t="n">
        <f aca="false">IF(K179&gt;=0,K136,99)</f>
        <v>8</v>
      </c>
      <c r="L186" s="46" t="n">
        <f aca="false">IF(L179&gt;=0,L136,99)</f>
        <v>9</v>
      </c>
      <c r="M186" s="46" t="n">
        <f aca="false">IF(M179&gt;=0,M136,99)</f>
        <v>10</v>
      </c>
    </row>
    <row r="187" customFormat="false" ht="15" hidden="false" customHeight="false" outlineLevel="0" collapsed="false">
      <c r="A187" s="9" t="s">
        <v>516</v>
      </c>
      <c r="C187" s="46" t="n">
        <f aca="false">99</f>
        <v>99</v>
      </c>
      <c r="D187" s="46" t="n">
        <f aca="false">IF(D181&gt;=0,D136,99)</f>
        <v>99</v>
      </c>
      <c r="E187" s="46" t="n">
        <f aca="false">IF(E181&gt;=0,E136,99)</f>
        <v>99</v>
      </c>
      <c r="F187" s="46" t="n">
        <f aca="false">IF(F181&gt;=0,F136,99)</f>
        <v>99</v>
      </c>
      <c r="G187" s="46" t="n">
        <f aca="false">IF(G181&gt;=0,G136,99)</f>
        <v>99</v>
      </c>
      <c r="H187" s="46" t="n">
        <f aca="false">IF(H181&gt;=0,H136,99)</f>
        <v>99</v>
      </c>
      <c r="I187" s="46" t="n">
        <f aca="false">IF(I181&gt;=0,I136,99)</f>
        <v>99</v>
      </c>
      <c r="J187" s="46" t="n">
        <f aca="false">IF(J181&gt;=0,J136,99)</f>
        <v>99</v>
      </c>
      <c r="K187" s="46" t="n">
        <f aca="false">IF(K181&gt;=0,K136,99)</f>
        <v>99</v>
      </c>
      <c r="L187" s="46" t="n">
        <f aca="false">IF(L181&gt;=0,L136,99)</f>
        <v>99</v>
      </c>
      <c r="M187" s="46" t="n">
        <f aca="false">IF(M181&gt;=0,M136,99)</f>
        <v>99</v>
      </c>
    </row>
    <row r="188" customFormat="false" ht="15" hidden="false" customHeight="false" outlineLevel="0" collapsed="false">
      <c r="A188" s="4" t="s">
        <v>517</v>
      </c>
      <c r="C188" s="23" t="n">
        <f aca="false">MIN(D183:M183)</f>
        <v>6</v>
      </c>
    </row>
    <row r="189" customFormat="false" ht="15" hidden="false" customHeight="false" outlineLevel="0" collapsed="false">
      <c r="A189" s="9" t="s">
        <v>518</v>
      </c>
      <c r="C189" s="46" t="n">
        <f aca="false">MIN(D184:M184)</f>
        <v>3</v>
      </c>
    </row>
    <row r="190" customFormat="false" ht="15" hidden="false" customHeight="false" outlineLevel="0" collapsed="false">
      <c r="A190" s="4" t="s">
        <v>519</v>
      </c>
      <c r="C190" s="23" t="n">
        <f aca="false">MIN(D185:M185)</f>
        <v>6</v>
      </c>
    </row>
    <row r="191" customFormat="false" ht="15" hidden="false" customHeight="false" outlineLevel="0" collapsed="false">
      <c r="A191" s="9" t="s">
        <v>520</v>
      </c>
      <c r="C191" s="46" t="n">
        <f aca="false">MIN(D186:M186)</f>
        <v>3</v>
      </c>
    </row>
    <row r="192" customFormat="false" ht="15" hidden="false" customHeight="false" outlineLevel="0" collapsed="false">
      <c r="A192" s="9" t="s">
        <v>521</v>
      </c>
      <c r="C192" s="46" t="n">
        <f aca="false">MIN(D187:M187)</f>
        <v>99</v>
      </c>
    </row>
    <row r="193" customFormat="false" ht="15" hidden="false" customHeight="false" outlineLevel="0" collapsed="false">
      <c r="A193" s="4" t="s">
        <v>522</v>
      </c>
      <c r="C193" s="15" t="n">
        <f aca="false">M181</f>
        <v>-4152.20810784768</v>
      </c>
    </row>
    <row r="194" customFormat="false" ht="15" hidden="false" customHeight="false" outlineLevel="0" collapsed="false">
      <c r="A194" s="9" t="s">
        <v>523</v>
      </c>
      <c r="C194" s="36" t="n">
        <f aca="false">SUMPRODUCT(D149:M149,D182:M182)</f>
        <v>393.6661980332</v>
      </c>
    </row>
    <row r="195" customFormat="false" ht="15" hidden="false" customHeight="false" outlineLevel="0" collapsed="false">
      <c r="A195" s="9" t="s">
        <v>524</v>
      </c>
      <c r="C195" s="36" t="n">
        <f aca="false">M149*(1+a_tg)/(lv_wacc-a_tg)</f>
        <v>2800.9867640832</v>
      </c>
    </row>
    <row r="196" customFormat="false" ht="15" hidden="false" customHeight="false" outlineLevel="0" collapsed="false">
      <c r="A196" s="9" t="s">
        <v>314</v>
      </c>
      <c r="C196" s="36" t="n">
        <f aca="false">C195*M182</f>
        <v>825.138063954411</v>
      </c>
    </row>
    <row r="197" customFormat="false" ht="15" hidden="false" customHeight="false" outlineLevel="0" collapsed="false">
      <c r="A197" s="4" t="s">
        <v>525</v>
      </c>
      <c r="C197" s="15" t="n">
        <f aca="false">C194+C196</f>
        <v>1218.80426198761</v>
      </c>
    </row>
    <row r="198" customFormat="false" ht="15" hidden="false" customHeight="false" outlineLevel="0" collapsed="false">
      <c r="A198" s="9" t="s">
        <v>526</v>
      </c>
      <c r="C198" s="32" t="n">
        <f aca="false">SUMPRODUCT(D159:M159,D182:M182)-a_recovery*M161*M182</f>
        <v>0</v>
      </c>
    </row>
    <row r="199" customFormat="false" ht="15" hidden="false" customHeight="false" outlineLevel="0" collapsed="false">
      <c r="A199" s="9" t="s">
        <v>527</v>
      </c>
      <c r="C199" s="36" t="n">
        <f aca="false">SUMPRODUCT(D158:M158,D182:M182)*(1-a_tax)</f>
        <v>0</v>
      </c>
    </row>
    <row r="200" customFormat="false" ht="15" hidden="false" customHeight="false" outlineLevel="0" collapsed="false">
      <c r="A200" s="9" t="s">
        <v>528</v>
      </c>
      <c r="C200" s="36" t="n">
        <f aca="false">C157*D182</f>
        <v>141.592920353982</v>
      </c>
    </row>
    <row r="201" customFormat="false" ht="15" hidden="false" customHeight="false" outlineLevel="0" collapsed="false">
      <c r="A201" s="4" t="s">
        <v>529</v>
      </c>
      <c r="C201" s="20" t="n">
        <f aca="false">C197+C199-C198-C200-lv_price</f>
        <v>-2922.78865836637</v>
      </c>
    </row>
    <row r="202" customFormat="false" ht="15" hidden="false" customHeight="false" outlineLevel="0" collapsed="false">
      <c r="A202" s="9" t="s">
        <v>530</v>
      </c>
      <c r="C202" s="32" t="n">
        <f aca="false">C201+SUMPRODUCT(D178:M178,D182:M182)</f>
        <v>-2548.37785852562</v>
      </c>
    </row>
    <row r="203" customFormat="false" ht="15" hidden="false" customHeight="false" outlineLevel="0" collapsed="false">
      <c r="A203" s="4" t="s">
        <v>531</v>
      </c>
      <c r="C203" s="59" t="n">
        <f aca="false">lv_price/D139</f>
        <v>15.1515151515152</v>
      </c>
    </row>
    <row r="204" customFormat="false" ht="15" hidden="false" customHeight="false" outlineLevel="0" collapsed="false">
      <c r="A204" s="9" t="s">
        <v>532</v>
      </c>
      <c r="C204" s="17" t="n">
        <f aca="false">(lv_price+C198)/D139</f>
        <v>15.1515151515152</v>
      </c>
    </row>
    <row r="205" customFormat="false" ht="15" hidden="false" customHeight="false" outlineLevel="0" collapsed="false">
      <c r="A205" s="4" t="s">
        <v>533</v>
      </c>
      <c r="C205" s="15" t="n">
        <f aca="false">(C201+C198)/SUMPRODUCT(D182:M182)</f>
        <v>-538.639423630564</v>
      </c>
    </row>
    <row r="206" customFormat="false" ht="15" hidden="false" customHeight="false" outlineLevel="0" collapsed="false">
      <c r="A206" s="4" t="s">
        <v>534</v>
      </c>
      <c r="C206" s="25" t="n">
        <f aca="false">D169</f>
        <v>5.98948080708662</v>
      </c>
    </row>
    <row r="207" customFormat="false" ht="15" hidden="false" customHeight="false" outlineLevel="0" collapsed="false">
      <c r="A207" s="9" t="s">
        <v>535</v>
      </c>
      <c r="C207" s="50" t="n">
        <f aca="false">F169</f>
        <v>6.45476131889764</v>
      </c>
    </row>
    <row r="208" customFormat="false" ht="15" hidden="false" customHeight="false" outlineLevel="0" collapsed="false">
      <c r="A208" s="4" t="s">
        <v>536</v>
      </c>
      <c r="C208" s="20" t="n">
        <f aca="false">D177</f>
        <v>-252.74</v>
      </c>
    </row>
    <row r="209" customFormat="false" ht="15" hidden="false" customHeight="false" outlineLevel="0" collapsed="false">
      <c r="A209" s="9" t="s">
        <v>537</v>
      </c>
      <c r="C209" s="32" t="n">
        <f aca="false">cf_cash-lv_mix_cash-C157</f>
        <v>6640</v>
      </c>
    </row>
    <row r="210" customFormat="false" ht="15" hidden="false" customHeight="false" outlineLevel="0" collapsed="false">
      <c r="A210" s="9" t="s">
        <v>538</v>
      </c>
      <c r="C210" s="32" t="n">
        <f aca="false">cf_debt+lv_mix_debt</f>
        <v>350</v>
      </c>
    </row>
    <row r="211" customFormat="false" ht="15" hidden="false" customHeight="false" outlineLevel="0" collapsed="false">
      <c r="A211" s="9" t="s">
        <v>539</v>
      </c>
      <c r="C211" s="34" t="n">
        <f aca="false">C210/cf_ebitda</f>
        <v>0.546875</v>
      </c>
    </row>
    <row r="212" customFormat="false" ht="15" hidden="false" customHeight="false" outlineLevel="0" collapsed="false">
      <c r="A212" s="9" t="s">
        <v>540</v>
      </c>
      <c r="C212" s="32" t="n">
        <f aca="false">C209+SUM(D180:F180)+3*cf_pat</f>
        <v>7683.2984</v>
      </c>
    </row>
    <row r="214" customFormat="false" ht="15" hidden="false" customHeight="false" outlineLevel="0" collapsed="false">
      <c r="A214" s="7" t="s">
        <v>641</v>
      </c>
      <c r="B214" s="8"/>
      <c r="C214" s="8"/>
      <c r="D214" s="8"/>
      <c r="E214" s="8"/>
      <c r="F214" s="8"/>
      <c r="G214" s="8"/>
      <c r="H214" s="8"/>
      <c r="I214" s="8"/>
      <c r="J214" s="8"/>
      <c r="K214" s="8"/>
      <c r="L214" s="8"/>
      <c r="M214" s="8"/>
      <c r="N214" s="8"/>
    </row>
    <row r="215" customFormat="false" ht="15" hidden="false" customHeight="false" outlineLevel="0" collapsed="false">
      <c r="A215" s="4" t="s">
        <v>284</v>
      </c>
      <c r="C215" s="39" t="n">
        <v>0</v>
      </c>
      <c r="D215" s="39" t="n">
        <v>1</v>
      </c>
      <c r="E215" s="39" t="n">
        <v>2</v>
      </c>
      <c r="F215" s="39" t="n">
        <v>3</v>
      </c>
      <c r="G215" s="39" t="n">
        <v>4</v>
      </c>
      <c r="H215" s="39" t="n">
        <v>5</v>
      </c>
      <c r="I215" s="39" t="n">
        <v>6</v>
      </c>
      <c r="J215" s="39" t="n">
        <v>7</v>
      </c>
      <c r="K215" s="39" t="n">
        <v>8</v>
      </c>
      <c r="L215" s="39" t="n">
        <v>9</v>
      </c>
      <c r="M215" s="39" t="n">
        <v>10</v>
      </c>
    </row>
    <row r="216" customFormat="false" ht="15" hidden="false" customHeight="false" outlineLevel="0" collapsed="false">
      <c r="A216" s="9" t="s">
        <v>285</v>
      </c>
      <c r="C216" s="40" t="n">
        <f aca="false">cf_arr</f>
        <v>220</v>
      </c>
      <c r="D216" s="36" t="n">
        <f aca="false">C216*(1+lv_g)</f>
        <v>264</v>
      </c>
      <c r="E216" s="36" t="n">
        <f aca="false">D216*(1+lv_g)</f>
        <v>316.8</v>
      </c>
      <c r="F216" s="36" t="n">
        <f aca="false">E216*(1+lv_g)</f>
        <v>380.16</v>
      </c>
      <c r="G216" s="36" t="n">
        <f aca="false">F216*(1+lv_g)</f>
        <v>456.192</v>
      </c>
      <c r="H216" s="36" t="n">
        <f aca="false">G216*(1+lv_g)</f>
        <v>547.4304</v>
      </c>
      <c r="I216" s="36" t="n">
        <f aca="false">H216*(1+lv_g)</f>
        <v>656.91648</v>
      </c>
      <c r="J216" s="36" t="n">
        <f aca="false">I216*(1+lv_g)</f>
        <v>788.299776</v>
      </c>
      <c r="K216" s="36" t="n">
        <f aca="false">J216*(1+lv_g)</f>
        <v>945.9597312</v>
      </c>
      <c r="L216" s="36" t="n">
        <f aca="false">K216*(1+lv_g)</f>
        <v>1135.15167744</v>
      </c>
      <c r="M216" s="36" t="n">
        <f aca="false">L216*(1+lv_g)</f>
        <v>1362.182012928</v>
      </c>
    </row>
    <row r="217" customFormat="false" ht="15" hidden="false" customHeight="false" outlineLevel="0" collapsed="false">
      <c r="A217" s="9" t="s">
        <v>286</v>
      </c>
      <c r="C217" s="18" t="n">
        <f aca="false">1</f>
        <v>1</v>
      </c>
      <c r="D217" s="18" t="n">
        <f aca="false">IF(D215&gt;=a_churn_year,1-Churn!$A$14,1)</f>
        <v>0.9</v>
      </c>
      <c r="E217" s="18" t="n">
        <f aca="false">IF(E215&gt;=a_churn_year,1-Churn!$A$14,1)</f>
        <v>0.9</v>
      </c>
      <c r="F217" s="18" t="n">
        <f aca="false">IF(F215&gt;=a_churn_year,1-Churn!$A$14,1)</f>
        <v>0.9</v>
      </c>
      <c r="G217" s="18" t="n">
        <f aca="false">IF(G215&gt;=a_churn_year,1-Churn!$A$14,1)</f>
        <v>0.9</v>
      </c>
      <c r="H217" s="18" t="n">
        <f aca="false">IF(H215&gt;=a_churn_year,1-Churn!$A$14,1)</f>
        <v>0.9</v>
      </c>
      <c r="I217" s="18" t="n">
        <f aca="false">IF(I215&gt;=a_churn_year,1-Churn!$A$14,1)</f>
        <v>0.9</v>
      </c>
      <c r="J217" s="18" t="n">
        <f aca="false">IF(J215&gt;=a_churn_year,1-Churn!$A$14,1)</f>
        <v>0.9</v>
      </c>
      <c r="K217" s="18" t="n">
        <f aca="false">IF(K215&gt;=a_churn_year,1-Churn!$A$14,1)</f>
        <v>0.9</v>
      </c>
      <c r="L217" s="18" t="n">
        <f aca="false">IF(L215&gt;=a_churn_year,1-Churn!$A$14,1)</f>
        <v>0.9</v>
      </c>
      <c r="M217" s="18" t="n">
        <f aca="false">IF(M215&gt;=a_churn_year,1-Churn!$A$14,1)</f>
        <v>0.9</v>
      </c>
    </row>
    <row r="218" customFormat="false" ht="15" hidden="false" customHeight="false" outlineLevel="0" collapsed="false">
      <c r="A218" s="4" t="s">
        <v>287</v>
      </c>
      <c r="C218" s="41" t="n">
        <f aca="false">C216*C217</f>
        <v>220</v>
      </c>
      <c r="D218" s="41" t="n">
        <f aca="false">D216*D217</f>
        <v>237.6</v>
      </c>
      <c r="E218" s="41" t="n">
        <f aca="false">E216*E217</f>
        <v>285.12</v>
      </c>
      <c r="F218" s="41" t="n">
        <f aca="false">F216*F217</f>
        <v>342.144</v>
      </c>
      <c r="G218" s="41" t="n">
        <f aca="false">G216*G217</f>
        <v>410.5728</v>
      </c>
      <c r="H218" s="41" t="n">
        <f aca="false">H216*H217</f>
        <v>492.68736</v>
      </c>
      <c r="I218" s="41" t="n">
        <f aca="false">I216*I217</f>
        <v>591.224832</v>
      </c>
      <c r="J218" s="41" t="n">
        <f aca="false">J216*J217</f>
        <v>709.4697984</v>
      </c>
      <c r="K218" s="41" t="n">
        <f aca="false">K216*K217</f>
        <v>851.36375808</v>
      </c>
      <c r="L218" s="41" t="n">
        <f aca="false">L216*L217</f>
        <v>1021.636509696</v>
      </c>
      <c r="M218" s="41" t="n">
        <f aca="false">M216*M217</f>
        <v>1225.9638116352</v>
      </c>
    </row>
    <row r="219" customFormat="false" ht="15" hidden="false" customHeight="false" outlineLevel="0" collapsed="false">
      <c r="A219" s="9" t="s">
        <v>288</v>
      </c>
      <c r="C219" s="18" t="n">
        <f aca="false">MIN(a_m0+a_mstep*C215,a_mcap)</f>
        <v>0</v>
      </c>
      <c r="D219" s="18" t="n">
        <f aca="false">MIN(a_m0+a_mstep*D215,a_mcap)</f>
        <v>0.05</v>
      </c>
      <c r="E219" s="18" t="n">
        <f aca="false">MIN(a_m0+a_mstep*E215,a_mcap)</f>
        <v>0.1</v>
      </c>
      <c r="F219" s="18" t="n">
        <f aca="false">MIN(a_m0+a_mstep*F215,a_mcap)</f>
        <v>0.15</v>
      </c>
      <c r="G219" s="18" t="n">
        <f aca="false">MIN(a_m0+a_mstep*G215,a_mcap)</f>
        <v>0.2</v>
      </c>
      <c r="H219" s="18" t="n">
        <f aca="false">MIN(a_m0+a_mstep*H215,a_mcap)</f>
        <v>0.25</v>
      </c>
      <c r="I219" s="18" t="n">
        <f aca="false">MIN(a_m0+a_mstep*I215,a_mcap)</f>
        <v>0.25</v>
      </c>
      <c r="J219" s="18" t="n">
        <f aca="false">MIN(a_m0+a_mstep*J215,a_mcap)</f>
        <v>0.25</v>
      </c>
      <c r="K219" s="18" t="n">
        <f aca="false">MIN(a_m0+a_mstep*K215,a_mcap)</f>
        <v>0.25</v>
      </c>
      <c r="L219" s="18" t="n">
        <f aca="false">MIN(a_m0+a_mstep*L215,a_mcap)</f>
        <v>0.25</v>
      </c>
      <c r="M219" s="18" t="n">
        <f aca="false">MIN(a_m0+a_mstep*M215,a_mcap)</f>
        <v>0.25</v>
      </c>
    </row>
    <row r="220" customFormat="false" ht="15" hidden="false" customHeight="false" outlineLevel="0" collapsed="false">
      <c r="A220" s="9" t="s">
        <v>289</v>
      </c>
      <c r="C220" s="36" t="n">
        <f aca="false">IF(C215=a_churn_year,a_sticky*(C216-C218)*(1-C219),0)</f>
        <v>0</v>
      </c>
      <c r="D220" s="36" t="n">
        <f aca="false">IF(D215=a_churn_year,a_sticky*(D216-D218)*(1-D219),0)</f>
        <v>12.54</v>
      </c>
      <c r="E220" s="36" t="n">
        <f aca="false">IF(E215=a_churn_year,a_sticky*(E216-E218)*(1-E219),0)</f>
        <v>0</v>
      </c>
      <c r="F220" s="36" t="n">
        <f aca="false">IF(F215=a_churn_year,a_sticky*(F216-F218)*(1-F219),0)</f>
        <v>0</v>
      </c>
      <c r="G220" s="36" t="n">
        <f aca="false">IF(G215=a_churn_year,a_sticky*(G216-G218)*(1-G219),0)</f>
        <v>0</v>
      </c>
      <c r="H220" s="36" t="n">
        <f aca="false">IF(H215=a_churn_year,a_sticky*(H216-H218)*(1-H219),0)</f>
        <v>0</v>
      </c>
      <c r="I220" s="36" t="n">
        <f aca="false">IF(I215=a_churn_year,a_sticky*(I216-I218)*(1-I219),0)</f>
        <v>0</v>
      </c>
      <c r="J220" s="36" t="n">
        <f aca="false">IF(J215=a_churn_year,a_sticky*(J216-J218)*(1-J219),0)</f>
        <v>0</v>
      </c>
      <c r="K220" s="36" t="n">
        <f aca="false">IF(K215=a_churn_year,a_sticky*(K216-K218)*(1-K219),0)</f>
        <v>0</v>
      </c>
      <c r="L220" s="36" t="n">
        <f aca="false">IF(L215=a_churn_year,a_sticky*(L216-L218)*(1-L219),0)</f>
        <v>0</v>
      </c>
      <c r="M220" s="36" t="n">
        <f aca="false">IF(M215=a_churn_year,a_sticky*(M216-M218)*(1-M219),0)</f>
        <v>0</v>
      </c>
    </row>
    <row r="221" customFormat="false" ht="15" hidden="false" customHeight="false" outlineLevel="0" collapsed="false">
      <c r="A221" s="4" t="s">
        <v>290</v>
      </c>
      <c r="C221" s="41" t="n">
        <f aca="false">C218*C219-C220</f>
        <v>0</v>
      </c>
      <c r="D221" s="41" t="n">
        <f aca="false">D218*D219-D220</f>
        <v>-0.660000000000002</v>
      </c>
      <c r="E221" s="41" t="n">
        <f aca="false">E218*E219-E220</f>
        <v>28.512</v>
      </c>
      <c r="F221" s="41" t="n">
        <f aca="false">F218*F219-F220</f>
        <v>51.3216</v>
      </c>
      <c r="G221" s="41" t="n">
        <f aca="false">G218*G219-G220</f>
        <v>82.11456</v>
      </c>
      <c r="H221" s="41" t="n">
        <f aca="false">H218*H219-H220</f>
        <v>123.17184</v>
      </c>
      <c r="I221" s="41" t="n">
        <f aca="false">I218*I219-I220</f>
        <v>147.806208</v>
      </c>
      <c r="J221" s="41" t="n">
        <f aca="false">J218*J219-J220</f>
        <v>177.3674496</v>
      </c>
      <c r="K221" s="41" t="n">
        <f aca="false">K218*K219-K220</f>
        <v>212.84093952</v>
      </c>
      <c r="L221" s="41" t="n">
        <f aca="false">L218*L219-L220</f>
        <v>255.409127424</v>
      </c>
      <c r="M221" s="41" t="n">
        <f aca="false">M218*M219-M220</f>
        <v>306.4909529088</v>
      </c>
    </row>
    <row r="222" customFormat="false" ht="15" hidden="false" customHeight="false" outlineLevel="0" collapsed="false">
      <c r="A222" s="9" t="s">
        <v>291</v>
      </c>
      <c r="C222" s="36" t="n">
        <f aca="false">C218*a_da</f>
        <v>6.6</v>
      </c>
      <c r="D222" s="36" t="n">
        <f aca="false">D218*a_da</f>
        <v>7.128</v>
      </c>
      <c r="E222" s="36" t="n">
        <f aca="false">E218*a_da</f>
        <v>8.5536</v>
      </c>
      <c r="F222" s="36" t="n">
        <f aca="false">F218*a_da</f>
        <v>10.26432</v>
      </c>
      <c r="G222" s="36" t="n">
        <f aca="false">G218*a_da</f>
        <v>12.317184</v>
      </c>
      <c r="H222" s="36" t="n">
        <f aca="false">H218*a_da</f>
        <v>14.7806208</v>
      </c>
      <c r="I222" s="36" t="n">
        <f aca="false">I218*a_da</f>
        <v>17.73674496</v>
      </c>
      <c r="J222" s="36" t="n">
        <f aca="false">J218*a_da</f>
        <v>21.284093952</v>
      </c>
      <c r="K222" s="36" t="n">
        <f aca="false">K218*a_da</f>
        <v>25.5409127424</v>
      </c>
      <c r="L222" s="36" t="n">
        <f aca="false">L218*a_da</f>
        <v>30.64909529088</v>
      </c>
      <c r="M222" s="36" t="n">
        <f aca="false">M218*a_da</f>
        <v>36.778914349056</v>
      </c>
    </row>
    <row r="223" customFormat="false" ht="15" hidden="false" customHeight="false" outlineLevel="0" collapsed="false">
      <c r="A223" s="9" t="s">
        <v>292</v>
      </c>
      <c r="C223" s="36" t="n">
        <f aca="false">C221-C222</f>
        <v>-6.6</v>
      </c>
      <c r="D223" s="36" t="n">
        <f aca="false">D221-D222</f>
        <v>-7.788</v>
      </c>
      <c r="E223" s="36" t="n">
        <f aca="false">E221-E222</f>
        <v>19.9584</v>
      </c>
      <c r="F223" s="36" t="n">
        <f aca="false">F221-F222</f>
        <v>41.05728</v>
      </c>
      <c r="G223" s="36" t="n">
        <f aca="false">G221-G222</f>
        <v>69.797376</v>
      </c>
      <c r="H223" s="36" t="n">
        <f aca="false">H221-H222</f>
        <v>108.3912192</v>
      </c>
      <c r="I223" s="36" t="n">
        <f aca="false">I221-I222</f>
        <v>130.06946304</v>
      </c>
      <c r="J223" s="36" t="n">
        <f aca="false">J221-J222</f>
        <v>156.083355648</v>
      </c>
      <c r="K223" s="36" t="n">
        <f aca="false">K221-K222</f>
        <v>187.3000267776</v>
      </c>
      <c r="L223" s="36" t="n">
        <f aca="false">L221-L222</f>
        <v>224.76003213312</v>
      </c>
      <c r="M223" s="36" t="n">
        <f aca="false">M221-M222</f>
        <v>269.712038559744</v>
      </c>
    </row>
    <row r="224" customFormat="false" ht="15" hidden="false" customHeight="false" outlineLevel="0" collapsed="false">
      <c r="A224" s="9" t="s">
        <v>293</v>
      </c>
      <c r="C224" s="36" t="n">
        <f aca="false">MAX(0,C223)*a_tax</f>
        <v>0</v>
      </c>
      <c r="D224" s="36" t="n">
        <f aca="false">MAX(0,D223)*a_tax</f>
        <v>0</v>
      </c>
      <c r="E224" s="36" t="n">
        <f aca="false">MAX(0,E223)*a_tax</f>
        <v>4.9896</v>
      </c>
      <c r="F224" s="36" t="n">
        <f aca="false">MAX(0,F223)*a_tax</f>
        <v>10.26432</v>
      </c>
      <c r="G224" s="36" t="n">
        <f aca="false">MAX(0,G223)*a_tax</f>
        <v>17.449344</v>
      </c>
      <c r="H224" s="36" t="n">
        <f aca="false">MAX(0,H223)*a_tax</f>
        <v>27.0978048</v>
      </c>
      <c r="I224" s="36" t="n">
        <f aca="false">MAX(0,I223)*a_tax</f>
        <v>32.51736576</v>
      </c>
      <c r="J224" s="36" t="n">
        <f aca="false">MAX(0,J223)*a_tax</f>
        <v>39.020838912</v>
      </c>
      <c r="K224" s="36" t="n">
        <f aca="false">MAX(0,K223)*a_tax</f>
        <v>46.8250066944</v>
      </c>
      <c r="L224" s="36" t="n">
        <f aca="false">MAX(0,L223)*a_tax</f>
        <v>56.19000803328</v>
      </c>
      <c r="M224" s="36" t="n">
        <f aca="false">MAX(0,M223)*a_tax</f>
        <v>67.428009639936</v>
      </c>
    </row>
    <row r="225" customFormat="false" ht="15" hidden="false" customHeight="false" outlineLevel="0" collapsed="false">
      <c r="A225" s="4" t="s">
        <v>294</v>
      </c>
      <c r="C225" s="42" t="n">
        <f aca="false">cf_lim_pat</f>
        <v>0</v>
      </c>
      <c r="D225" s="41" t="n">
        <f aca="false">D223-D224</f>
        <v>-7.788</v>
      </c>
      <c r="E225" s="41" t="n">
        <f aca="false">E223-E224</f>
        <v>14.9688</v>
      </c>
      <c r="F225" s="41" t="n">
        <f aca="false">F223-F224</f>
        <v>30.79296</v>
      </c>
      <c r="G225" s="41" t="n">
        <f aca="false">G223-G224</f>
        <v>52.348032</v>
      </c>
      <c r="H225" s="41" t="n">
        <f aca="false">H223-H224</f>
        <v>81.2934144</v>
      </c>
      <c r="I225" s="41" t="n">
        <f aca="false">I223-I224</f>
        <v>97.55209728</v>
      </c>
      <c r="J225" s="41" t="n">
        <f aca="false">J223-J224</f>
        <v>117.062516736</v>
      </c>
      <c r="K225" s="41" t="n">
        <f aca="false">K223-K224</f>
        <v>140.4750200832</v>
      </c>
      <c r="L225" s="41" t="n">
        <f aca="false">L223-L224</f>
        <v>168.57002409984</v>
      </c>
      <c r="M225" s="41" t="n">
        <f aca="false">M223-M224</f>
        <v>202.284028919808</v>
      </c>
    </row>
    <row r="226" customFormat="false" ht="15" hidden="false" customHeight="false" outlineLevel="0" collapsed="false">
      <c r="A226" s="9" t="s">
        <v>295</v>
      </c>
      <c r="C226" s="36" t="n">
        <f aca="false">C218*a_capex</f>
        <v>6.6</v>
      </c>
      <c r="D226" s="36" t="n">
        <f aca="false">D218*a_capex</f>
        <v>7.128</v>
      </c>
      <c r="E226" s="36" t="n">
        <f aca="false">E218*a_capex</f>
        <v>8.5536</v>
      </c>
      <c r="F226" s="36" t="n">
        <f aca="false">F218*a_capex</f>
        <v>10.26432</v>
      </c>
      <c r="G226" s="36" t="n">
        <f aca="false">G218*a_capex</f>
        <v>12.317184</v>
      </c>
      <c r="H226" s="36" t="n">
        <f aca="false">H218*a_capex</f>
        <v>14.7806208</v>
      </c>
      <c r="I226" s="36" t="n">
        <f aca="false">I218*a_capex</f>
        <v>17.73674496</v>
      </c>
      <c r="J226" s="36" t="n">
        <f aca="false">J218*a_capex</f>
        <v>21.284093952</v>
      </c>
      <c r="K226" s="36" t="n">
        <f aca="false">K218*a_capex</f>
        <v>25.5409127424</v>
      </c>
      <c r="L226" s="36" t="n">
        <f aca="false">L218*a_capex</f>
        <v>30.64909529088</v>
      </c>
      <c r="M226" s="36" t="n">
        <f aca="false">M218*a_capex</f>
        <v>36.778914349056</v>
      </c>
    </row>
    <row r="227" customFormat="false" ht="15" hidden="false" customHeight="false" outlineLevel="0" collapsed="false">
      <c r="A227" s="9" t="s">
        <v>296</v>
      </c>
      <c r="C227" s="36" t="n">
        <f aca="false">0</f>
        <v>0</v>
      </c>
      <c r="D227" s="36" t="n">
        <f aca="false">a_wc*(D218-C218)</f>
        <v>0.88</v>
      </c>
      <c r="E227" s="36" t="n">
        <f aca="false">a_wc*(E218-D218)</f>
        <v>2.376</v>
      </c>
      <c r="F227" s="36" t="n">
        <f aca="false">a_wc*(F218-E218)</f>
        <v>2.8512</v>
      </c>
      <c r="G227" s="36" t="n">
        <f aca="false">a_wc*(G218-F218)</f>
        <v>3.42144</v>
      </c>
      <c r="H227" s="36" t="n">
        <f aca="false">a_wc*(H218-G218)</f>
        <v>4.105728</v>
      </c>
      <c r="I227" s="36" t="n">
        <f aca="false">a_wc*(I218-H218)</f>
        <v>4.9268736</v>
      </c>
      <c r="J227" s="36" t="n">
        <f aca="false">a_wc*(J218-I218)</f>
        <v>5.91224832</v>
      </c>
      <c r="K227" s="36" t="n">
        <f aca="false">a_wc*(K218-J218)</f>
        <v>7.094697984</v>
      </c>
      <c r="L227" s="36" t="n">
        <f aca="false">a_wc*(L218-K218)</f>
        <v>8.51363758079999</v>
      </c>
      <c r="M227" s="36" t="n">
        <f aca="false">a_wc*(M218-L218)</f>
        <v>10.21636509696</v>
      </c>
    </row>
    <row r="228" customFormat="false" ht="15" hidden="false" customHeight="false" outlineLevel="0" collapsed="false">
      <c r="A228" s="4" t="s">
        <v>297</v>
      </c>
      <c r="C228" s="36" t="n">
        <f aca="false">0</f>
        <v>0</v>
      </c>
      <c r="D228" s="41" t="n">
        <f aca="false">D225+D222-D226-D227</f>
        <v>-8.668</v>
      </c>
      <c r="E228" s="41" t="n">
        <f aca="false">E225+E222-E226-E227</f>
        <v>12.5928</v>
      </c>
      <c r="F228" s="41" t="n">
        <f aca="false">F225+F222-F226-F227</f>
        <v>27.94176</v>
      </c>
      <c r="G228" s="41" t="n">
        <f aca="false">G225+G222-G226-G227</f>
        <v>48.926592</v>
      </c>
      <c r="H228" s="41" t="n">
        <f aca="false">H225+H222-H226-H227</f>
        <v>77.1876864</v>
      </c>
      <c r="I228" s="41" t="n">
        <f aca="false">I225+I222-I226-I227</f>
        <v>92.62522368</v>
      </c>
      <c r="J228" s="41" t="n">
        <f aca="false">J225+J222-J226-J227</f>
        <v>111.150268416</v>
      </c>
      <c r="K228" s="41" t="n">
        <f aca="false">K225+K222-K226-K227</f>
        <v>133.3803220992</v>
      </c>
      <c r="L228" s="41" t="n">
        <f aca="false">L225+L222-L226-L227</f>
        <v>160.05638651904</v>
      </c>
      <c r="M228" s="41" t="n">
        <f aca="false">M225+M222-M226-M227</f>
        <v>192.067663822848</v>
      </c>
    </row>
    <row r="230" customFormat="false" ht="15" hidden="false" customHeight="false" outlineLevel="0" collapsed="false">
      <c r="A230" s="7" t="s">
        <v>642</v>
      </c>
      <c r="B230" s="8"/>
      <c r="C230" s="8"/>
      <c r="D230" s="8"/>
      <c r="E230" s="8"/>
      <c r="F230" s="8"/>
      <c r="G230" s="8"/>
      <c r="H230" s="8"/>
      <c r="I230" s="8"/>
      <c r="J230" s="8"/>
      <c r="K230" s="8"/>
      <c r="L230" s="8"/>
      <c r="M230" s="8"/>
      <c r="N230" s="8"/>
    </row>
    <row r="231" customFormat="false" ht="15" hidden="false" customHeight="false" outlineLevel="0" collapsed="false">
      <c r="A231" s="9" t="s">
        <v>482</v>
      </c>
      <c r="C231" s="35" t="n">
        <f aca="false">lv_mix_eq/(c_price*(1-a_issue_disc))</f>
        <v>1.024</v>
      </c>
    </row>
    <row r="232" customFormat="false" ht="15" hidden="false" customHeight="false" outlineLevel="0" collapsed="false">
      <c r="A232" s="9" t="s">
        <v>449</v>
      </c>
      <c r="C232" s="35" t="n">
        <f aca="false">cf_shares+C231</f>
        <v>65.024</v>
      </c>
    </row>
    <row r="233" customFormat="false" ht="15" hidden="false" customHeight="false" outlineLevel="0" collapsed="false">
      <c r="A233" s="9" t="s">
        <v>483</v>
      </c>
      <c r="C233" s="36" t="n">
        <f aca="false">lv_mix_cash*a_yield*(1-a_tax)+lv_mix_debt*a_kd*(1-a_tax)</f>
        <v>94.5</v>
      </c>
    </row>
    <row r="234" customFormat="false" ht="15" hidden="false" customHeight="false" outlineLevel="0" collapsed="false">
      <c r="A234" s="9" t="s">
        <v>484</v>
      </c>
      <c r="C234" s="36" t="n">
        <f aca="false">lv_price*a_ppa_share/a_ppa_life*(1-a_tax)</f>
        <v>93.75</v>
      </c>
    </row>
    <row r="235" customFormat="false" ht="15" hidden="false" customHeight="false" outlineLevel="0" collapsed="false">
      <c r="A235" s="9" t="s">
        <v>485</v>
      </c>
      <c r="C235" s="36" t="n">
        <f aca="false">a_ppa_on*C234</f>
        <v>0</v>
      </c>
    </row>
    <row r="236" customFormat="false" ht="15" hidden="false" customHeight="false" outlineLevel="0" collapsed="false">
      <c r="A236" s="9" t="s">
        <v>486</v>
      </c>
      <c r="C236" s="36" t="n">
        <f aca="false">lv_price*a_fees_pct+a_integ_full</f>
        <v>160</v>
      </c>
    </row>
    <row r="237" customFormat="false" ht="15" hidden="false" customHeight="false" outlineLevel="0" collapsed="false">
      <c r="A237" s="9" t="s">
        <v>487</v>
      </c>
      <c r="C237" s="36" t="n">
        <f aca="false">0</f>
        <v>0</v>
      </c>
      <c r="D237" s="36" t="n">
        <f aca="false">a_syn_on*(a_syn_partner_rev_y3+a_syn_xsell_y3)*a_mcap*IF(D215=1,a_syn_ramp1,IF(D215=2,a_syn_ramp2,1))+a_syn_on*IF(D215&gt;=2,a_syn_cost,0)</f>
        <v>0</v>
      </c>
      <c r="E237" s="36" t="n">
        <f aca="false">a_syn_on*(a_syn_partner_rev_y3+a_syn_xsell_y3)*a_mcap*IF(E215=1,a_syn_ramp1,IF(E215=2,a_syn_ramp2,1))+a_syn_on*IF(E215&gt;=2,a_syn_cost,0)</f>
        <v>0</v>
      </c>
      <c r="F237" s="36" t="n">
        <f aca="false">a_syn_on*(a_syn_partner_rev_y3+a_syn_xsell_y3)*a_mcap*IF(F215=1,a_syn_ramp1,IF(F215=2,a_syn_ramp2,1))+a_syn_on*IF(F215&gt;=2,a_syn_cost,0)</f>
        <v>0</v>
      </c>
      <c r="G237" s="36" t="n">
        <f aca="false">a_syn_on*(a_syn_partner_rev_y3+a_syn_xsell_y3)*a_mcap*IF(G215=1,a_syn_ramp1,IF(G215=2,a_syn_ramp2,1))+a_syn_on*IF(G215&gt;=2,a_syn_cost,0)</f>
        <v>0</v>
      </c>
      <c r="H237" s="36" t="n">
        <f aca="false">a_syn_on*(a_syn_partner_rev_y3+a_syn_xsell_y3)*a_mcap*IF(H215=1,a_syn_ramp1,IF(H215=2,a_syn_ramp2,1))+a_syn_on*IF(H215&gt;=2,a_syn_cost,0)</f>
        <v>0</v>
      </c>
      <c r="I237" s="36" t="n">
        <f aca="false">a_syn_on*(a_syn_partner_rev_y3+a_syn_xsell_y3)*a_mcap*IF(I215=1,a_syn_ramp1,IF(I215=2,a_syn_ramp2,1))+a_syn_on*IF(I215&gt;=2,a_syn_cost,0)</f>
        <v>0</v>
      </c>
      <c r="J237" s="36" t="n">
        <f aca="false">a_syn_on*(a_syn_partner_rev_y3+a_syn_xsell_y3)*a_mcap*IF(J215=1,a_syn_ramp1,IF(J215=2,a_syn_ramp2,1))+a_syn_on*IF(J215&gt;=2,a_syn_cost,0)</f>
        <v>0</v>
      </c>
      <c r="K237" s="36" t="n">
        <f aca="false">a_syn_on*(a_syn_partner_rev_y3+a_syn_xsell_y3)*a_mcap*IF(K215=1,a_syn_ramp1,IF(K215=2,a_syn_ramp2,1))+a_syn_on*IF(K215&gt;=2,a_syn_cost,0)</f>
        <v>0</v>
      </c>
      <c r="L237" s="36" t="n">
        <f aca="false">a_syn_on*(a_syn_partner_rev_y3+a_syn_xsell_y3)*a_mcap*IF(L215=1,a_syn_ramp1,IF(L215=2,a_syn_ramp2,1))+a_syn_on*IF(L215&gt;=2,a_syn_cost,0)</f>
        <v>0</v>
      </c>
      <c r="M237" s="36" t="n">
        <f aca="false">a_syn_on*(a_syn_partner_rev_y3+a_syn_xsell_y3)*a_mcap*IF(M215=1,a_syn_ramp1,IF(M215=2,a_syn_ramp2,1))+a_syn_on*IF(M215&gt;=2,a_syn_cost,0)</f>
        <v>0</v>
      </c>
    </row>
    <row r="238" customFormat="false" ht="15" hidden="false" customHeight="false" outlineLevel="0" collapsed="false">
      <c r="A238" s="9" t="s">
        <v>488</v>
      </c>
      <c r="C238" s="36" t="n">
        <f aca="false">0</f>
        <v>0</v>
      </c>
      <c r="D238" s="36" t="n">
        <f aca="false">CHOOSE(lv_drag_mode,lv_drag,lv_drag*D218/cf_arr,lv_drag*(1-a_tax))</f>
        <v>750</v>
      </c>
      <c r="E238" s="36" t="n">
        <f aca="false">CHOOSE(lv_drag_mode,lv_drag,lv_drag*E218/cf_arr,lv_drag*(1-a_tax))</f>
        <v>750</v>
      </c>
      <c r="F238" s="36" t="n">
        <f aca="false">CHOOSE(lv_drag_mode,lv_drag,lv_drag*F218/cf_arr,lv_drag*(1-a_tax))</f>
        <v>750</v>
      </c>
      <c r="G238" s="36" t="n">
        <f aca="false">CHOOSE(lv_drag_mode,lv_drag,lv_drag*G218/cf_arr,lv_drag*(1-a_tax))</f>
        <v>750</v>
      </c>
      <c r="H238" s="36" t="n">
        <f aca="false">CHOOSE(lv_drag_mode,lv_drag,lv_drag*H218/cf_arr,lv_drag*(1-a_tax))</f>
        <v>750</v>
      </c>
      <c r="I238" s="36" t="n">
        <f aca="false">CHOOSE(lv_drag_mode,lv_drag,lv_drag*I218/cf_arr,lv_drag*(1-a_tax))</f>
        <v>750</v>
      </c>
      <c r="J238" s="36" t="n">
        <f aca="false">CHOOSE(lv_drag_mode,lv_drag,lv_drag*J218/cf_arr,lv_drag*(1-a_tax))</f>
        <v>750</v>
      </c>
      <c r="K238" s="36" t="n">
        <f aca="false">CHOOSE(lv_drag_mode,lv_drag,lv_drag*K218/cf_arr,lv_drag*(1-a_tax))</f>
        <v>750</v>
      </c>
      <c r="L238" s="36" t="n">
        <f aca="false">CHOOSE(lv_drag_mode,lv_drag,lv_drag*L218/cf_arr,lv_drag*(1-a_tax))</f>
        <v>750</v>
      </c>
      <c r="M238" s="36" t="n">
        <f aca="false">CHOOSE(lv_drag_mode,lv_drag,lv_drag*M218/cf_arr,lv_drag*(1-a_tax))</f>
        <v>750</v>
      </c>
    </row>
    <row r="239" customFormat="false" ht="15" hidden="false" customHeight="false" outlineLevel="0" collapsed="false">
      <c r="A239" s="9" t="s">
        <v>489</v>
      </c>
      <c r="C239" s="36" t="n">
        <f aca="false">0</f>
        <v>0</v>
      </c>
      <c r="D239" s="36" t="n">
        <f aca="false">IF(lv_drag_mode=3,lv_drag*(1-a_tax),0)</f>
        <v>0</v>
      </c>
      <c r="E239" s="36" t="n">
        <f aca="false">IF(lv_drag_mode=3,lv_drag*(1-a_tax),0)</f>
        <v>0</v>
      </c>
      <c r="F239" s="36" t="n">
        <f aca="false">IF(lv_drag_mode=3,lv_drag*(1-a_tax),0)</f>
        <v>0</v>
      </c>
      <c r="G239" s="36" t="n">
        <f aca="false">IF(lv_drag_mode=3,lv_drag*(1-a_tax),0)</f>
        <v>0</v>
      </c>
      <c r="H239" s="36" t="n">
        <f aca="false">IF(lv_drag_mode=3,lv_drag*(1-a_tax),0)</f>
        <v>0</v>
      </c>
      <c r="I239" s="36" t="n">
        <f aca="false">IF(lv_drag_mode=3,lv_drag*(1-a_tax),0)</f>
        <v>0</v>
      </c>
      <c r="J239" s="36" t="n">
        <f aca="false">IF(lv_drag_mode=3,lv_drag*(1-a_tax),0)</f>
        <v>0</v>
      </c>
      <c r="K239" s="36" t="n">
        <f aca="false">IF(lv_drag_mode=3,lv_drag*(1-a_tax),0)</f>
        <v>0</v>
      </c>
      <c r="L239" s="36" t="n">
        <f aca="false">IF(lv_drag_mode=3,lv_drag*(1-a_tax),0)</f>
        <v>0</v>
      </c>
      <c r="M239" s="36" t="n">
        <f aca="false">IF(lv_drag_mode=3,lv_drag*(1-a_tax),0)</f>
        <v>0</v>
      </c>
    </row>
    <row r="240" customFormat="false" ht="15" hidden="false" customHeight="false" outlineLevel="0" collapsed="false">
      <c r="A240" s="9" t="s">
        <v>490</v>
      </c>
      <c r="C240" s="36" t="n">
        <f aca="false">0</f>
        <v>0</v>
      </c>
      <c r="D240" s="36" t="n">
        <f aca="false">IF(lv_drag_mode=3,0,C240+D238)</f>
        <v>750</v>
      </c>
      <c r="E240" s="36" t="n">
        <f aca="false">IF(lv_drag_mode=3,0,D240+E238)</f>
        <v>1500</v>
      </c>
      <c r="F240" s="36" t="n">
        <f aca="false">IF(lv_drag_mode=3,0,E240+F238)</f>
        <v>2250</v>
      </c>
      <c r="G240" s="36" t="n">
        <f aca="false">IF(lv_drag_mode=3,0,F240+G238)</f>
        <v>3000</v>
      </c>
      <c r="H240" s="36" t="n">
        <f aca="false">IF(lv_drag_mode=3,0,G240+H238)</f>
        <v>3750</v>
      </c>
      <c r="I240" s="36" t="n">
        <f aca="false">IF(lv_drag_mode=3,0,H240+I238)</f>
        <v>4500</v>
      </c>
      <c r="J240" s="36" t="n">
        <f aca="false">IF(lv_drag_mode=3,0,I240+J238)</f>
        <v>5250</v>
      </c>
      <c r="K240" s="36" t="n">
        <f aca="false">IF(lv_drag_mode=3,0,J240+K238)</f>
        <v>6000</v>
      </c>
      <c r="L240" s="36" t="n">
        <f aca="false">IF(lv_drag_mode=3,0,K240+L238)</f>
        <v>6750</v>
      </c>
      <c r="M240" s="36" t="n">
        <f aca="false">IF(lv_drag_mode=3,0,L240+M238)</f>
        <v>7500</v>
      </c>
    </row>
    <row r="241" customFormat="false" ht="15" hidden="false" customHeight="false" outlineLevel="0" collapsed="false">
      <c r="A241" s="9" t="s">
        <v>491</v>
      </c>
      <c r="C241" s="36" t="n">
        <f aca="false">0</f>
        <v>0</v>
      </c>
      <c r="D241" s="36" t="n">
        <f aca="false">C240*a_yield*(1-a_tax)</f>
        <v>0</v>
      </c>
      <c r="E241" s="36" t="n">
        <f aca="false">D240*a_yield*(1-a_tax)</f>
        <v>33.75</v>
      </c>
      <c r="F241" s="36" t="n">
        <f aca="false">E240*a_yield*(1-a_tax)</f>
        <v>67.5</v>
      </c>
      <c r="G241" s="36" t="n">
        <f aca="false">F240*a_yield*(1-a_tax)</f>
        <v>101.25</v>
      </c>
      <c r="H241" s="36" t="n">
        <f aca="false">G240*a_yield*(1-a_tax)</f>
        <v>135</v>
      </c>
      <c r="I241" s="36" t="n">
        <f aca="false">H240*a_yield*(1-a_tax)</f>
        <v>168.75</v>
      </c>
      <c r="J241" s="36" t="n">
        <f aca="false">I240*a_yield*(1-a_tax)</f>
        <v>202.5</v>
      </c>
      <c r="K241" s="36" t="n">
        <f aca="false">J240*a_yield*(1-a_tax)</f>
        <v>236.25</v>
      </c>
      <c r="L241" s="36" t="n">
        <f aca="false">K240*a_yield*(1-a_tax)</f>
        <v>270</v>
      </c>
      <c r="M241" s="36" t="n">
        <f aca="false">L240*a_yield*(1-a_tax)</f>
        <v>303.75</v>
      </c>
    </row>
    <row r="242" customFormat="false" ht="15" hidden="false" customHeight="false" outlineLevel="0" collapsed="false">
      <c r="A242" s="9" t="s">
        <v>492</v>
      </c>
      <c r="C242" s="36" t="n">
        <f aca="false">cf_pat</f>
        <v>480</v>
      </c>
      <c r="D242" s="36" t="n">
        <f aca="false">cf_pat*(1+a_pat_growth)^D215</f>
        <v>480</v>
      </c>
      <c r="E242" s="36" t="n">
        <f aca="false">cf_pat*(1+a_pat_growth)^E215</f>
        <v>480</v>
      </c>
      <c r="F242" s="36" t="n">
        <f aca="false">cf_pat*(1+a_pat_growth)^F215</f>
        <v>480</v>
      </c>
      <c r="G242" s="36" t="n">
        <f aca="false">cf_pat*(1+a_pat_growth)^G215</f>
        <v>480</v>
      </c>
      <c r="H242" s="36" t="n">
        <f aca="false">cf_pat*(1+a_pat_growth)^H215</f>
        <v>480</v>
      </c>
      <c r="I242" s="36" t="n">
        <f aca="false">cf_pat*(1+a_pat_growth)^I215</f>
        <v>480</v>
      </c>
      <c r="J242" s="36" t="n">
        <f aca="false">cf_pat*(1+a_pat_growth)^J215</f>
        <v>480</v>
      </c>
      <c r="K242" s="36" t="n">
        <f aca="false">cf_pat*(1+a_pat_growth)^K215</f>
        <v>480</v>
      </c>
      <c r="L242" s="36" t="n">
        <f aca="false">cf_pat*(1+a_pat_growth)^L215</f>
        <v>480</v>
      </c>
      <c r="M242" s="36" t="n">
        <f aca="false">cf_pat*(1+a_pat_growth)^M215</f>
        <v>480</v>
      </c>
    </row>
    <row r="243" customFormat="false" ht="15" hidden="false" customHeight="false" outlineLevel="0" collapsed="false">
      <c r="A243" s="9" t="s">
        <v>493</v>
      </c>
      <c r="C243" s="36" t="n">
        <f aca="false">0</f>
        <v>0</v>
      </c>
      <c r="D243" s="36" t="n">
        <f aca="false">cf_mdr*a_mdr_flow*(1-a_tax)</f>
        <v>69</v>
      </c>
      <c r="E243" s="36" t="n">
        <f aca="false">cf_mdr*a_mdr_flow*(1-a_tax)</f>
        <v>69</v>
      </c>
      <c r="F243" s="36" t="n">
        <f aca="false">cf_mdr*a_mdr_flow*(1-a_tax)</f>
        <v>69</v>
      </c>
      <c r="G243" s="36" t="n">
        <f aca="false">cf_mdr*a_mdr_flow*(1-a_tax)</f>
        <v>69</v>
      </c>
      <c r="H243" s="36" t="n">
        <f aca="false">cf_mdr*a_mdr_flow*(1-a_tax)</f>
        <v>69</v>
      </c>
      <c r="I243" s="36" t="n">
        <f aca="false">cf_mdr*a_mdr_flow*(1-a_tax)</f>
        <v>69</v>
      </c>
      <c r="J243" s="36" t="n">
        <f aca="false">cf_mdr*a_mdr_flow*(1-a_tax)</f>
        <v>69</v>
      </c>
      <c r="K243" s="36" t="n">
        <f aca="false">cf_mdr*a_mdr_flow*(1-a_tax)</f>
        <v>69</v>
      </c>
      <c r="L243" s="36" t="n">
        <f aca="false">cf_mdr*a_mdr_flow*(1-a_tax)</f>
        <v>69</v>
      </c>
      <c r="M243" s="36" t="n">
        <f aca="false">cf_mdr*a_mdr_flow*(1-a_tax)</f>
        <v>69</v>
      </c>
    </row>
    <row r="244" customFormat="false" ht="15" hidden="false" customHeight="false" outlineLevel="0" collapsed="false">
      <c r="A244" s="9" t="s">
        <v>494</v>
      </c>
      <c r="C244" s="50" t="n">
        <f aca="false">cf_eps</f>
        <v>7.5</v>
      </c>
      <c r="D244" s="50" t="n">
        <f aca="false">D242/cf_shares</f>
        <v>7.5</v>
      </c>
      <c r="E244" s="50" t="n">
        <f aca="false">E242/cf_shares</f>
        <v>7.5</v>
      </c>
      <c r="F244" s="50" t="n">
        <f aca="false">F242/cf_shares</f>
        <v>7.5</v>
      </c>
      <c r="G244" s="50" t="n">
        <f aca="false">G242/cf_shares</f>
        <v>7.5</v>
      </c>
      <c r="H244" s="50" t="n">
        <f aca="false">H242/cf_shares</f>
        <v>7.5</v>
      </c>
      <c r="I244" s="50" t="n">
        <f aca="false">I242/cf_shares</f>
        <v>7.5</v>
      </c>
      <c r="J244" s="50" t="n">
        <f aca="false">J242/cf_shares</f>
        <v>7.5</v>
      </c>
      <c r="K244" s="50" t="n">
        <f aca="false">K242/cf_shares</f>
        <v>7.5</v>
      </c>
      <c r="L244" s="50" t="n">
        <f aca="false">L242/cf_shares</f>
        <v>7.5</v>
      </c>
      <c r="M244" s="50" t="n">
        <f aca="false">M242/cf_shares</f>
        <v>7.5</v>
      </c>
    </row>
    <row r="245" customFormat="false" ht="15" hidden="false" customHeight="false" outlineLevel="0" collapsed="false">
      <c r="A245" s="9" t="s">
        <v>495</v>
      </c>
      <c r="C245" s="50" t="n">
        <f aca="false">cf_eps</f>
        <v>7.5</v>
      </c>
      <c r="D245" s="50" t="n">
        <f aca="false">(D242+D243)/cf_shares</f>
        <v>8.578125</v>
      </c>
      <c r="E245" s="50" t="n">
        <f aca="false">(E242+E243)/cf_shares</f>
        <v>8.578125</v>
      </c>
      <c r="F245" s="50" t="n">
        <f aca="false">(F242+F243)/cf_shares</f>
        <v>8.578125</v>
      </c>
      <c r="G245" s="50" t="n">
        <f aca="false">(G242+G243)/cf_shares</f>
        <v>8.578125</v>
      </c>
      <c r="H245" s="50" t="n">
        <f aca="false">(H242+H243)/cf_shares</f>
        <v>8.578125</v>
      </c>
      <c r="I245" s="50" t="n">
        <f aca="false">(I242+I243)/cf_shares</f>
        <v>8.578125</v>
      </c>
      <c r="J245" s="50" t="n">
        <f aca="false">(J242+J243)/cf_shares</f>
        <v>8.578125</v>
      </c>
      <c r="K245" s="50" t="n">
        <f aca="false">(K242+K243)/cf_shares</f>
        <v>8.578125</v>
      </c>
      <c r="L245" s="50" t="n">
        <f aca="false">(L242+L243)/cf_shares</f>
        <v>8.578125</v>
      </c>
      <c r="M245" s="50" t="n">
        <f aca="false">(M242+M243)/cf_shares</f>
        <v>8.578125</v>
      </c>
    </row>
    <row r="246" customFormat="false" ht="15" hidden="false" customHeight="false" outlineLevel="0" collapsed="false">
      <c r="A246" s="4" t="s">
        <v>496</v>
      </c>
      <c r="C246" s="41" t="n">
        <f aca="false">-C233-C235</f>
        <v>-94.5</v>
      </c>
      <c r="D246" s="41" t="n">
        <f aca="false">D225+D237*(1-a_tax)-C233-C235-D239-D241</f>
        <v>-102.288</v>
      </c>
      <c r="E246" s="41" t="n">
        <f aca="false">E225+E237*(1-a_tax)-C233-C235-E239-E241</f>
        <v>-113.2812</v>
      </c>
      <c r="F246" s="41" t="n">
        <f aca="false">F225+F237*(1-a_tax)-C233-C235-F239-F241</f>
        <v>-131.20704</v>
      </c>
      <c r="G246" s="41" t="n">
        <f aca="false">G225+G237*(1-a_tax)-C233-C235-G239-G241</f>
        <v>-143.401968</v>
      </c>
      <c r="H246" s="41" t="n">
        <f aca="false">H225+H237*(1-a_tax)-C233-C235-H239-H241</f>
        <v>-148.2065856</v>
      </c>
      <c r="I246" s="41" t="n">
        <f aca="false">I225+I237*(1-a_tax)-C233-C235-I239-I241</f>
        <v>-165.69790272</v>
      </c>
      <c r="J246" s="41" t="n">
        <f aca="false">J225+J237*(1-a_tax)-C233-C235-J239-J241</f>
        <v>-179.937483264</v>
      </c>
      <c r="K246" s="41" t="n">
        <f aca="false">K225+K237*(1-a_tax)-C233-C235-K239-K241</f>
        <v>-190.2749799168</v>
      </c>
      <c r="L246" s="41" t="n">
        <f aca="false">L225+L237*(1-a_tax)-C233-C235-L239-L241</f>
        <v>-195.92997590016</v>
      </c>
      <c r="M246" s="41" t="n">
        <f aca="false">M225+M237*(1-a_tax)-C233-C235-M239-M241</f>
        <v>-195.965971080192</v>
      </c>
    </row>
    <row r="247" customFormat="false" ht="15" hidden="false" customHeight="false" outlineLevel="0" collapsed="false">
      <c r="A247" s="9" t="s">
        <v>497</v>
      </c>
      <c r="C247" s="36" t="n">
        <f aca="false">C242+C246</f>
        <v>385.5</v>
      </c>
      <c r="D247" s="36" t="n">
        <f aca="false">D242+D246</f>
        <v>377.712</v>
      </c>
      <c r="E247" s="36" t="n">
        <f aca="false">E242+E246</f>
        <v>366.7188</v>
      </c>
      <c r="F247" s="36" t="n">
        <f aca="false">F242+F246</f>
        <v>348.79296</v>
      </c>
      <c r="G247" s="36" t="n">
        <f aca="false">G242+G246</f>
        <v>336.598032</v>
      </c>
      <c r="H247" s="36" t="n">
        <f aca="false">H242+H246</f>
        <v>331.7934144</v>
      </c>
      <c r="I247" s="36" t="n">
        <f aca="false">I242+I246</f>
        <v>314.30209728</v>
      </c>
      <c r="J247" s="36" t="n">
        <f aca="false">J242+J246</f>
        <v>300.062516736</v>
      </c>
      <c r="K247" s="36" t="n">
        <f aca="false">K242+K246</f>
        <v>289.7250200832</v>
      </c>
      <c r="L247" s="36" t="n">
        <f aca="false">L242+L246</f>
        <v>284.07002409984</v>
      </c>
      <c r="M247" s="36" t="n">
        <f aca="false">M242+M246</f>
        <v>284.034028919808</v>
      </c>
    </row>
    <row r="248" customFormat="false" ht="15" hidden="false" customHeight="false" outlineLevel="0" collapsed="false">
      <c r="A248" s="4" t="s">
        <v>498</v>
      </c>
      <c r="C248" s="48" t="n">
        <f aca="false">C247/C232</f>
        <v>5.92858021653543</v>
      </c>
      <c r="D248" s="48" t="n">
        <f aca="false">D247/C232</f>
        <v>5.80880905511811</v>
      </c>
      <c r="E248" s="48" t="n">
        <f aca="false">E247/C232</f>
        <v>5.63974532480315</v>
      </c>
      <c r="F248" s="48" t="n">
        <f aca="false">F247/C232</f>
        <v>5.36406496062992</v>
      </c>
      <c r="G248" s="48" t="n">
        <f aca="false">G247/C232</f>
        <v>5.17651993110236</v>
      </c>
      <c r="H248" s="48" t="n">
        <f aca="false">H247/C232</f>
        <v>5.10263001968504</v>
      </c>
      <c r="I248" s="48" t="n">
        <f aca="false">I247/C232</f>
        <v>4.83363215551181</v>
      </c>
      <c r="J248" s="48" t="n">
        <f aca="false">J247/C232</f>
        <v>4.61464254330709</v>
      </c>
      <c r="K248" s="48" t="n">
        <f aca="false">K247/C232</f>
        <v>4.45566283346457</v>
      </c>
      <c r="L248" s="48" t="n">
        <f aca="false">L247/C232</f>
        <v>4.36869500645669</v>
      </c>
      <c r="M248" s="48" t="n">
        <f aca="false">M247/C232</f>
        <v>4.36814143885039</v>
      </c>
    </row>
    <row r="249" customFormat="false" ht="15" hidden="false" customHeight="false" outlineLevel="0" collapsed="false">
      <c r="A249" s="4" t="s">
        <v>499</v>
      </c>
      <c r="C249" s="14" t="n">
        <f aca="false">C248/cf_eps-1</f>
        <v>-0.209522637795276</v>
      </c>
      <c r="D249" s="14" t="n">
        <f aca="false">D248/cf_eps-1</f>
        <v>-0.225492125984252</v>
      </c>
      <c r="E249" s="14" t="n">
        <f aca="false">E248/cf_eps-1</f>
        <v>-0.248033956692913</v>
      </c>
      <c r="F249" s="14" t="n">
        <f aca="false">F248/cf_eps-1</f>
        <v>-0.284791338582677</v>
      </c>
      <c r="G249" s="14" t="n">
        <f aca="false">G248/cf_eps-1</f>
        <v>-0.309797342519685</v>
      </c>
      <c r="H249" s="14" t="n">
        <f aca="false">H248/cf_eps-1</f>
        <v>-0.319649330708662</v>
      </c>
      <c r="I249" s="14" t="n">
        <f aca="false">I248/cf_eps-1</f>
        <v>-0.355515712598425</v>
      </c>
      <c r="J249" s="14" t="n">
        <f aca="false">J248/cf_eps-1</f>
        <v>-0.384714327559055</v>
      </c>
      <c r="K249" s="14" t="n">
        <f aca="false">K248/cf_eps-1</f>
        <v>-0.405911622204724</v>
      </c>
      <c r="L249" s="14" t="n">
        <f aca="false">L248/cf_eps-1</f>
        <v>-0.417507332472441</v>
      </c>
      <c r="M249" s="14" t="n">
        <f aca="false">M248/cf_eps-1</f>
        <v>-0.417581141486614</v>
      </c>
    </row>
    <row r="250" customFormat="false" ht="15" hidden="false" customHeight="false" outlineLevel="0" collapsed="false">
      <c r="A250" s="9" t="s">
        <v>500</v>
      </c>
      <c r="C250" s="50" t="n">
        <f aca="false">C248</f>
        <v>5.92858021653543</v>
      </c>
      <c r="D250" s="50" t="n">
        <f aca="false">(D247+D243)/C232</f>
        <v>6.86995570866142</v>
      </c>
      <c r="E250" s="50" t="n">
        <f aca="false">(E247+E243)/C232</f>
        <v>6.70089197834646</v>
      </c>
      <c r="F250" s="50" t="n">
        <f aca="false">(F247+F243)/C232</f>
        <v>6.42521161417323</v>
      </c>
      <c r="G250" s="50" t="n">
        <f aca="false">(G247+G243)/C232</f>
        <v>6.23766658464567</v>
      </c>
      <c r="H250" s="50" t="n">
        <f aca="false">(H247+H243)/C232</f>
        <v>6.16377667322835</v>
      </c>
      <c r="I250" s="50" t="n">
        <f aca="false">(I247+I243)/C232</f>
        <v>5.89477880905512</v>
      </c>
      <c r="J250" s="50" t="n">
        <f aca="false">(J247+J243)/C232</f>
        <v>5.67578919685039</v>
      </c>
      <c r="K250" s="50" t="n">
        <f aca="false">(K247+K243)/C232</f>
        <v>5.51680948700787</v>
      </c>
      <c r="L250" s="50" t="n">
        <f aca="false">(L247+L243)/C232</f>
        <v>5.42984166</v>
      </c>
      <c r="M250" s="50" t="n">
        <f aca="false">(M247+M243)/C232</f>
        <v>5.4292880923937</v>
      </c>
    </row>
    <row r="251" customFormat="false" ht="15" hidden="false" customHeight="false" outlineLevel="0" collapsed="false">
      <c r="A251" s="9" t="s">
        <v>501</v>
      </c>
      <c r="C251" s="18" t="n">
        <f aca="false">C249</f>
        <v>-0.209522637795276</v>
      </c>
      <c r="D251" s="18" t="n">
        <f aca="false">D250/D245-1</f>
        <v>-0.199130846349124</v>
      </c>
      <c r="E251" s="18" t="n">
        <f aca="false">E250/E245-1</f>
        <v>-0.218839550793856</v>
      </c>
      <c r="F251" s="18" t="n">
        <f aca="false">F250/F245-1</f>
        <v>-0.250977152446108</v>
      </c>
      <c r="G251" s="18" t="n">
        <f aca="false">G250/G245-1</f>
        <v>-0.272840325287208</v>
      </c>
      <c r="H251" s="18" t="n">
        <f aca="false">H250/H245-1</f>
        <v>-0.281454085452433</v>
      </c>
      <c r="I251" s="18" t="n">
        <f aca="false">I250/I245-1</f>
        <v>-0.312812670711243</v>
      </c>
      <c r="J251" s="18" t="n">
        <f aca="false">J250/J245-1</f>
        <v>-0.338341514392668</v>
      </c>
      <c r="K251" s="18" t="n">
        <f aca="false">K250/K245-1</f>
        <v>-0.356874668181232</v>
      </c>
      <c r="L251" s="18" t="n">
        <f aca="false">L250/L245-1</f>
        <v>-0.367012994098361</v>
      </c>
      <c r="M251" s="18" t="n">
        <f aca="false">M250/M245-1</f>
        <v>-0.367077526569769</v>
      </c>
    </row>
    <row r="252" customFormat="false" ht="15" hidden="false" customHeight="false" outlineLevel="0" collapsed="false">
      <c r="A252" s="9" t="s">
        <v>502</v>
      </c>
      <c r="C252" s="50" t="n">
        <f aca="false">(C247+C235)/C232</f>
        <v>5.92858021653543</v>
      </c>
      <c r="D252" s="50" t="n">
        <f aca="false">(D247+C235)/C232</f>
        <v>5.80880905511811</v>
      </c>
      <c r="E252" s="50" t="n">
        <f aca="false">(E247+C235)/C232</f>
        <v>5.63974532480315</v>
      </c>
      <c r="F252" s="50" t="n">
        <f aca="false">(F247+C235)/C232</f>
        <v>5.36406496062992</v>
      </c>
      <c r="G252" s="50" t="n">
        <f aca="false">(G247+C235)/C232</f>
        <v>5.17651993110236</v>
      </c>
      <c r="H252" s="50" t="n">
        <f aca="false">(H247+C235)/C232</f>
        <v>5.10263001968504</v>
      </c>
      <c r="I252" s="50" t="n">
        <f aca="false">(I247+C235)/C232</f>
        <v>4.83363215551181</v>
      </c>
      <c r="J252" s="50" t="n">
        <f aca="false">(J247+C235)/C232</f>
        <v>4.61464254330709</v>
      </c>
      <c r="K252" s="50" t="n">
        <f aca="false">(K247+C235)/C232</f>
        <v>4.45566283346457</v>
      </c>
      <c r="L252" s="50" t="n">
        <f aca="false">(L247+C235)/C232</f>
        <v>4.36869500645669</v>
      </c>
      <c r="M252" s="50" t="n">
        <f aca="false">(M247+C235)/C232</f>
        <v>4.36814143885039</v>
      </c>
    </row>
    <row r="253" customFormat="false" ht="15" hidden="false" customHeight="false" outlineLevel="0" collapsed="false">
      <c r="A253" s="9" t="s">
        <v>503</v>
      </c>
      <c r="C253" s="50" t="n">
        <f aca="false">(C247-C234+C235)/C232</f>
        <v>4.48680487204724</v>
      </c>
      <c r="D253" s="50" t="n">
        <f aca="false">(D247-C234+C235)/C232</f>
        <v>4.36703371062992</v>
      </c>
      <c r="E253" s="50" t="n">
        <f aca="false">(E247-C234+C235)/C232</f>
        <v>4.19796998031496</v>
      </c>
      <c r="F253" s="50" t="n">
        <f aca="false">(F247-C234+C235)/C232</f>
        <v>3.92228961614173</v>
      </c>
      <c r="G253" s="50" t="n">
        <f aca="false">(G247-C234+C235)/C232</f>
        <v>3.73474458661417</v>
      </c>
      <c r="H253" s="50" t="n">
        <f aca="false">(H247-C234+C235)/C232</f>
        <v>3.66085467519685</v>
      </c>
      <c r="I253" s="50" t="n">
        <f aca="false">(I247-C234+C235)/C232</f>
        <v>3.39185681102362</v>
      </c>
      <c r="J253" s="50" t="n">
        <f aca="false">(J247-C234+C235)/C232</f>
        <v>3.1728671988189</v>
      </c>
      <c r="K253" s="50" t="n">
        <f aca="false">(K247-C234+C235)/C232</f>
        <v>3.01388748897638</v>
      </c>
      <c r="L253" s="50" t="n">
        <f aca="false">(L247-C234+C235)/C232</f>
        <v>2.9269196619685</v>
      </c>
      <c r="M253" s="50" t="n">
        <f aca="false">(M247-C234+C235)/C232</f>
        <v>2.9263660943622</v>
      </c>
    </row>
    <row r="254" customFormat="false" ht="15" hidden="false" customHeight="false" outlineLevel="0" collapsed="false">
      <c r="A254" s="9" t="s">
        <v>504</v>
      </c>
      <c r="C254" s="50" t="n">
        <f aca="false">C242/C232</f>
        <v>7.38188976377953</v>
      </c>
      <c r="D254" s="50" t="n">
        <f aca="false">D242/C232</f>
        <v>7.38188976377953</v>
      </c>
      <c r="E254" s="50" t="n">
        <f aca="false">E242/C232</f>
        <v>7.38188976377953</v>
      </c>
      <c r="F254" s="50" t="n">
        <f aca="false">F242/C232</f>
        <v>7.38188976377953</v>
      </c>
      <c r="G254" s="50" t="n">
        <f aca="false">G242/C232</f>
        <v>7.38188976377953</v>
      </c>
      <c r="H254" s="50" t="n">
        <f aca="false">H242/C232</f>
        <v>7.38188976377953</v>
      </c>
      <c r="I254" s="50" t="n">
        <f aca="false">I242/C232</f>
        <v>7.38188976377953</v>
      </c>
      <c r="J254" s="50" t="n">
        <f aca="false">J242/C232</f>
        <v>7.38188976377953</v>
      </c>
      <c r="K254" s="50" t="n">
        <f aca="false">K242/C232</f>
        <v>7.38188976377953</v>
      </c>
      <c r="L254" s="50" t="n">
        <f aca="false">L242/C232</f>
        <v>7.38188976377953</v>
      </c>
      <c r="M254" s="50" t="n">
        <f aca="false">M242/C232</f>
        <v>7.38188976377953</v>
      </c>
    </row>
    <row r="255" customFormat="false" ht="15" hidden="false" customHeight="false" outlineLevel="0" collapsed="false">
      <c r="A255" s="9" t="s">
        <v>505</v>
      </c>
      <c r="D255" s="36" t="n">
        <f aca="false">D228+D237*(1-a_tax)-D238-IF(D215=1,C236,0)</f>
        <v>-918.668</v>
      </c>
      <c r="E255" s="36" t="n">
        <f aca="false">E228+E237*(1-a_tax)-E238-IF(E215=1,C236,0)</f>
        <v>-737.4072</v>
      </c>
      <c r="F255" s="36" t="n">
        <f aca="false">F228+F237*(1-a_tax)-F238-IF(F215=1,C236,0)</f>
        <v>-722.05824</v>
      </c>
      <c r="G255" s="36" t="n">
        <f aca="false">G228+G237*(1-a_tax)-G238-IF(G215=1,C236,0)</f>
        <v>-701.073408</v>
      </c>
      <c r="H255" s="36" t="n">
        <f aca="false">H228+H237*(1-a_tax)-H238-IF(H215=1,C236,0)</f>
        <v>-672.8123136</v>
      </c>
      <c r="I255" s="36" t="n">
        <f aca="false">I228+I237*(1-a_tax)-I238-IF(I215=1,C236,0)</f>
        <v>-657.37477632</v>
      </c>
      <c r="J255" s="36" t="n">
        <f aca="false">J228+J237*(1-a_tax)-J238-IF(J215=1,C236,0)</f>
        <v>-638.849731584</v>
      </c>
      <c r="K255" s="36" t="n">
        <f aca="false">K228+K237*(1-a_tax)-K238-IF(K215=1,C236,0)</f>
        <v>-616.6196779008</v>
      </c>
      <c r="L255" s="36" t="n">
        <f aca="false">L228+L237*(1-a_tax)-L238-IF(L215=1,C236,0)</f>
        <v>-589.94361348096</v>
      </c>
      <c r="M255" s="36" t="n">
        <f aca="false">M228+M237*(1-a_tax)-M238-IF(M215=1,C236,0)</f>
        <v>-557.932336177152</v>
      </c>
    </row>
    <row r="256" customFormat="false" ht="15" hidden="false" customHeight="false" outlineLevel="0" collapsed="false">
      <c r="A256" s="4" t="s">
        <v>506</v>
      </c>
      <c r="D256" s="41" t="n">
        <f aca="false">D255-C233</f>
        <v>-1013.168</v>
      </c>
      <c r="E256" s="41" t="n">
        <f aca="false">E255-C233</f>
        <v>-831.9072</v>
      </c>
      <c r="F256" s="41" t="n">
        <f aca="false">F255-C233</f>
        <v>-816.55824</v>
      </c>
      <c r="G256" s="41" t="n">
        <f aca="false">G255-C233</f>
        <v>-795.573408</v>
      </c>
      <c r="H256" s="41" t="n">
        <f aca="false">H255-C233</f>
        <v>-767.3123136</v>
      </c>
      <c r="I256" s="41" t="n">
        <f aca="false">I255-C233</f>
        <v>-751.87477632</v>
      </c>
      <c r="J256" s="41" t="n">
        <f aca="false">J255-C233</f>
        <v>-733.349731584</v>
      </c>
      <c r="K256" s="41" t="n">
        <f aca="false">K255-C233</f>
        <v>-711.1196779008</v>
      </c>
      <c r="L256" s="41" t="n">
        <f aca="false">L255-C233</f>
        <v>-684.44361348096</v>
      </c>
      <c r="M256" s="41" t="n">
        <f aca="false">M255-C233</f>
        <v>-652.432336177152</v>
      </c>
    </row>
    <row r="257" customFormat="false" ht="15" hidden="false" customHeight="false" outlineLevel="0" collapsed="false">
      <c r="A257" s="9" t="s">
        <v>507</v>
      </c>
      <c r="C257" s="36" t="n">
        <f aca="false">0</f>
        <v>0</v>
      </c>
      <c r="D257" s="36" t="n">
        <f aca="false">D243</f>
        <v>69</v>
      </c>
      <c r="E257" s="36" t="n">
        <f aca="false">E243</f>
        <v>69</v>
      </c>
      <c r="F257" s="36" t="n">
        <f aca="false">F243</f>
        <v>69</v>
      </c>
      <c r="G257" s="36" t="n">
        <f aca="false">G243</f>
        <v>69</v>
      </c>
      <c r="H257" s="36" t="n">
        <f aca="false">H243</f>
        <v>69</v>
      </c>
      <c r="I257" s="36" t="n">
        <f aca="false">I243</f>
        <v>69</v>
      </c>
      <c r="J257" s="36" t="n">
        <f aca="false">J243</f>
        <v>69</v>
      </c>
      <c r="K257" s="36" t="n">
        <f aca="false">K243</f>
        <v>69</v>
      </c>
      <c r="L257" s="36" t="n">
        <f aca="false">L243</f>
        <v>69</v>
      </c>
      <c r="M257" s="36" t="n">
        <f aca="false">M243</f>
        <v>69</v>
      </c>
    </row>
    <row r="258" customFormat="false" ht="15" hidden="false" customHeight="false" outlineLevel="0" collapsed="false">
      <c r="A258" s="9" t="s">
        <v>508</v>
      </c>
      <c r="D258" s="36" t="n">
        <f aca="false">D256+D257</f>
        <v>-944.168</v>
      </c>
      <c r="E258" s="36" t="n">
        <f aca="false">E256+E257</f>
        <v>-762.9072</v>
      </c>
      <c r="F258" s="36" t="n">
        <f aca="false">F256+F257</f>
        <v>-747.55824</v>
      </c>
      <c r="G258" s="36" t="n">
        <f aca="false">G256+G257</f>
        <v>-726.573408</v>
      </c>
      <c r="H258" s="36" t="n">
        <f aca="false">H256+H257</f>
        <v>-698.3123136</v>
      </c>
      <c r="I258" s="36" t="n">
        <f aca="false">I256+I257</f>
        <v>-682.87477632</v>
      </c>
      <c r="J258" s="36" t="n">
        <f aca="false">J256+J257</f>
        <v>-664.349731584</v>
      </c>
      <c r="K258" s="36" t="n">
        <f aca="false">K256+K257</f>
        <v>-642.1196779008</v>
      </c>
      <c r="L258" s="36" t="n">
        <f aca="false">L256+L257</f>
        <v>-615.44361348096</v>
      </c>
      <c r="M258" s="36" t="n">
        <f aca="false">M256+M257</f>
        <v>-583.432336177152</v>
      </c>
    </row>
    <row r="259" customFormat="false" ht="15" hidden="false" customHeight="false" outlineLevel="0" collapsed="false">
      <c r="A259" s="9" t="s">
        <v>509</v>
      </c>
      <c r="D259" s="36" t="n">
        <f aca="false">IF(lv_mdr_in_deal=1,D258,D256)</f>
        <v>-1013.168</v>
      </c>
      <c r="E259" s="36" t="n">
        <f aca="false">IF(lv_mdr_in_deal=1,E258,E256)</f>
        <v>-831.9072</v>
      </c>
      <c r="F259" s="36" t="n">
        <f aca="false">IF(lv_mdr_in_deal=1,F258,F256)</f>
        <v>-816.55824</v>
      </c>
      <c r="G259" s="36" t="n">
        <f aca="false">IF(lv_mdr_in_deal=1,G258,G256)</f>
        <v>-795.573408</v>
      </c>
      <c r="H259" s="36" t="n">
        <f aca="false">IF(lv_mdr_in_deal=1,H258,H256)</f>
        <v>-767.3123136</v>
      </c>
      <c r="I259" s="36" t="n">
        <f aca="false">IF(lv_mdr_in_deal=1,I258,I256)</f>
        <v>-751.87477632</v>
      </c>
      <c r="J259" s="36" t="n">
        <f aca="false">IF(lv_mdr_in_deal=1,J258,J256)</f>
        <v>-733.349731584</v>
      </c>
      <c r="K259" s="36" t="n">
        <f aca="false">IF(lv_mdr_in_deal=1,K258,K256)</f>
        <v>-711.1196779008</v>
      </c>
      <c r="L259" s="36" t="n">
        <f aca="false">IF(lv_mdr_in_deal=1,L258,L256)</f>
        <v>-684.44361348096</v>
      </c>
      <c r="M259" s="36" t="n">
        <f aca="false">IF(lv_mdr_in_deal=1,M258,M256)</f>
        <v>-652.432336177152</v>
      </c>
    </row>
    <row r="260" customFormat="false" ht="15" hidden="false" customHeight="false" outlineLevel="0" collapsed="false">
      <c r="A260" s="9" t="s">
        <v>510</v>
      </c>
      <c r="C260" s="36" t="n">
        <f aca="false">-lv_price</f>
        <v>-4000</v>
      </c>
      <c r="D260" s="36" t="n">
        <f aca="false">C260+D259</f>
        <v>-5013.168</v>
      </c>
      <c r="E260" s="36" t="n">
        <f aca="false">D260+E259</f>
        <v>-5845.0752</v>
      </c>
      <c r="F260" s="36" t="n">
        <f aca="false">E260+F259</f>
        <v>-6661.63344</v>
      </c>
      <c r="G260" s="36" t="n">
        <f aca="false">F260+G259</f>
        <v>-7457.206848</v>
      </c>
      <c r="H260" s="36" t="n">
        <f aca="false">G260+H259</f>
        <v>-8224.5191616</v>
      </c>
      <c r="I260" s="36" t="n">
        <f aca="false">H260+I259</f>
        <v>-8976.39393792</v>
      </c>
      <c r="J260" s="36" t="n">
        <f aca="false">I260+J259</f>
        <v>-9709.743669504</v>
      </c>
      <c r="K260" s="36" t="n">
        <f aca="false">J260+K259</f>
        <v>-10420.8633474048</v>
      </c>
      <c r="L260" s="36" t="n">
        <f aca="false">K260+L259</f>
        <v>-11105.3069608858</v>
      </c>
      <c r="M260" s="36" t="n">
        <f aca="false">L260+M259</f>
        <v>-11757.7392970629</v>
      </c>
    </row>
    <row r="261" customFormat="false" ht="15" hidden="false" customHeight="false" outlineLevel="0" collapsed="false">
      <c r="A261" s="9" t="s">
        <v>511</v>
      </c>
      <c r="C261" s="43" t="n">
        <f aca="false">1</f>
        <v>1</v>
      </c>
      <c r="D261" s="43" t="n">
        <f aca="false">1/(1+lv_wacc)^D215</f>
        <v>0.884955752212389</v>
      </c>
      <c r="E261" s="43" t="n">
        <f aca="false">1/(1+lv_wacc)^E215</f>
        <v>0.783146683373796</v>
      </c>
      <c r="F261" s="43" t="n">
        <f aca="false">1/(1+lv_wacc)^F215</f>
        <v>0.693050162277696</v>
      </c>
      <c r="G261" s="43" t="n">
        <f aca="false">1/(1+lv_wacc)^G215</f>
        <v>0.613318727679377</v>
      </c>
      <c r="H261" s="43" t="n">
        <f aca="false">1/(1+lv_wacc)^H215</f>
        <v>0.542759935999449</v>
      </c>
      <c r="I261" s="43" t="n">
        <f aca="false">1/(1+lv_wacc)^I215</f>
        <v>0.48031852743314</v>
      </c>
      <c r="J261" s="43" t="n">
        <f aca="false">1/(1+lv_wacc)^J215</f>
        <v>0.425060643746142</v>
      </c>
      <c r="K261" s="43" t="n">
        <f aca="false">1/(1+lv_wacc)^K215</f>
        <v>0.37615986172225</v>
      </c>
      <c r="L261" s="43" t="n">
        <f aca="false">1/(1+lv_wacc)^L215</f>
        <v>0.332884833382522</v>
      </c>
      <c r="M261" s="43" t="n">
        <f aca="false">1/(1+lv_wacc)^M215</f>
        <v>0.294588348126126</v>
      </c>
    </row>
    <row r="262" customFormat="false" ht="15" hidden="false" customHeight="false" outlineLevel="0" collapsed="false">
      <c r="A262" s="9" t="s">
        <v>512</v>
      </c>
      <c r="C262" s="46" t="n">
        <f aca="false">99</f>
        <v>99</v>
      </c>
      <c r="D262" s="46" t="n">
        <f aca="false">IF(D246&gt;=0,D215,99)</f>
        <v>99</v>
      </c>
      <c r="E262" s="46" t="n">
        <f aca="false">IF(E246&gt;=0,E215,99)</f>
        <v>99</v>
      </c>
      <c r="F262" s="46" t="n">
        <f aca="false">IF(F246&gt;=0,F215,99)</f>
        <v>99</v>
      </c>
      <c r="G262" s="46" t="n">
        <f aca="false">IF(G246&gt;=0,G215,99)</f>
        <v>99</v>
      </c>
      <c r="H262" s="46" t="n">
        <f aca="false">IF(H246&gt;=0,H215,99)</f>
        <v>99</v>
      </c>
      <c r="I262" s="46" t="n">
        <f aca="false">IF(I246&gt;=0,I215,99)</f>
        <v>99</v>
      </c>
      <c r="J262" s="46" t="n">
        <f aca="false">IF(J246&gt;=0,J215,99)</f>
        <v>99</v>
      </c>
      <c r="K262" s="46" t="n">
        <f aca="false">IF(K246&gt;=0,K215,99)</f>
        <v>99</v>
      </c>
      <c r="L262" s="46" t="n">
        <f aca="false">IF(L246&gt;=0,L215,99)</f>
        <v>99</v>
      </c>
      <c r="M262" s="46" t="n">
        <f aca="false">IF(M246&gt;=0,M215,99)</f>
        <v>99</v>
      </c>
    </row>
    <row r="263" customFormat="false" ht="15" hidden="false" customHeight="false" outlineLevel="0" collapsed="false">
      <c r="A263" s="9" t="s">
        <v>513</v>
      </c>
      <c r="C263" s="46" t="n">
        <f aca="false">99</f>
        <v>99</v>
      </c>
      <c r="D263" s="46" t="n">
        <f aca="false">IF(D246+D243&gt;=0,D215,99)</f>
        <v>99</v>
      </c>
      <c r="E263" s="46" t="n">
        <f aca="false">IF(E246+E243&gt;=0,E215,99)</f>
        <v>99</v>
      </c>
      <c r="F263" s="46" t="n">
        <f aca="false">IF(F246+F243&gt;=0,F215,99)</f>
        <v>99</v>
      </c>
      <c r="G263" s="46" t="n">
        <f aca="false">IF(G246+G243&gt;=0,G215,99)</f>
        <v>99</v>
      </c>
      <c r="H263" s="46" t="n">
        <f aca="false">IF(H246+H243&gt;=0,H215,99)</f>
        <v>99</v>
      </c>
      <c r="I263" s="46" t="n">
        <f aca="false">IF(I246+I243&gt;=0,I215,99)</f>
        <v>99</v>
      </c>
      <c r="J263" s="46" t="n">
        <f aca="false">IF(J246+J243&gt;=0,J215,99)</f>
        <v>99</v>
      </c>
      <c r="K263" s="46" t="n">
        <f aca="false">IF(K246+K243&gt;=0,K215,99)</f>
        <v>99</v>
      </c>
      <c r="L263" s="46" t="n">
        <f aca="false">IF(L246+L243&gt;=0,L215,99)</f>
        <v>99</v>
      </c>
      <c r="M263" s="46" t="n">
        <f aca="false">IF(M246+M243&gt;=0,M215,99)</f>
        <v>99</v>
      </c>
    </row>
    <row r="264" customFormat="false" ht="15" hidden="false" customHeight="false" outlineLevel="0" collapsed="false">
      <c r="A264" s="9" t="s">
        <v>514</v>
      </c>
      <c r="C264" s="46" t="n">
        <f aca="false">99</f>
        <v>99</v>
      </c>
      <c r="D264" s="46" t="n">
        <f aca="false">IF(D256&gt;=0,D215,99)</f>
        <v>99</v>
      </c>
      <c r="E264" s="46" t="n">
        <f aca="false">IF(E256&gt;=0,E215,99)</f>
        <v>99</v>
      </c>
      <c r="F264" s="46" t="n">
        <f aca="false">IF(F256&gt;=0,F215,99)</f>
        <v>99</v>
      </c>
      <c r="G264" s="46" t="n">
        <f aca="false">IF(G256&gt;=0,G215,99)</f>
        <v>99</v>
      </c>
      <c r="H264" s="46" t="n">
        <f aca="false">IF(H256&gt;=0,H215,99)</f>
        <v>99</v>
      </c>
      <c r="I264" s="46" t="n">
        <f aca="false">IF(I256&gt;=0,I215,99)</f>
        <v>99</v>
      </c>
      <c r="J264" s="46" t="n">
        <f aca="false">IF(J256&gt;=0,J215,99)</f>
        <v>99</v>
      </c>
      <c r="K264" s="46" t="n">
        <f aca="false">IF(K256&gt;=0,K215,99)</f>
        <v>99</v>
      </c>
      <c r="L264" s="46" t="n">
        <f aca="false">IF(L256&gt;=0,L215,99)</f>
        <v>99</v>
      </c>
      <c r="M264" s="46" t="n">
        <f aca="false">IF(M256&gt;=0,M215,99)</f>
        <v>99</v>
      </c>
    </row>
    <row r="265" customFormat="false" ht="15" hidden="false" customHeight="false" outlineLevel="0" collapsed="false">
      <c r="A265" s="9" t="s">
        <v>515</v>
      </c>
      <c r="C265" s="46" t="n">
        <f aca="false">99</f>
        <v>99</v>
      </c>
      <c r="D265" s="46" t="n">
        <f aca="false">IF(D258&gt;=0,D215,99)</f>
        <v>99</v>
      </c>
      <c r="E265" s="46" t="n">
        <f aca="false">IF(E258&gt;=0,E215,99)</f>
        <v>99</v>
      </c>
      <c r="F265" s="46" t="n">
        <f aca="false">IF(F258&gt;=0,F215,99)</f>
        <v>99</v>
      </c>
      <c r="G265" s="46" t="n">
        <f aca="false">IF(G258&gt;=0,G215,99)</f>
        <v>99</v>
      </c>
      <c r="H265" s="46" t="n">
        <f aca="false">IF(H258&gt;=0,H215,99)</f>
        <v>99</v>
      </c>
      <c r="I265" s="46" t="n">
        <f aca="false">IF(I258&gt;=0,I215,99)</f>
        <v>99</v>
      </c>
      <c r="J265" s="46" t="n">
        <f aca="false">IF(J258&gt;=0,J215,99)</f>
        <v>99</v>
      </c>
      <c r="K265" s="46" t="n">
        <f aca="false">IF(K258&gt;=0,K215,99)</f>
        <v>99</v>
      </c>
      <c r="L265" s="46" t="n">
        <f aca="false">IF(L258&gt;=0,L215,99)</f>
        <v>99</v>
      </c>
      <c r="M265" s="46" t="n">
        <f aca="false">IF(M258&gt;=0,M215,99)</f>
        <v>99</v>
      </c>
    </row>
    <row r="266" customFormat="false" ht="15" hidden="false" customHeight="false" outlineLevel="0" collapsed="false">
      <c r="A266" s="9" t="s">
        <v>516</v>
      </c>
      <c r="C266" s="46" t="n">
        <f aca="false">99</f>
        <v>99</v>
      </c>
      <c r="D266" s="46" t="n">
        <f aca="false">IF(D260&gt;=0,D215,99)</f>
        <v>99</v>
      </c>
      <c r="E266" s="46" t="n">
        <f aca="false">IF(E260&gt;=0,E215,99)</f>
        <v>99</v>
      </c>
      <c r="F266" s="46" t="n">
        <f aca="false">IF(F260&gt;=0,F215,99)</f>
        <v>99</v>
      </c>
      <c r="G266" s="46" t="n">
        <f aca="false">IF(G260&gt;=0,G215,99)</f>
        <v>99</v>
      </c>
      <c r="H266" s="46" t="n">
        <f aca="false">IF(H260&gt;=0,H215,99)</f>
        <v>99</v>
      </c>
      <c r="I266" s="46" t="n">
        <f aca="false">IF(I260&gt;=0,I215,99)</f>
        <v>99</v>
      </c>
      <c r="J266" s="46" t="n">
        <f aca="false">IF(J260&gt;=0,J215,99)</f>
        <v>99</v>
      </c>
      <c r="K266" s="46" t="n">
        <f aca="false">IF(K260&gt;=0,K215,99)</f>
        <v>99</v>
      </c>
      <c r="L266" s="46" t="n">
        <f aca="false">IF(L260&gt;=0,L215,99)</f>
        <v>99</v>
      </c>
      <c r="M266" s="46" t="n">
        <f aca="false">IF(M260&gt;=0,M215,99)</f>
        <v>99</v>
      </c>
    </row>
    <row r="267" customFormat="false" ht="15" hidden="false" customHeight="false" outlineLevel="0" collapsed="false">
      <c r="A267" s="4" t="s">
        <v>517</v>
      </c>
      <c r="C267" s="23" t="n">
        <f aca="false">MIN(D262:M262)</f>
        <v>99</v>
      </c>
    </row>
    <row r="268" customFormat="false" ht="15" hidden="false" customHeight="false" outlineLevel="0" collapsed="false">
      <c r="A268" s="9" t="s">
        <v>518</v>
      </c>
      <c r="C268" s="46" t="n">
        <f aca="false">MIN(D263:M263)</f>
        <v>99</v>
      </c>
    </row>
    <row r="269" customFormat="false" ht="15" hidden="false" customHeight="false" outlineLevel="0" collapsed="false">
      <c r="A269" s="4" t="s">
        <v>519</v>
      </c>
      <c r="C269" s="23" t="n">
        <f aca="false">MIN(D264:M264)</f>
        <v>99</v>
      </c>
    </row>
    <row r="270" customFormat="false" ht="15" hidden="false" customHeight="false" outlineLevel="0" collapsed="false">
      <c r="A270" s="9" t="s">
        <v>520</v>
      </c>
      <c r="C270" s="46" t="n">
        <f aca="false">MIN(D265:M265)</f>
        <v>99</v>
      </c>
    </row>
    <row r="271" customFormat="false" ht="15" hidden="false" customHeight="false" outlineLevel="0" collapsed="false">
      <c r="A271" s="9" t="s">
        <v>521</v>
      </c>
      <c r="C271" s="46" t="n">
        <f aca="false">MIN(D266:M266)</f>
        <v>99</v>
      </c>
    </row>
    <row r="272" customFormat="false" ht="15" hidden="false" customHeight="false" outlineLevel="0" collapsed="false">
      <c r="A272" s="4" t="s">
        <v>522</v>
      </c>
      <c r="C272" s="15" t="n">
        <f aca="false">M260</f>
        <v>-11757.7392970629</v>
      </c>
    </row>
    <row r="273" customFormat="false" ht="15" hidden="false" customHeight="false" outlineLevel="0" collapsed="false">
      <c r="A273" s="9" t="s">
        <v>523</v>
      </c>
      <c r="C273" s="36" t="n">
        <f aca="false">SUMPRODUCT(D228:M228,D261:M261)</f>
        <v>345.227011858199</v>
      </c>
    </row>
    <row r="274" customFormat="false" ht="15" hidden="false" customHeight="false" outlineLevel="0" collapsed="false">
      <c r="A274" s="9" t="s">
        <v>524</v>
      </c>
      <c r="C274" s="36" t="n">
        <f aca="false">M228*(1+a_tg)/(lv_wacc-a_tg)</f>
        <v>2520.88808767488</v>
      </c>
    </row>
    <row r="275" customFormat="false" ht="15" hidden="false" customHeight="false" outlineLevel="0" collapsed="false">
      <c r="A275" s="9" t="s">
        <v>314</v>
      </c>
      <c r="C275" s="36" t="n">
        <f aca="false">C274*M261</f>
        <v>742.62425755897</v>
      </c>
    </row>
    <row r="276" customFormat="false" ht="15" hidden="false" customHeight="false" outlineLevel="0" collapsed="false">
      <c r="A276" s="4" t="s">
        <v>525</v>
      </c>
      <c r="C276" s="15" t="n">
        <f aca="false">C273+C275</f>
        <v>1087.85126941717</v>
      </c>
    </row>
    <row r="277" customFormat="false" ht="15" hidden="false" customHeight="false" outlineLevel="0" collapsed="false">
      <c r="A277" s="9" t="s">
        <v>526</v>
      </c>
      <c r="C277" s="32" t="n">
        <f aca="false">SUMPRODUCT(D238:M238,D261:M261)-a_recovery*M240*M261</f>
        <v>4069.68260696466</v>
      </c>
    </row>
    <row r="278" customFormat="false" ht="15" hidden="false" customHeight="false" outlineLevel="0" collapsed="false">
      <c r="A278" s="9" t="s">
        <v>527</v>
      </c>
      <c r="C278" s="36" t="n">
        <f aca="false">SUMPRODUCT(D237:M237,D261:M261)*(1-a_tax)</f>
        <v>0</v>
      </c>
    </row>
    <row r="279" customFormat="false" ht="15" hidden="false" customHeight="false" outlineLevel="0" collapsed="false">
      <c r="A279" s="9" t="s">
        <v>528</v>
      </c>
      <c r="C279" s="36" t="n">
        <f aca="false">C236*D261</f>
        <v>141.592920353982</v>
      </c>
    </row>
    <row r="280" customFormat="false" ht="15" hidden="false" customHeight="false" outlineLevel="0" collapsed="false">
      <c r="A280" s="4" t="s">
        <v>529</v>
      </c>
      <c r="C280" s="20" t="n">
        <f aca="false">C276+C278-C277-C279-lv_price</f>
        <v>-7123.42425790148</v>
      </c>
    </row>
    <row r="281" customFormat="false" ht="15" hidden="false" customHeight="false" outlineLevel="0" collapsed="false">
      <c r="A281" s="9" t="s">
        <v>530</v>
      </c>
      <c r="C281" s="32" t="n">
        <f aca="false">C280+SUMPRODUCT(D257:M257,D261:M261)</f>
        <v>-6749.01345806073</v>
      </c>
    </row>
    <row r="282" customFormat="false" ht="15" hidden="false" customHeight="false" outlineLevel="0" collapsed="false">
      <c r="A282" s="4" t="s">
        <v>531</v>
      </c>
      <c r="C282" s="59" t="n">
        <f aca="false">lv_price/D218</f>
        <v>16.8350168350168</v>
      </c>
    </row>
    <row r="283" customFormat="false" ht="15" hidden="false" customHeight="false" outlineLevel="0" collapsed="false">
      <c r="A283" s="9" t="s">
        <v>532</v>
      </c>
      <c r="C283" s="17" t="n">
        <f aca="false">(lv_price+C277)/D218</f>
        <v>33.9633106353732</v>
      </c>
    </row>
    <row r="284" customFormat="false" ht="15" hidden="false" customHeight="false" outlineLevel="0" collapsed="false">
      <c r="A284" s="4" t="s">
        <v>533</v>
      </c>
      <c r="C284" s="15" t="n">
        <f aca="false">(C280+C277)/SUMPRODUCT(D261:M261)</f>
        <v>-562.772692465768</v>
      </c>
    </row>
    <row r="285" customFormat="false" ht="15" hidden="false" customHeight="false" outlineLevel="0" collapsed="false">
      <c r="A285" s="4" t="s">
        <v>534</v>
      </c>
      <c r="C285" s="25" t="n">
        <f aca="false">D248</f>
        <v>5.80880905511811</v>
      </c>
    </row>
    <row r="286" customFormat="false" ht="15" hidden="false" customHeight="false" outlineLevel="0" collapsed="false">
      <c r="A286" s="9" t="s">
        <v>535</v>
      </c>
      <c r="C286" s="50" t="n">
        <f aca="false">F248</f>
        <v>5.36406496062992</v>
      </c>
    </row>
    <row r="287" customFormat="false" ht="15" hidden="false" customHeight="false" outlineLevel="0" collapsed="false">
      <c r="A287" s="4" t="s">
        <v>536</v>
      </c>
      <c r="C287" s="20" t="n">
        <f aca="false">D256</f>
        <v>-1013.168</v>
      </c>
    </row>
    <row r="288" customFormat="false" ht="15" hidden="false" customHeight="false" outlineLevel="0" collapsed="false">
      <c r="A288" s="9" t="s">
        <v>537</v>
      </c>
      <c r="C288" s="32" t="n">
        <f aca="false">cf_cash-lv_mix_cash-C236</f>
        <v>6640</v>
      </c>
    </row>
    <row r="289" customFormat="false" ht="15" hidden="false" customHeight="false" outlineLevel="0" collapsed="false">
      <c r="A289" s="9" t="s">
        <v>538</v>
      </c>
      <c r="C289" s="32" t="n">
        <f aca="false">cf_debt+lv_mix_debt</f>
        <v>350</v>
      </c>
    </row>
    <row r="290" customFormat="false" ht="15" hidden="false" customHeight="false" outlineLevel="0" collapsed="false">
      <c r="A290" s="9" t="s">
        <v>539</v>
      </c>
      <c r="C290" s="34" t="n">
        <f aca="false">C289/cf_ebitda</f>
        <v>0.546875</v>
      </c>
    </row>
    <row r="291" customFormat="false" ht="15" hidden="false" customHeight="false" outlineLevel="0" collapsed="false">
      <c r="A291" s="9" t="s">
        <v>540</v>
      </c>
      <c r="C291" s="32" t="n">
        <f aca="false">C288+SUM(D259:F259)+3*cf_pat</f>
        <v>5418.36656</v>
      </c>
    </row>
    <row r="293" customFormat="false" ht="15" hidden="false" customHeight="false" outlineLevel="0" collapsed="false">
      <c r="A293" s="7" t="s">
        <v>643</v>
      </c>
      <c r="B293" s="8"/>
      <c r="C293" s="8"/>
      <c r="D293" s="8"/>
      <c r="E293" s="8"/>
      <c r="F293" s="8"/>
      <c r="G293" s="8"/>
      <c r="H293" s="8"/>
      <c r="I293" s="8"/>
      <c r="J293" s="8"/>
      <c r="K293" s="8"/>
      <c r="L293" s="8"/>
      <c r="M293" s="8"/>
      <c r="N293" s="8"/>
    </row>
    <row r="294" customFormat="false" ht="15" hidden="false" customHeight="false" outlineLevel="0" collapsed="false">
      <c r="A294" s="4" t="s">
        <v>284</v>
      </c>
      <c r="C294" s="39" t="n">
        <v>0</v>
      </c>
      <c r="D294" s="39" t="n">
        <v>1</v>
      </c>
      <c r="E294" s="39" t="n">
        <v>2</v>
      </c>
      <c r="F294" s="39" t="n">
        <v>3</v>
      </c>
      <c r="G294" s="39" t="n">
        <v>4</v>
      </c>
      <c r="H294" s="39" t="n">
        <v>5</v>
      </c>
      <c r="I294" s="39" t="n">
        <v>6</v>
      </c>
      <c r="J294" s="39" t="n">
        <v>7</v>
      </c>
      <c r="K294" s="39" t="n">
        <v>8</v>
      </c>
      <c r="L294" s="39" t="n">
        <v>9</v>
      </c>
      <c r="M294" s="39" t="n">
        <v>10</v>
      </c>
    </row>
    <row r="295" customFormat="false" ht="15" hidden="false" customHeight="false" outlineLevel="0" collapsed="false">
      <c r="A295" s="9" t="s">
        <v>285</v>
      </c>
      <c r="C295" s="40" t="n">
        <f aca="false">cf_arr</f>
        <v>220</v>
      </c>
      <c r="D295" s="36" t="n">
        <f aca="false">C295*(1+lv_g)</f>
        <v>264</v>
      </c>
      <c r="E295" s="36" t="n">
        <f aca="false">D295*(1+lv_g)</f>
        <v>316.8</v>
      </c>
      <c r="F295" s="36" t="n">
        <f aca="false">E295*(1+lv_g)</f>
        <v>380.16</v>
      </c>
      <c r="G295" s="36" t="n">
        <f aca="false">F295*(1+lv_g)</f>
        <v>456.192</v>
      </c>
      <c r="H295" s="36" t="n">
        <f aca="false">G295*(1+lv_g)</f>
        <v>547.4304</v>
      </c>
      <c r="I295" s="36" t="n">
        <f aca="false">H295*(1+lv_g)</f>
        <v>656.91648</v>
      </c>
      <c r="J295" s="36" t="n">
        <f aca="false">I295*(1+lv_g)</f>
        <v>788.299776</v>
      </c>
      <c r="K295" s="36" t="n">
        <f aca="false">J295*(1+lv_g)</f>
        <v>945.9597312</v>
      </c>
      <c r="L295" s="36" t="n">
        <f aca="false">K295*(1+lv_g)</f>
        <v>1135.15167744</v>
      </c>
      <c r="M295" s="36" t="n">
        <f aca="false">L295*(1+lv_g)</f>
        <v>1362.182012928</v>
      </c>
    </row>
    <row r="296" customFormat="false" ht="15" hidden="false" customHeight="false" outlineLevel="0" collapsed="false">
      <c r="A296" s="9" t="s">
        <v>286</v>
      </c>
      <c r="C296" s="18" t="n">
        <f aca="false">1</f>
        <v>1</v>
      </c>
      <c r="D296" s="18" t="n">
        <f aca="false">IF(D294&gt;=a_churn_year,1-Churn!$A$14,1)</f>
        <v>0.9</v>
      </c>
      <c r="E296" s="18" t="n">
        <f aca="false">IF(E294&gt;=a_churn_year,1-Churn!$A$14,1)</f>
        <v>0.9</v>
      </c>
      <c r="F296" s="18" t="n">
        <f aca="false">IF(F294&gt;=a_churn_year,1-Churn!$A$14,1)</f>
        <v>0.9</v>
      </c>
      <c r="G296" s="18" t="n">
        <f aca="false">IF(G294&gt;=a_churn_year,1-Churn!$A$14,1)</f>
        <v>0.9</v>
      </c>
      <c r="H296" s="18" t="n">
        <f aca="false">IF(H294&gt;=a_churn_year,1-Churn!$A$14,1)</f>
        <v>0.9</v>
      </c>
      <c r="I296" s="18" t="n">
        <f aca="false">IF(I294&gt;=a_churn_year,1-Churn!$A$14,1)</f>
        <v>0.9</v>
      </c>
      <c r="J296" s="18" t="n">
        <f aca="false">IF(J294&gt;=a_churn_year,1-Churn!$A$14,1)</f>
        <v>0.9</v>
      </c>
      <c r="K296" s="18" t="n">
        <f aca="false">IF(K294&gt;=a_churn_year,1-Churn!$A$14,1)</f>
        <v>0.9</v>
      </c>
      <c r="L296" s="18" t="n">
        <f aca="false">IF(L294&gt;=a_churn_year,1-Churn!$A$14,1)</f>
        <v>0.9</v>
      </c>
      <c r="M296" s="18" t="n">
        <f aca="false">IF(M294&gt;=a_churn_year,1-Churn!$A$14,1)</f>
        <v>0.9</v>
      </c>
    </row>
    <row r="297" customFormat="false" ht="15" hidden="false" customHeight="false" outlineLevel="0" collapsed="false">
      <c r="A297" s="4" t="s">
        <v>287</v>
      </c>
      <c r="C297" s="41" t="n">
        <f aca="false">C295*C296</f>
        <v>220</v>
      </c>
      <c r="D297" s="41" t="n">
        <f aca="false">D295*D296</f>
        <v>237.6</v>
      </c>
      <c r="E297" s="41" t="n">
        <f aca="false">E295*E296</f>
        <v>285.12</v>
      </c>
      <c r="F297" s="41" t="n">
        <f aca="false">F295*F296</f>
        <v>342.144</v>
      </c>
      <c r="G297" s="41" t="n">
        <f aca="false">G295*G296</f>
        <v>410.5728</v>
      </c>
      <c r="H297" s="41" t="n">
        <f aca="false">H295*H296</f>
        <v>492.68736</v>
      </c>
      <c r="I297" s="41" t="n">
        <f aca="false">I295*I296</f>
        <v>591.224832</v>
      </c>
      <c r="J297" s="41" t="n">
        <f aca="false">J295*J296</f>
        <v>709.4697984</v>
      </c>
      <c r="K297" s="41" t="n">
        <f aca="false">K295*K296</f>
        <v>851.36375808</v>
      </c>
      <c r="L297" s="41" t="n">
        <f aca="false">L295*L296</f>
        <v>1021.636509696</v>
      </c>
      <c r="M297" s="41" t="n">
        <f aca="false">M295*M296</f>
        <v>1225.9638116352</v>
      </c>
    </row>
    <row r="298" customFormat="false" ht="15" hidden="false" customHeight="false" outlineLevel="0" collapsed="false">
      <c r="A298" s="9" t="s">
        <v>288</v>
      </c>
      <c r="C298" s="18" t="n">
        <f aca="false">MIN(a_m0+a_mstep*C294,a_mcap)</f>
        <v>0</v>
      </c>
      <c r="D298" s="18" t="n">
        <f aca="false">MIN(a_m0+a_mstep*D294,a_mcap)</f>
        <v>0.05</v>
      </c>
      <c r="E298" s="18" t="n">
        <f aca="false">MIN(a_m0+a_mstep*E294,a_mcap)</f>
        <v>0.1</v>
      </c>
      <c r="F298" s="18" t="n">
        <f aca="false">MIN(a_m0+a_mstep*F294,a_mcap)</f>
        <v>0.15</v>
      </c>
      <c r="G298" s="18" t="n">
        <f aca="false">MIN(a_m0+a_mstep*G294,a_mcap)</f>
        <v>0.2</v>
      </c>
      <c r="H298" s="18" t="n">
        <f aca="false">MIN(a_m0+a_mstep*H294,a_mcap)</f>
        <v>0.25</v>
      </c>
      <c r="I298" s="18" t="n">
        <f aca="false">MIN(a_m0+a_mstep*I294,a_mcap)</f>
        <v>0.25</v>
      </c>
      <c r="J298" s="18" t="n">
        <f aca="false">MIN(a_m0+a_mstep*J294,a_mcap)</f>
        <v>0.25</v>
      </c>
      <c r="K298" s="18" t="n">
        <f aca="false">MIN(a_m0+a_mstep*K294,a_mcap)</f>
        <v>0.25</v>
      </c>
      <c r="L298" s="18" t="n">
        <f aca="false">MIN(a_m0+a_mstep*L294,a_mcap)</f>
        <v>0.25</v>
      </c>
      <c r="M298" s="18" t="n">
        <f aca="false">MIN(a_m0+a_mstep*M294,a_mcap)</f>
        <v>0.25</v>
      </c>
    </row>
    <row r="299" customFormat="false" ht="15" hidden="false" customHeight="false" outlineLevel="0" collapsed="false">
      <c r="A299" s="9" t="s">
        <v>289</v>
      </c>
      <c r="C299" s="36" t="n">
        <f aca="false">IF(C294=a_churn_year,a_sticky*(C295-C297)*(1-C298),0)</f>
        <v>0</v>
      </c>
      <c r="D299" s="36" t="n">
        <f aca="false">IF(D294=a_churn_year,a_sticky*(D295-D297)*(1-D298),0)</f>
        <v>12.54</v>
      </c>
      <c r="E299" s="36" t="n">
        <f aca="false">IF(E294=a_churn_year,a_sticky*(E295-E297)*(1-E298),0)</f>
        <v>0</v>
      </c>
      <c r="F299" s="36" t="n">
        <f aca="false">IF(F294=a_churn_year,a_sticky*(F295-F297)*(1-F298),0)</f>
        <v>0</v>
      </c>
      <c r="G299" s="36" t="n">
        <f aca="false">IF(G294=a_churn_year,a_sticky*(G295-G297)*(1-G298),0)</f>
        <v>0</v>
      </c>
      <c r="H299" s="36" t="n">
        <f aca="false">IF(H294=a_churn_year,a_sticky*(H295-H297)*(1-H298),0)</f>
        <v>0</v>
      </c>
      <c r="I299" s="36" t="n">
        <f aca="false">IF(I294=a_churn_year,a_sticky*(I295-I297)*(1-I298),0)</f>
        <v>0</v>
      </c>
      <c r="J299" s="36" t="n">
        <f aca="false">IF(J294=a_churn_year,a_sticky*(J295-J297)*(1-J298),0)</f>
        <v>0</v>
      </c>
      <c r="K299" s="36" t="n">
        <f aca="false">IF(K294=a_churn_year,a_sticky*(K295-K297)*(1-K298),0)</f>
        <v>0</v>
      </c>
      <c r="L299" s="36" t="n">
        <f aca="false">IF(L294=a_churn_year,a_sticky*(L295-L297)*(1-L298),0)</f>
        <v>0</v>
      </c>
      <c r="M299" s="36" t="n">
        <f aca="false">IF(M294=a_churn_year,a_sticky*(M295-M297)*(1-M298),0)</f>
        <v>0</v>
      </c>
    </row>
    <row r="300" customFormat="false" ht="15" hidden="false" customHeight="false" outlineLevel="0" collapsed="false">
      <c r="A300" s="4" t="s">
        <v>290</v>
      </c>
      <c r="C300" s="41" t="n">
        <f aca="false">C297*C298-C299</f>
        <v>0</v>
      </c>
      <c r="D300" s="41" t="n">
        <f aca="false">D297*D298-D299</f>
        <v>-0.660000000000002</v>
      </c>
      <c r="E300" s="41" t="n">
        <f aca="false">E297*E298-E299</f>
        <v>28.512</v>
      </c>
      <c r="F300" s="41" t="n">
        <f aca="false">F297*F298-F299</f>
        <v>51.3216</v>
      </c>
      <c r="G300" s="41" t="n">
        <f aca="false">G297*G298-G299</f>
        <v>82.11456</v>
      </c>
      <c r="H300" s="41" t="n">
        <f aca="false">H297*H298-H299</f>
        <v>123.17184</v>
      </c>
      <c r="I300" s="41" t="n">
        <f aca="false">I297*I298-I299</f>
        <v>147.806208</v>
      </c>
      <c r="J300" s="41" t="n">
        <f aca="false">J297*J298-J299</f>
        <v>177.3674496</v>
      </c>
      <c r="K300" s="41" t="n">
        <f aca="false">K297*K298-K299</f>
        <v>212.84093952</v>
      </c>
      <c r="L300" s="41" t="n">
        <f aca="false">L297*L298-L299</f>
        <v>255.409127424</v>
      </c>
      <c r="M300" s="41" t="n">
        <f aca="false">M297*M298-M299</f>
        <v>306.4909529088</v>
      </c>
    </row>
    <row r="301" customFormat="false" ht="15" hidden="false" customHeight="false" outlineLevel="0" collapsed="false">
      <c r="A301" s="9" t="s">
        <v>291</v>
      </c>
      <c r="C301" s="36" t="n">
        <f aca="false">C297*a_da</f>
        <v>6.6</v>
      </c>
      <c r="D301" s="36" t="n">
        <f aca="false">D297*a_da</f>
        <v>7.128</v>
      </c>
      <c r="E301" s="36" t="n">
        <f aca="false">E297*a_da</f>
        <v>8.5536</v>
      </c>
      <c r="F301" s="36" t="n">
        <f aca="false">F297*a_da</f>
        <v>10.26432</v>
      </c>
      <c r="G301" s="36" t="n">
        <f aca="false">G297*a_da</f>
        <v>12.317184</v>
      </c>
      <c r="H301" s="36" t="n">
        <f aca="false">H297*a_da</f>
        <v>14.7806208</v>
      </c>
      <c r="I301" s="36" t="n">
        <f aca="false">I297*a_da</f>
        <v>17.73674496</v>
      </c>
      <c r="J301" s="36" t="n">
        <f aca="false">J297*a_da</f>
        <v>21.284093952</v>
      </c>
      <c r="K301" s="36" t="n">
        <f aca="false">K297*a_da</f>
        <v>25.5409127424</v>
      </c>
      <c r="L301" s="36" t="n">
        <f aca="false">L297*a_da</f>
        <v>30.64909529088</v>
      </c>
      <c r="M301" s="36" t="n">
        <f aca="false">M297*a_da</f>
        <v>36.778914349056</v>
      </c>
    </row>
    <row r="302" customFormat="false" ht="15" hidden="false" customHeight="false" outlineLevel="0" collapsed="false">
      <c r="A302" s="9" t="s">
        <v>292</v>
      </c>
      <c r="C302" s="36" t="n">
        <f aca="false">C300-C301</f>
        <v>-6.6</v>
      </c>
      <c r="D302" s="36" t="n">
        <f aca="false">D300-D301</f>
        <v>-7.788</v>
      </c>
      <c r="E302" s="36" t="n">
        <f aca="false">E300-E301</f>
        <v>19.9584</v>
      </c>
      <c r="F302" s="36" t="n">
        <f aca="false">F300-F301</f>
        <v>41.05728</v>
      </c>
      <c r="G302" s="36" t="n">
        <f aca="false">G300-G301</f>
        <v>69.797376</v>
      </c>
      <c r="H302" s="36" t="n">
        <f aca="false">H300-H301</f>
        <v>108.3912192</v>
      </c>
      <c r="I302" s="36" t="n">
        <f aca="false">I300-I301</f>
        <v>130.06946304</v>
      </c>
      <c r="J302" s="36" t="n">
        <f aca="false">J300-J301</f>
        <v>156.083355648</v>
      </c>
      <c r="K302" s="36" t="n">
        <f aca="false">K300-K301</f>
        <v>187.3000267776</v>
      </c>
      <c r="L302" s="36" t="n">
        <f aca="false">L300-L301</f>
        <v>224.76003213312</v>
      </c>
      <c r="M302" s="36" t="n">
        <f aca="false">M300-M301</f>
        <v>269.712038559744</v>
      </c>
    </row>
    <row r="303" customFormat="false" ht="15" hidden="false" customHeight="false" outlineLevel="0" collapsed="false">
      <c r="A303" s="9" t="s">
        <v>293</v>
      </c>
      <c r="C303" s="36" t="n">
        <f aca="false">MAX(0,C302)*a_tax</f>
        <v>0</v>
      </c>
      <c r="D303" s="36" t="n">
        <f aca="false">MAX(0,D302)*a_tax</f>
        <v>0</v>
      </c>
      <c r="E303" s="36" t="n">
        <f aca="false">MAX(0,E302)*a_tax</f>
        <v>4.9896</v>
      </c>
      <c r="F303" s="36" t="n">
        <f aca="false">MAX(0,F302)*a_tax</f>
        <v>10.26432</v>
      </c>
      <c r="G303" s="36" t="n">
        <f aca="false">MAX(0,G302)*a_tax</f>
        <v>17.449344</v>
      </c>
      <c r="H303" s="36" t="n">
        <f aca="false">MAX(0,H302)*a_tax</f>
        <v>27.0978048</v>
      </c>
      <c r="I303" s="36" t="n">
        <f aca="false">MAX(0,I302)*a_tax</f>
        <v>32.51736576</v>
      </c>
      <c r="J303" s="36" t="n">
        <f aca="false">MAX(0,J302)*a_tax</f>
        <v>39.020838912</v>
      </c>
      <c r="K303" s="36" t="n">
        <f aca="false">MAX(0,K302)*a_tax</f>
        <v>46.8250066944</v>
      </c>
      <c r="L303" s="36" t="n">
        <f aca="false">MAX(0,L302)*a_tax</f>
        <v>56.19000803328</v>
      </c>
      <c r="M303" s="36" t="n">
        <f aca="false">MAX(0,M302)*a_tax</f>
        <v>67.428009639936</v>
      </c>
    </row>
    <row r="304" customFormat="false" ht="15" hidden="false" customHeight="false" outlineLevel="0" collapsed="false">
      <c r="A304" s="4" t="s">
        <v>294</v>
      </c>
      <c r="C304" s="42" t="n">
        <f aca="false">cf_lim_pat</f>
        <v>0</v>
      </c>
      <c r="D304" s="41" t="n">
        <f aca="false">D302-D303</f>
        <v>-7.788</v>
      </c>
      <c r="E304" s="41" t="n">
        <f aca="false">E302-E303</f>
        <v>14.9688</v>
      </c>
      <c r="F304" s="41" t="n">
        <f aca="false">F302-F303</f>
        <v>30.79296</v>
      </c>
      <c r="G304" s="41" t="n">
        <f aca="false">G302-G303</f>
        <v>52.348032</v>
      </c>
      <c r="H304" s="41" t="n">
        <f aca="false">H302-H303</f>
        <v>81.2934144</v>
      </c>
      <c r="I304" s="41" t="n">
        <f aca="false">I302-I303</f>
        <v>97.55209728</v>
      </c>
      <c r="J304" s="41" t="n">
        <f aca="false">J302-J303</f>
        <v>117.062516736</v>
      </c>
      <c r="K304" s="41" t="n">
        <f aca="false">K302-K303</f>
        <v>140.4750200832</v>
      </c>
      <c r="L304" s="41" t="n">
        <f aca="false">L302-L303</f>
        <v>168.57002409984</v>
      </c>
      <c r="M304" s="41" t="n">
        <f aca="false">M302-M303</f>
        <v>202.284028919808</v>
      </c>
    </row>
    <row r="305" customFormat="false" ht="15" hidden="false" customHeight="false" outlineLevel="0" collapsed="false">
      <c r="A305" s="9" t="s">
        <v>295</v>
      </c>
      <c r="C305" s="36" t="n">
        <f aca="false">C297*a_capex</f>
        <v>6.6</v>
      </c>
      <c r="D305" s="36" t="n">
        <f aca="false">D297*a_capex</f>
        <v>7.128</v>
      </c>
      <c r="E305" s="36" t="n">
        <f aca="false">E297*a_capex</f>
        <v>8.5536</v>
      </c>
      <c r="F305" s="36" t="n">
        <f aca="false">F297*a_capex</f>
        <v>10.26432</v>
      </c>
      <c r="G305" s="36" t="n">
        <f aca="false">G297*a_capex</f>
        <v>12.317184</v>
      </c>
      <c r="H305" s="36" t="n">
        <f aca="false">H297*a_capex</f>
        <v>14.7806208</v>
      </c>
      <c r="I305" s="36" t="n">
        <f aca="false">I297*a_capex</f>
        <v>17.73674496</v>
      </c>
      <c r="J305" s="36" t="n">
        <f aca="false">J297*a_capex</f>
        <v>21.284093952</v>
      </c>
      <c r="K305" s="36" t="n">
        <f aca="false">K297*a_capex</f>
        <v>25.5409127424</v>
      </c>
      <c r="L305" s="36" t="n">
        <f aca="false">L297*a_capex</f>
        <v>30.64909529088</v>
      </c>
      <c r="M305" s="36" t="n">
        <f aca="false">M297*a_capex</f>
        <v>36.778914349056</v>
      </c>
    </row>
    <row r="306" customFormat="false" ht="15" hidden="false" customHeight="false" outlineLevel="0" collapsed="false">
      <c r="A306" s="9" t="s">
        <v>296</v>
      </c>
      <c r="C306" s="36" t="n">
        <f aca="false">0</f>
        <v>0</v>
      </c>
      <c r="D306" s="36" t="n">
        <f aca="false">a_wc*(D297-C297)</f>
        <v>0.88</v>
      </c>
      <c r="E306" s="36" t="n">
        <f aca="false">a_wc*(E297-D297)</f>
        <v>2.376</v>
      </c>
      <c r="F306" s="36" t="n">
        <f aca="false">a_wc*(F297-E297)</f>
        <v>2.8512</v>
      </c>
      <c r="G306" s="36" t="n">
        <f aca="false">a_wc*(G297-F297)</f>
        <v>3.42144</v>
      </c>
      <c r="H306" s="36" t="n">
        <f aca="false">a_wc*(H297-G297)</f>
        <v>4.105728</v>
      </c>
      <c r="I306" s="36" t="n">
        <f aca="false">a_wc*(I297-H297)</f>
        <v>4.9268736</v>
      </c>
      <c r="J306" s="36" t="n">
        <f aca="false">a_wc*(J297-I297)</f>
        <v>5.91224832</v>
      </c>
      <c r="K306" s="36" t="n">
        <f aca="false">a_wc*(K297-J297)</f>
        <v>7.094697984</v>
      </c>
      <c r="L306" s="36" t="n">
        <f aca="false">a_wc*(L297-K297)</f>
        <v>8.51363758079999</v>
      </c>
      <c r="M306" s="36" t="n">
        <f aca="false">a_wc*(M297-L297)</f>
        <v>10.21636509696</v>
      </c>
    </row>
    <row r="307" customFormat="false" ht="15" hidden="false" customHeight="false" outlineLevel="0" collapsed="false">
      <c r="A307" s="4" t="s">
        <v>297</v>
      </c>
      <c r="C307" s="36" t="n">
        <f aca="false">0</f>
        <v>0</v>
      </c>
      <c r="D307" s="41" t="n">
        <f aca="false">D304+D301-D305-D306</f>
        <v>-8.668</v>
      </c>
      <c r="E307" s="41" t="n">
        <f aca="false">E304+E301-E305-E306</f>
        <v>12.5928</v>
      </c>
      <c r="F307" s="41" t="n">
        <f aca="false">F304+F301-F305-F306</f>
        <v>27.94176</v>
      </c>
      <c r="G307" s="41" t="n">
        <f aca="false">G304+G301-G305-G306</f>
        <v>48.926592</v>
      </c>
      <c r="H307" s="41" t="n">
        <f aca="false">H304+H301-H305-H306</f>
        <v>77.1876864</v>
      </c>
      <c r="I307" s="41" t="n">
        <f aca="false">I304+I301-I305-I306</f>
        <v>92.62522368</v>
      </c>
      <c r="J307" s="41" t="n">
        <f aca="false">J304+J301-J305-J306</f>
        <v>111.150268416</v>
      </c>
      <c r="K307" s="41" t="n">
        <f aca="false">K304+K301-K305-K306</f>
        <v>133.3803220992</v>
      </c>
      <c r="L307" s="41" t="n">
        <f aca="false">L304+L301-L305-L306</f>
        <v>160.05638651904</v>
      </c>
      <c r="M307" s="41" t="n">
        <f aca="false">M304+M301-M305-M306</f>
        <v>192.067663822848</v>
      </c>
    </row>
    <row r="309" customFormat="false" ht="15" hidden="false" customHeight="false" outlineLevel="0" collapsed="false">
      <c r="A309" s="7" t="s">
        <v>644</v>
      </c>
      <c r="B309" s="8"/>
      <c r="C309" s="8"/>
      <c r="D309" s="8"/>
      <c r="E309" s="8"/>
      <c r="F309" s="8"/>
      <c r="G309" s="8"/>
      <c r="H309" s="8"/>
      <c r="I309" s="8"/>
      <c r="J309" s="8"/>
      <c r="K309" s="8"/>
      <c r="L309" s="8"/>
      <c r="M309" s="8"/>
      <c r="N309" s="8"/>
    </row>
    <row r="310" customFormat="false" ht="15" hidden="false" customHeight="false" outlineLevel="0" collapsed="false">
      <c r="A310" s="9" t="s">
        <v>482</v>
      </c>
      <c r="C310" s="35" t="n">
        <f aca="false">lv_mix_eq/(c_price*(1-a_issue_disc))</f>
        <v>1.024</v>
      </c>
    </row>
    <row r="311" customFormat="false" ht="15" hidden="false" customHeight="false" outlineLevel="0" collapsed="false">
      <c r="A311" s="9" t="s">
        <v>449</v>
      </c>
      <c r="C311" s="35" t="n">
        <f aca="false">cf_shares+C310</f>
        <v>65.024</v>
      </c>
    </row>
    <row r="312" customFormat="false" ht="15" hidden="false" customHeight="false" outlineLevel="0" collapsed="false">
      <c r="A312" s="9" t="s">
        <v>483</v>
      </c>
      <c r="C312" s="36" t="n">
        <f aca="false">lv_mix_cash*a_yield*(1-a_tax)+lv_mix_debt*a_kd*(1-a_tax)</f>
        <v>94.5</v>
      </c>
    </row>
    <row r="313" customFormat="false" ht="15" hidden="false" customHeight="false" outlineLevel="0" collapsed="false">
      <c r="A313" s="9" t="s">
        <v>484</v>
      </c>
      <c r="C313" s="36" t="n">
        <f aca="false">lv_price*a_ppa_share/a_ppa_life*(1-a_tax)</f>
        <v>93.75</v>
      </c>
    </row>
    <row r="314" customFormat="false" ht="15" hidden="false" customHeight="false" outlineLevel="0" collapsed="false">
      <c r="A314" s="9" t="s">
        <v>485</v>
      </c>
      <c r="C314" s="36" t="n">
        <f aca="false">a_ppa_on*C313</f>
        <v>0</v>
      </c>
    </row>
    <row r="315" customFormat="false" ht="15" hidden="false" customHeight="false" outlineLevel="0" collapsed="false">
      <c r="A315" s="9" t="s">
        <v>486</v>
      </c>
      <c r="C315" s="36" t="n">
        <f aca="false">lv_price*a_fees_pct+a_integ_full</f>
        <v>160</v>
      </c>
    </row>
    <row r="316" customFormat="false" ht="15" hidden="false" customHeight="false" outlineLevel="0" collapsed="false">
      <c r="A316" s="9" t="s">
        <v>487</v>
      </c>
      <c r="C316" s="36" t="n">
        <f aca="false">0</f>
        <v>0</v>
      </c>
      <c r="D316" s="36" t="n">
        <f aca="false">a_syn_on*(a_syn_partner_rev_y3+a_syn_xsell_y3)*a_mcap*IF(D294=1,a_syn_ramp1,IF(D294=2,a_syn_ramp2,1))+a_syn_on*IF(D294&gt;=2,a_syn_cost,0)</f>
        <v>0</v>
      </c>
      <c r="E316" s="36" t="n">
        <f aca="false">a_syn_on*(a_syn_partner_rev_y3+a_syn_xsell_y3)*a_mcap*IF(E294=1,a_syn_ramp1,IF(E294=2,a_syn_ramp2,1))+a_syn_on*IF(E294&gt;=2,a_syn_cost,0)</f>
        <v>0</v>
      </c>
      <c r="F316" s="36" t="n">
        <f aca="false">a_syn_on*(a_syn_partner_rev_y3+a_syn_xsell_y3)*a_mcap*IF(F294=1,a_syn_ramp1,IF(F294=2,a_syn_ramp2,1))+a_syn_on*IF(F294&gt;=2,a_syn_cost,0)</f>
        <v>0</v>
      </c>
      <c r="G316" s="36" t="n">
        <f aca="false">a_syn_on*(a_syn_partner_rev_y3+a_syn_xsell_y3)*a_mcap*IF(G294=1,a_syn_ramp1,IF(G294=2,a_syn_ramp2,1))+a_syn_on*IF(G294&gt;=2,a_syn_cost,0)</f>
        <v>0</v>
      </c>
      <c r="H316" s="36" t="n">
        <f aca="false">a_syn_on*(a_syn_partner_rev_y3+a_syn_xsell_y3)*a_mcap*IF(H294=1,a_syn_ramp1,IF(H294=2,a_syn_ramp2,1))+a_syn_on*IF(H294&gt;=2,a_syn_cost,0)</f>
        <v>0</v>
      </c>
      <c r="I316" s="36" t="n">
        <f aca="false">a_syn_on*(a_syn_partner_rev_y3+a_syn_xsell_y3)*a_mcap*IF(I294=1,a_syn_ramp1,IF(I294=2,a_syn_ramp2,1))+a_syn_on*IF(I294&gt;=2,a_syn_cost,0)</f>
        <v>0</v>
      </c>
      <c r="J316" s="36" t="n">
        <f aca="false">a_syn_on*(a_syn_partner_rev_y3+a_syn_xsell_y3)*a_mcap*IF(J294=1,a_syn_ramp1,IF(J294=2,a_syn_ramp2,1))+a_syn_on*IF(J294&gt;=2,a_syn_cost,0)</f>
        <v>0</v>
      </c>
      <c r="K316" s="36" t="n">
        <f aca="false">a_syn_on*(a_syn_partner_rev_y3+a_syn_xsell_y3)*a_mcap*IF(K294=1,a_syn_ramp1,IF(K294=2,a_syn_ramp2,1))+a_syn_on*IF(K294&gt;=2,a_syn_cost,0)</f>
        <v>0</v>
      </c>
      <c r="L316" s="36" t="n">
        <f aca="false">a_syn_on*(a_syn_partner_rev_y3+a_syn_xsell_y3)*a_mcap*IF(L294=1,a_syn_ramp1,IF(L294=2,a_syn_ramp2,1))+a_syn_on*IF(L294&gt;=2,a_syn_cost,0)</f>
        <v>0</v>
      </c>
      <c r="M316" s="36" t="n">
        <f aca="false">a_syn_on*(a_syn_partner_rev_y3+a_syn_xsell_y3)*a_mcap*IF(M294=1,a_syn_ramp1,IF(M294=2,a_syn_ramp2,1))+a_syn_on*IF(M294&gt;=2,a_syn_cost,0)</f>
        <v>0</v>
      </c>
    </row>
    <row r="317" customFormat="false" ht="15" hidden="false" customHeight="false" outlineLevel="0" collapsed="false">
      <c r="A317" s="9" t="s">
        <v>488</v>
      </c>
      <c r="C317" s="36" t="n">
        <f aca="false">0</f>
        <v>0</v>
      </c>
      <c r="D317" s="36" t="n">
        <f aca="false">CHOOSE(lv_drag_mode,0,0*D297/cf_arr,0*(1-a_tax))</f>
        <v>0</v>
      </c>
      <c r="E317" s="36" t="n">
        <f aca="false">CHOOSE(lv_drag_mode,0,0*E297/cf_arr,0*(1-a_tax))</f>
        <v>0</v>
      </c>
      <c r="F317" s="36" t="n">
        <f aca="false">CHOOSE(lv_drag_mode,0,0*F297/cf_arr,0*(1-a_tax))</f>
        <v>0</v>
      </c>
      <c r="G317" s="36" t="n">
        <f aca="false">CHOOSE(lv_drag_mode,0,0*G297/cf_arr,0*(1-a_tax))</f>
        <v>0</v>
      </c>
      <c r="H317" s="36" t="n">
        <f aca="false">CHOOSE(lv_drag_mode,0,0*H297/cf_arr,0*(1-a_tax))</f>
        <v>0</v>
      </c>
      <c r="I317" s="36" t="n">
        <f aca="false">CHOOSE(lv_drag_mode,0,0*I297/cf_arr,0*(1-a_tax))</f>
        <v>0</v>
      </c>
      <c r="J317" s="36" t="n">
        <f aca="false">CHOOSE(lv_drag_mode,0,0*J297/cf_arr,0*(1-a_tax))</f>
        <v>0</v>
      </c>
      <c r="K317" s="36" t="n">
        <f aca="false">CHOOSE(lv_drag_mode,0,0*K297/cf_arr,0*(1-a_tax))</f>
        <v>0</v>
      </c>
      <c r="L317" s="36" t="n">
        <f aca="false">CHOOSE(lv_drag_mode,0,0*L297/cf_arr,0*(1-a_tax))</f>
        <v>0</v>
      </c>
      <c r="M317" s="36" t="n">
        <f aca="false">CHOOSE(lv_drag_mode,0,0*M297/cf_arr,0*(1-a_tax))</f>
        <v>0</v>
      </c>
    </row>
    <row r="318" customFormat="false" ht="15" hidden="false" customHeight="false" outlineLevel="0" collapsed="false">
      <c r="A318" s="9" t="s">
        <v>489</v>
      </c>
      <c r="C318" s="36" t="n">
        <f aca="false">0</f>
        <v>0</v>
      </c>
      <c r="D318" s="36" t="n">
        <f aca="false">IF(lv_drag_mode=3,0*(1-a_tax),0)</f>
        <v>0</v>
      </c>
      <c r="E318" s="36" t="n">
        <f aca="false">IF(lv_drag_mode=3,0*(1-a_tax),0)</f>
        <v>0</v>
      </c>
      <c r="F318" s="36" t="n">
        <f aca="false">IF(lv_drag_mode=3,0*(1-a_tax),0)</f>
        <v>0</v>
      </c>
      <c r="G318" s="36" t="n">
        <f aca="false">IF(lv_drag_mode=3,0*(1-a_tax),0)</f>
        <v>0</v>
      </c>
      <c r="H318" s="36" t="n">
        <f aca="false">IF(lv_drag_mode=3,0*(1-a_tax),0)</f>
        <v>0</v>
      </c>
      <c r="I318" s="36" t="n">
        <f aca="false">IF(lv_drag_mode=3,0*(1-a_tax),0)</f>
        <v>0</v>
      </c>
      <c r="J318" s="36" t="n">
        <f aca="false">IF(lv_drag_mode=3,0*(1-a_tax),0)</f>
        <v>0</v>
      </c>
      <c r="K318" s="36" t="n">
        <f aca="false">IF(lv_drag_mode=3,0*(1-a_tax),0)</f>
        <v>0</v>
      </c>
      <c r="L318" s="36" t="n">
        <f aca="false">IF(lv_drag_mode=3,0*(1-a_tax),0)</f>
        <v>0</v>
      </c>
      <c r="M318" s="36" t="n">
        <f aca="false">IF(lv_drag_mode=3,0*(1-a_tax),0)</f>
        <v>0</v>
      </c>
    </row>
    <row r="319" customFormat="false" ht="15" hidden="false" customHeight="false" outlineLevel="0" collapsed="false">
      <c r="A319" s="9" t="s">
        <v>490</v>
      </c>
      <c r="C319" s="36" t="n">
        <f aca="false">0</f>
        <v>0</v>
      </c>
      <c r="D319" s="36" t="n">
        <f aca="false">IF(lv_drag_mode=3,0,C319+D317)</f>
        <v>0</v>
      </c>
      <c r="E319" s="36" t="n">
        <f aca="false">IF(lv_drag_mode=3,0,D319+E317)</f>
        <v>0</v>
      </c>
      <c r="F319" s="36" t="n">
        <f aca="false">IF(lv_drag_mode=3,0,E319+F317)</f>
        <v>0</v>
      </c>
      <c r="G319" s="36" t="n">
        <f aca="false">IF(lv_drag_mode=3,0,F319+G317)</f>
        <v>0</v>
      </c>
      <c r="H319" s="36" t="n">
        <f aca="false">IF(lv_drag_mode=3,0,G319+H317)</f>
        <v>0</v>
      </c>
      <c r="I319" s="36" t="n">
        <f aca="false">IF(lv_drag_mode=3,0,H319+I317)</f>
        <v>0</v>
      </c>
      <c r="J319" s="36" t="n">
        <f aca="false">IF(lv_drag_mode=3,0,I319+J317)</f>
        <v>0</v>
      </c>
      <c r="K319" s="36" t="n">
        <f aca="false">IF(lv_drag_mode=3,0,J319+K317)</f>
        <v>0</v>
      </c>
      <c r="L319" s="36" t="n">
        <f aca="false">IF(lv_drag_mode=3,0,K319+L317)</f>
        <v>0</v>
      </c>
      <c r="M319" s="36" t="n">
        <f aca="false">IF(lv_drag_mode=3,0,L319+M317)</f>
        <v>0</v>
      </c>
    </row>
    <row r="320" customFormat="false" ht="15" hidden="false" customHeight="false" outlineLevel="0" collapsed="false">
      <c r="A320" s="9" t="s">
        <v>491</v>
      </c>
      <c r="C320" s="36" t="n">
        <f aca="false">0</f>
        <v>0</v>
      </c>
      <c r="D320" s="36" t="n">
        <f aca="false">C319*a_yield*(1-a_tax)</f>
        <v>0</v>
      </c>
      <c r="E320" s="36" t="n">
        <f aca="false">D319*a_yield*(1-a_tax)</f>
        <v>0</v>
      </c>
      <c r="F320" s="36" t="n">
        <f aca="false">E319*a_yield*(1-a_tax)</f>
        <v>0</v>
      </c>
      <c r="G320" s="36" t="n">
        <f aca="false">F319*a_yield*(1-a_tax)</f>
        <v>0</v>
      </c>
      <c r="H320" s="36" t="n">
        <f aca="false">G319*a_yield*(1-a_tax)</f>
        <v>0</v>
      </c>
      <c r="I320" s="36" t="n">
        <f aca="false">H319*a_yield*(1-a_tax)</f>
        <v>0</v>
      </c>
      <c r="J320" s="36" t="n">
        <f aca="false">I319*a_yield*(1-a_tax)</f>
        <v>0</v>
      </c>
      <c r="K320" s="36" t="n">
        <f aca="false">J319*a_yield*(1-a_tax)</f>
        <v>0</v>
      </c>
      <c r="L320" s="36" t="n">
        <f aca="false">K319*a_yield*(1-a_tax)</f>
        <v>0</v>
      </c>
      <c r="M320" s="36" t="n">
        <f aca="false">L319*a_yield*(1-a_tax)</f>
        <v>0</v>
      </c>
    </row>
    <row r="321" customFormat="false" ht="15" hidden="false" customHeight="false" outlineLevel="0" collapsed="false">
      <c r="A321" s="9" t="s">
        <v>492</v>
      </c>
      <c r="C321" s="36" t="n">
        <f aca="false">cf_pat</f>
        <v>480</v>
      </c>
      <c r="D321" s="36" t="n">
        <f aca="false">cf_pat*(1+a_pat_growth)^D294</f>
        <v>480</v>
      </c>
      <c r="E321" s="36" t="n">
        <f aca="false">cf_pat*(1+a_pat_growth)^E294</f>
        <v>480</v>
      </c>
      <c r="F321" s="36" t="n">
        <f aca="false">cf_pat*(1+a_pat_growth)^F294</f>
        <v>480</v>
      </c>
      <c r="G321" s="36" t="n">
        <f aca="false">cf_pat*(1+a_pat_growth)^G294</f>
        <v>480</v>
      </c>
      <c r="H321" s="36" t="n">
        <f aca="false">cf_pat*(1+a_pat_growth)^H294</f>
        <v>480</v>
      </c>
      <c r="I321" s="36" t="n">
        <f aca="false">cf_pat*(1+a_pat_growth)^I294</f>
        <v>480</v>
      </c>
      <c r="J321" s="36" t="n">
        <f aca="false">cf_pat*(1+a_pat_growth)^J294</f>
        <v>480</v>
      </c>
      <c r="K321" s="36" t="n">
        <f aca="false">cf_pat*(1+a_pat_growth)^K294</f>
        <v>480</v>
      </c>
      <c r="L321" s="36" t="n">
        <f aca="false">cf_pat*(1+a_pat_growth)^L294</f>
        <v>480</v>
      </c>
      <c r="M321" s="36" t="n">
        <f aca="false">cf_pat*(1+a_pat_growth)^M294</f>
        <v>480</v>
      </c>
    </row>
    <row r="322" customFormat="false" ht="15" hidden="false" customHeight="false" outlineLevel="0" collapsed="false">
      <c r="A322" s="9" t="s">
        <v>493</v>
      </c>
      <c r="C322" s="36" t="n">
        <f aca="false">0</f>
        <v>0</v>
      </c>
      <c r="D322" s="36" t="n">
        <f aca="false">cf_mdr*a_mdr_flow*(1-a_tax)</f>
        <v>69</v>
      </c>
      <c r="E322" s="36" t="n">
        <f aca="false">cf_mdr*a_mdr_flow*(1-a_tax)</f>
        <v>69</v>
      </c>
      <c r="F322" s="36" t="n">
        <f aca="false">cf_mdr*a_mdr_flow*(1-a_tax)</f>
        <v>69</v>
      </c>
      <c r="G322" s="36" t="n">
        <f aca="false">cf_mdr*a_mdr_flow*(1-a_tax)</f>
        <v>69</v>
      </c>
      <c r="H322" s="36" t="n">
        <f aca="false">cf_mdr*a_mdr_flow*(1-a_tax)</f>
        <v>69</v>
      </c>
      <c r="I322" s="36" t="n">
        <f aca="false">cf_mdr*a_mdr_flow*(1-a_tax)</f>
        <v>69</v>
      </c>
      <c r="J322" s="36" t="n">
        <f aca="false">cf_mdr*a_mdr_flow*(1-a_tax)</f>
        <v>69</v>
      </c>
      <c r="K322" s="36" t="n">
        <f aca="false">cf_mdr*a_mdr_flow*(1-a_tax)</f>
        <v>69</v>
      </c>
      <c r="L322" s="36" t="n">
        <f aca="false">cf_mdr*a_mdr_flow*(1-a_tax)</f>
        <v>69</v>
      </c>
      <c r="M322" s="36" t="n">
        <f aca="false">cf_mdr*a_mdr_flow*(1-a_tax)</f>
        <v>69</v>
      </c>
    </row>
    <row r="323" customFormat="false" ht="15" hidden="false" customHeight="false" outlineLevel="0" collapsed="false">
      <c r="A323" s="9" t="s">
        <v>494</v>
      </c>
      <c r="C323" s="50" t="n">
        <f aca="false">cf_eps</f>
        <v>7.5</v>
      </c>
      <c r="D323" s="50" t="n">
        <f aca="false">D321/cf_shares</f>
        <v>7.5</v>
      </c>
      <c r="E323" s="50" t="n">
        <f aca="false">E321/cf_shares</f>
        <v>7.5</v>
      </c>
      <c r="F323" s="50" t="n">
        <f aca="false">F321/cf_shares</f>
        <v>7.5</v>
      </c>
      <c r="G323" s="50" t="n">
        <f aca="false">G321/cf_shares</f>
        <v>7.5</v>
      </c>
      <c r="H323" s="50" t="n">
        <f aca="false">H321/cf_shares</f>
        <v>7.5</v>
      </c>
      <c r="I323" s="50" t="n">
        <f aca="false">I321/cf_shares</f>
        <v>7.5</v>
      </c>
      <c r="J323" s="50" t="n">
        <f aca="false">J321/cf_shares</f>
        <v>7.5</v>
      </c>
      <c r="K323" s="50" t="n">
        <f aca="false">K321/cf_shares</f>
        <v>7.5</v>
      </c>
      <c r="L323" s="50" t="n">
        <f aca="false">L321/cf_shares</f>
        <v>7.5</v>
      </c>
      <c r="M323" s="50" t="n">
        <f aca="false">M321/cf_shares</f>
        <v>7.5</v>
      </c>
    </row>
    <row r="324" customFormat="false" ht="15" hidden="false" customHeight="false" outlineLevel="0" collapsed="false">
      <c r="A324" s="9" t="s">
        <v>495</v>
      </c>
      <c r="C324" s="50" t="n">
        <f aca="false">cf_eps</f>
        <v>7.5</v>
      </c>
      <c r="D324" s="50" t="n">
        <f aca="false">(D321+D322)/cf_shares</f>
        <v>8.578125</v>
      </c>
      <c r="E324" s="50" t="n">
        <f aca="false">(E321+E322)/cf_shares</f>
        <v>8.578125</v>
      </c>
      <c r="F324" s="50" t="n">
        <f aca="false">(F321+F322)/cf_shares</f>
        <v>8.578125</v>
      </c>
      <c r="G324" s="50" t="n">
        <f aca="false">(G321+G322)/cf_shares</f>
        <v>8.578125</v>
      </c>
      <c r="H324" s="50" t="n">
        <f aca="false">(H321+H322)/cf_shares</f>
        <v>8.578125</v>
      </c>
      <c r="I324" s="50" t="n">
        <f aca="false">(I321+I322)/cf_shares</f>
        <v>8.578125</v>
      </c>
      <c r="J324" s="50" t="n">
        <f aca="false">(J321+J322)/cf_shares</f>
        <v>8.578125</v>
      </c>
      <c r="K324" s="50" t="n">
        <f aca="false">(K321+K322)/cf_shares</f>
        <v>8.578125</v>
      </c>
      <c r="L324" s="50" t="n">
        <f aca="false">(L321+L322)/cf_shares</f>
        <v>8.578125</v>
      </c>
      <c r="M324" s="50" t="n">
        <f aca="false">(M321+M322)/cf_shares</f>
        <v>8.578125</v>
      </c>
    </row>
    <row r="325" customFormat="false" ht="15" hidden="false" customHeight="false" outlineLevel="0" collapsed="false">
      <c r="A325" s="4" t="s">
        <v>496</v>
      </c>
      <c r="C325" s="41" t="n">
        <f aca="false">-C312-C314</f>
        <v>-94.5</v>
      </c>
      <c r="D325" s="41" t="n">
        <f aca="false">D304+D316*(1-a_tax)-C312-C314-D318-D320</f>
        <v>-102.288</v>
      </c>
      <c r="E325" s="41" t="n">
        <f aca="false">E304+E316*(1-a_tax)-C312-C314-E318-E320</f>
        <v>-79.5312</v>
      </c>
      <c r="F325" s="41" t="n">
        <f aca="false">F304+F316*(1-a_tax)-C312-C314-F318-F320</f>
        <v>-63.70704</v>
      </c>
      <c r="G325" s="41" t="n">
        <f aca="false">G304+G316*(1-a_tax)-C312-C314-G318-G320</f>
        <v>-42.151968</v>
      </c>
      <c r="H325" s="41" t="n">
        <f aca="false">H304+H316*(1-a_tax)-C312-C314-H318-H320</f>
        <v>-13.2065856</v>
      </c>
      <c r="I325" s="41" t="n">
        <f aca="false">I304+I316*(1-a_tax)-C312-C314-I318-I320</f>
        <v>3.05209728</v>
      </c>
      <c r="J325" s="41" t="n">
        <f aca="false">J304+J316*(1-a_tax)-C312-C314-J318-J320</f>
        <v>22.562516736</v>
      </c>
      <c r="K325" s="41" t="n">
        <f aca="false">K304+K316*(1-a_tax)-C312-C314-K318-K320</f>
        <v>45.9750200832</v>
      </c>
      <c r="L325" s="41" t="n">
        <f aca="false">L304+L316*(1-a_tax)-C312-C314-L318-L320</f>
        <v>74.07002409984</v>
      </c>
      <c r="M325" s="41" t="n">
        <f aca="false">M304+M316*(1-a_tax)-C312-C314-M318-M320</f>
        <v>107.784028919808</v>
      </c>
    </row>
    <row r="326" customFormat="false" ht="15" hidden="false" customHeight="false" outlineLevel="0" collapsed="false">
      <c r="A326" s="9" t="s">
        <v>497</v>
      </c>
      <c r="C326" s="36" t="n">
        <f aca="false">C321+C325</f>
        <v>385.5</v>
      </c>
      <c r="D326" s="36" t="n">
        <f aca="false">D321+D325</f>
        <v>377.712</v>
      </c>
      <c r="E326" s="36" t="n">
        <f aca="false">E321+E325</f>
        <v>400.4688</v>
      </c>
      <c r="F326" s="36" t="n">
        <f aca="false">F321+F325</f>
        <v>416.29296</v>
      </c>
      <c r="G326" s="36" t="n">
        <f aca="false">G321+G325</f>
        <v>437.848032</v>
      </c>
      <c r="H326" s="36" t="n">
        <f aca="false">H321+H325</f>
        <v>466.7934144</v>
      </c>
      <c r="I326" s="36" t="n">
        <f aca="false">I321+I325</f>
        <v>483.05209728</v>
      </c>
      <c r="J326" s="36" t="n">
        <f aca="false">J321+J325</f>
        <v>502.562516736</v>
      </c>
      <c r="K326" s="36" t="n">
        <f aca="false">K321+K325</f>
        <v>525.9750200832</v>
      </c>
      <c r="L326" s="36" t="n">
        <f aca="false">L321+L325</f>
        <v>554.07002409984</v>
      </c>
      <c r="M326" s="36" t="n">
        <f aca="false">M321+M325</f>
        <v>587.784028919808</v>
      </c>
    </row>
    <row r="327" customFormat="false" ht="15" hidden="false" customHeight="false" outlineLevel="0" collapsed="false">
      <c r="A327" s="4" t="s">
        <v>498</v>
      </c>
      <c r="C327" s="48" t="n">
        <f aca="false">C326/C311</f>
        <v>5.92858021653543</v>
      </c>
      <c r="D327" s="48" t="n">
        <f aca="false">D326/C311</f>
        <v>5.80880905511811</v>
      </c>
      <c r="E327" s="48" t="n">
        <f aca="false">E326/C311</f>
        <v>6.1587844488189</v>
      </c>
      <c r="F327" s="48" t="n">
        <f aca="false">F326/C311</f>
        <v>6.40214320866142</v>
      </c>
      <c r="G327" s="48" t="n">
        <f aca="false">G326/C311</f>
        <v>6.73363730314961</v>
      </c>
      <c r="H327" s="48" t="n">
        <f aca="false">H326/C311</f>
        <v>7.17878651574803</v>
      </c>
      <c r="I327" s="48" t="n">
        <f aca="false">I326/C311</f>
        <v>7.42882777559055</v>
      </c>
      <c r="J327" s="48" t="n">
        <f aca="false">J326/C311</f>
        <v>7.72887728740158</v>
      </c>
      <c r="K327" s="48" t="n">
        <f aca="false">K326/C311</f>
        <v>8.0889367015748</v>
      </c>
      <c r="L327" s="48" t="n">
        <f aca="false">L326/C311</f>
        <v>8.52100799858268</v>
      </c>
      <c r="M327" s="48" t="n">
        <f aca="false">M326/C311</f>
        <v>9.03949355499213</v>
      </c>
    </row>
    <row r="328" customFormat="false" ht="15" hidden="false" customHeight="false" outlineLevel="0" collapsed="false">
      <c r="A328" s="4" t="s">
        <v>499</v>
      </c>
      <c r="C328" s="14" t="n">
        <f aca="false">C327/cf_eps-1</f>
        <v>-0.209522637795276</v>
      </c>
      <c r="D328" s="14" t="n">
        <f aca="false">D327/cf_eps-1</f>
        <v>-0.225492125984252</v>
      </c>
      <c r="E328" s="14" t="n">
        <f aca="false">E327/cf_eps-1</f>
        <v>-0.17882874015748</v>
      </c>
      <c r="F328" s="14" t="n">
        <f aca="false">F327/cf_eps-1</f>
        <v>-0.146380905511811</v>
      </c>
      <c r="G328" s="14" t="n">
        <f aca="false">G327/cf_eps-1</f>
        <v>-0.102181692913386</v>
      </c>
      <c r="H328" s="14" t="n">
        <f aca="false">H327/cf_eps-1</f>
        <v>-0.0428284645669292</v>
      </c>
      <c r="I328" s="14" t="n">
        <f aca="false">I327/cf_eps-1</f>
        <v>-0.0094896299212599</v>
      </c>
      <c r="J328" s="14" t="n">
        <f aca="false">J327/cf_eps-1</f>
        <v>0.0305169716535434</v>
      </c>
      <c r="K328" s="14" t="n">
        <f aca="false">K327/cf_eps-1</f>
        <v>0.0785248935433069</v>
      </c>
      <c r="L328" s="14" t="n">
        <f aca="false">L327/cf_eps-1</f>
        <v>0.136134399811024</v>
      </c>
      <c r="M328" s="14" t="n">
        <f aca="false">M327/cf_eps-1</f>
        <v>0.205265807332283</v>
      </c>
    </row>
    <row r="329" customFormat="false" ht="15" hidden="false" customHeight="false" outlineLevel="0" collapsed="false">
      <c r="A329" s="9" t="s">
        <v>500</v>
      </c>
      <c r="C329" s="50" t="n">
        <f aca="false">C327</f>
        <v>5.92858021653543</v>
      </c>
      <c r="D329" s="50" t="n">
        <f aca="false">(D326+D322)/C311</f>
        <v>6.86995570866142</v>
      </c>
      <c r="E329" s="50" t="n">
        <f aca="false">(E326+E322)/C311</f>
        <v>7.21993110236221</v>
      </c>
      <c r="F329" s="50" t="n">
        <f aca="false">(F326+F322)/C311</f>
        <v>7.46328986220472</v>
      </c>
      <c r="G329" s="50" t="n">
        <f aca="false">(G326+G322)/C311</f>
        <v>7.79478395669291</v>
      </c>
      <c r="H329" s="50" t="n">
        <f aca="false">(H326+H322)/C311</f>
        <v>8.23993316929134</v>
      </c>
      <c r="I329" s="50" t="n">
        <f aca="false">(I326+I322)/C311</f>
        <v>8.48997442913386</v>
      </c>
      <c r="J329" s="50" t="n">
        <f aca="false">(J326+J322)/C311</f>
        <v>8.79002394094488</v>
      </c>
      <c r="K329" s="50" t="n">
        <f aca="false">(K326+K322)/C311</f>
        <v>9.15008335511811</v>
      </c>
      <c r="L329" s="50" t="n">
        <f aca="false">(L326+L322)/C311</f>
        <v>9.58215465212598</v>
      </c>
      <c r="M329" s="50" t="n">
        <f aca="false">(M326+M322)/C311</f>
        <v>10.1006402085354</v>
      </c>
    </row>
    <row r="330" customFormat="false" ht="15" hidden="false" customHeight="false" outlineLevel="0" collapsed="false">
      <c r="A330" s="9" t="s">
        <v>501</v>
      </c>
      <c r="C330" s="18" t="n">
        <f aca="false">C328</f>
        <v>-0.209522637795276</v>
      </c>
      <c r="D330" s="18" t="n">
        <f aca="false">D329/D324-1</f>
        <v>-0.199130846349124</v>
      </c>
      <c r="E330" s="18" t="n">
        <f aca="false">E329/E324-1</f>
        <v>-0.158332257648122</v>
      </c>
      <c r="F330" s="18" t="n">
        <f aca="false">F329/F324-1</f>
        <v>-0.129962566154641</v>
      </c>
      <c r="G330" s="18" t="n">
        <f aca="false">G329/G324-1</f>
        <v>-0.0913184458500065</v>
      </c>
      <c r="H330" s="18" t="n">
        <f aca="false">H329/H324-1</f>
        <v>-0.039424912869498</v>
      </c>
      <c r="I330" s="18" t="n">
        <f aca="false">I329/I324-1</f>
        <v>-0.010276204982574</v>
      </c>
      <c r="J330" s="18" t="n">
        <f aca="false">J329/J324-1</f>
        <v>0.0247022444817349</v>
      </c>
      <c r="K330" s="18" t="n">
        <f aca="false">K329/K324-1</f>
        <v>0.0666763838389053</v>
      </c>
      <c r="L330" s="18" t="n">
        <f aca="false">L329/L324-1</f>
        <v>0.11704535106751</v>
      </c>
      <c r="M330" s="18" t="n">
        <f aca="false">M329/M324-1</f>
        <v>0.177488111741835</v>
      </c>
    </row>
    <row r="331" customFormat="false" ht="15" hidden="false" customHeight="false" outlineLevel="0" collapsed="false">
      <c r="A331" s="9" t="s">
        <v>502</v>
      </c>
      <c r="C331" s="50" t="n">
        <f aca="false">(C326+C314)/C311</f>
        <v>5.92858021653543</v>
      </c>
      <c r="D331" s="50" t="n">
        <f aca="false">(D326+C314)/C311</f>
        <v>5.80880905511811</v>
      </c>
      <c r="E331" s="50" t="n">
        <f aca="false">(E326+C314)/C311</f>
        <v>6.1587844488189</v>
      </c>
      <c r="F331" s="50" t="n">
        <f aca="false">(F326+C314)/C311</f>
        <v>6.40214320866142</v>
      </c>
      <c r="G331" s="50" t="n">
        <f aca="false">(G326+C314)/C311</f>
        <v>6.73363730314961</v>
      </c>
      <c r="H331" s="50" t="n">
        <f aca="false">(H326+C314)/C311</f>
        <v>7.17878651574803</v>
      </c>
      <c r="I331" s="50" t="n">
        <f aca="false">(I326+C314)/C311</f>
        <v>7.42882777559055</v>
      </c>
      <c r="J331" s="50" t="n">
        <f aca="false">(J326+C314)/C311</f>
        <v>7.72887728740158</v>
      </c>
      <c r="K331" s="50" t="n">
        <f aca="false">(K326+C314)/C311</f>
        <v>8.0889367015748</v>
      </c>
      <c r="L331" s="50" t="n">
        <f aca="false">(L326+C314)/C311</f>
        <v>8.52100799858268</v>
      </c>
      <c r="M331" s="50" t="n">
        <f aca="false">(M326+C314)/C311</f>
        <v>9.03949355499213</v>
      </c>
    </row>
    <row r="332" customFormat="false" ht="15" hidden="false" customHeight="false" outlineLevel="0" collapsed="false">
      <c r="A332" s="9" t="s">
        <v>503</v>
      </c>
      <c r="C332" s="50" t="n">
        <f aca="false">(C326-C313+C314)/C311</f>
        <v>4.48680487204724</v>
      </c>
      <c r="D332" s="50" t="n">
        <f aca="false">(D326-C313+C314)/C311</f>
        <v>4.36703371062992</v>
      </c>
      <c r="E332" s="50" t="n">
        <f aca="false">(E326-C313+C314)/C311</f>
        <v>4.71700910433071</v>
      </c>
      <c r="F332" s="50" t="n">
        <f aca="false">(F326-C313+C314)/C311</f>
        <v>4.96036786417323</v>
      </c>
      <c r="G332" s="50" t="n">
        <f aca="false">(G326-C313+C314)/C311</f>
        <v>5.29186195866142</v>
      </c>
      <c r="H332" s="50" t="n">
        <f aca="false">(H326-C313+C314)/C311</f>
        <v>5.73701117125984</v>
      </c>
      <c r="I332" s="50" t="n">
        <f aca="false">(I326-C313+C314)/C311</f>
        <v>5.98705243110236</v>
      </c>
      <c r="J332" s="50" t="n">
        <f aca="false">(J326-C313+C314)/C311</f>
        <v>6.28710194291339</v>
      </c>
      <c r="K332" s="50" t="n">
        <f aca="false">(K326-C313+C314)/C311</f>
        <v>6.64716135708661</v>
      </c>
      <c r="L332" s="50" t="n">
        <f aca="false">(L326-C313+C314)/C311</f>
        <v>7.07923265409449</v>
      </c>
      <c r="M332" s="50" t="n">
        <f aca="false">(M326-C313+C314)/C311</f>
        <v>7.59771821050394</v>
      </c>
    </row>
    <row r="333" customFormat="false" ht="15" hidden="false" customHeight="false" outlineLevel="0" collapsed="false">
      <c r="A333" s="9" t="s">
        <v>504</v>
      </c>
      <c r="C333" s="50" t="n">
        <f aca="false">C321/C311</f>
        <v>7.38188976377953</v>
      </c>
      <c r="D333" s="50" t="n">
        <f aca="false">D321/C311</f>
        <v>7.38188976377953</v>
      </c>
      <c r="E333" s="50" t="n">
        <f aca="false">E321/C311</f>
        <v>7.38188976377953</v>
      </c>
      <c r="F333" s="50" t="n">
        <f aca="false">F321/C311</f>
        <v>7.38188976377953</v>
      </c>
      <c r="G333" s="50" t="n">
        <f aca="false">G321/C311</f>
        <v>7.38188976377953</v>
      </c>
      <c r="H333" s="50" t="n">
        <f aca="false">H321/C311</f>
        <v>7.38188976377953</v>
      </c>
      <c r="I333" s="50" t="n">
        <f aca="false">I321/C311</f>
        <v>7.38188976377953</v>
      </c>
      <c r="J333" s="50" t="n">
        <f aca="false">J321/C311</f>
        <v>7.38188976377953</v>
      </c>
      <c r="K333" s="50" t="n">
        <f aca="false">K321/C311</f>
        <v>7.38188976377953</v>
      </c>
      <c r="L333" s="50" t="n">
        <f aca="false">L321/C311</f>
        <v>7.38188976377953</v>
      </c>
      <c r="M333" s="50" t="n">
        <f aca="false">M321/C311</f>
        <v>7.38188976377953</v>
      </c>
    </row>
    <row r="334" customFormat="false" ht="15" hidden="false" customHeight="false" outlineLevel="0" collapsed="false">
      <c r="A334" s="9" t="s">
        <v>505</v>
      </c>
      <c r="D334" s="36" t="n">
        <f aca="false">D307+D316*(1-a_tax)-D317-IF(D294=1,C315,0)</f>
        <v>-168.668</v>
      </c>
      <c r="E334" s="36" t="n">
        <f aca="false">E307+E316*(1-a_tax)-E317-IF(E294=1,C315,0)</f>
        <v>12.5928</v>
      </c>
      <c r="F334" s="36" t="n">
        <f aca="false">F307+F316*(1-a_tax)-F317-IF(F294=1,C315,0)</f>
        <v>27.94176</v>
      </c>
      <c r="G334" s="36" t="n">
        <f aca="false">G307+G316*(1-a_tax)-G317-IF(G294=1,C315,0)</f>
        <v>48.926592</v>
      </c>
      <c r="H334" s="36" t="n">
        <f aca="false">H307+H316*(1-a_tax)-H317-IF(H294=1,C315,0)</f>
        <v>77.1876864</v>
      </c>
      <c r="I334" s="36" t="n">
        <f aca="false">I307+I316*(1-a_tax)-I317-IF(I294=1,C315,0)</f>
        <v>92.62522368</v>
      </c>
      <c r="J334" s="36" t="n">
        <f aca="false">J307+J316*(1-a_tax)-J317-IF(J294=1,C315,0)</f>
        <v>111.150268416</v>
      </c>
      <c r="K334" s="36" t="n">
        <f aca="false">K307+K316*(1-a_tax)-K317-IF(K294=1,C315,0)</f>
        <v>133.3803220992</v>
      </c>
      <c r="L334" s="36" t="n">
        <f aca="false">L307+L316*(1-a_tax)-L317-IF(L294=1,C315,0)</f>
        <v>160.05638651904</v>
      </c>
      <c r="M334" s="36" t="n">
        <f aca="false">M307+M316*(1-a_tax)-M317-IF(M294=1,C315,0)</f>
        <v>192.067663822848</v>
      </c>
    </row>
    <row r="335" customFormat="false" ht="15" hidden="false" customHeight="false" outlineLevel="0" collapsed="false">
      <c r="A335" s="4" t="s">
        <v>506</v>
      </c>
      <c r="D335" s="41" t="n">
        <f aca="false">D334-C312</f>
        <v>-263.168</v>
      </c>
      <c r="E335" s="41" t="n">
        <f aca="false">E334-C312</f>
        <v>-81.9072</v>
      </c>
      <c r="F335" s="41" t="n">
        <f aca="false">F334-C312</f>
        <v>-66.55824</v>
      </c>
      <c r="G335" s="41" t="n">
        <f aca="false">G334-C312</f>
        <v>-45.573408</v>
      </c>
      <c r="H335" s="41" t="n">
        <f aca="false">H334-C312</f>
        <v>-17.3123136</v>
      </c>
      <c r="I335" s="41" t="n">
        <f aca="false">I334-C312</f>
        <v>-1.87477632000001</v>
      </c>
      <c r="J335" s="41" t="n">
        <f aca="false">J334-C312</f>
        <v>16.650268416</v>
      </c>
      <c r="K335" s="41" t="n">
        <f aca="false">K334-C312</f>
        <v>38.8803220992</v>
      </c>
      <c r="L335" s="41" t="n">
        <f aca="false">L334-C312</f>
        <v>65.55638651904</v>
      </c>
      <c r="M335" s="41" t="n">
        <f aca="false">M334-C312</f>
        <v>97.567663822848</v>
      </c>
    </row>
    <row r="336" customFormat="false" ht="15" hidden="false" customHeight="false" outlineLevel="0" collapsed="false">
      <c r="A336" s="9" t="s">
        <v>507</v>
      </c>
      <c r="C336" s="36" t="n">
        <f aca="false">0</f>
        <v>0</v>
      </c>
      <c r="D336" s="36" t="n">
        <f aca="false">D322</f>
        <v>69</v>
      </c>
      <c r="E336" s="36" t="n">
        <f aca="false">E322</f>
        <v>69</v>
      </c>
      <c r="F336" s="36" t="n">
        <f aca="false">F322</f>
        <v>69</v>
      </c>
      <c r="G336" s="36" t="n">
        <f aca="false">G322</f>
        <v>69</v>
      </c>
      <c r="H336" s="36" t="n">
        <f aca="false">H322</f>
        <v>69</v>
      </c>
      <c r="I336" s="36" t="n">
        <f aca="false">I322</f>
        <v>69</v>
      </c>
      <c r="J336" s="36" t="n">
        <f aca="false">J322</f>
        <v>69</v>
      </c>
      <c r="K336" s="36" t="n">
        <f aca="false">K322</f>
        <v>69</v>
      </c>
      <c r="L336" s="36" t="n">
        <f aca="false">L322</f>
        <v>69</v>
      </c>
      <c r="M336" s="36" t="n">
        <f aca="false">M322</f>
        <v>69</v>
      </c>
    </row>
    <row r="337" customFormat="false" ht="15" hidden="false" customHeight="false" outlineLevel="0" collapsed="false">
      <c r="A337" s="9" t="s">
        <v>508</v>
      </c>
      <c r="D337" s="36" t="n">
        <f aca="false">D335+D336</f>
        <v>-194.168</v>
      </c>
      <c r="E337" s="36" t="n">
        <f aca="false">E335+E336</f>
        <v>-12.9072</v>
      </c>
      <c r="F337" s="36" t="n">
        <f aca="false">F335+F336</f>
        <v>2.44176000000002</v>
      </c>
      <c r="G337" s="36" t="n">
        <f aca="false">G335+G336</f>
        <v>23.426592</v>
      </c>
      <c r="H337" s="36" t="n">
        <f aca="false">H335+H336</f>
        <v>51.6876864</v>
      </c>
      <c r="I337" s="36" t="n">
        <f aca="false">I335+I336</f>
        <v>67.12522368</v>
      </c>
      <c r="J337" s="36" t="n">
        <f aca="false">J335+J336</f>
        <v>85.650268416</v>
      </c>
      <c r="K337" s="36" t="n">
        <f aca="false">K335+K336</f>
        <v>107.8803220992</v>
      </c>
      <c r="L337" s="36" t="n">
        <f aca="false">L335+L336</f>
        <v>134.55638651904</v>
      </c>
      <c r="M337" s="36" t="n">
        <f aca="false">M335+M336</f>
        <v>166.567663822848</v>
      </c>
    </row>
    <row r="338" customFormat="false" ht="15" hidden="false" customHeight="false" outlineLevel="0" collapsed="false">
      <c r="A338" s="9" t="s">
        <v>509</v>
      </c>
      <c r="D338" s="36" t="n">
        <f aca="false">IF(lv_mdr_in_deal=1,D337,D335)</f>
        <v>-263.168</v>
      </c>
      <c r="E338" s="36" t="n">
        <f aca="false">IF(lv_mdr_in_deal=1,E337,E335)</f>
        <v>-81.9072</v>
      </c>
      <c r="F338" s="36" t="n">
        <f aca="false">IF(lv_mdr_in_deal=1,F337,F335)</f>
        <v>-66.55824</v>
      </c>
      <c r="G338" s="36" t="n">
        <f aca="false">IF(lv_mdr_in_deal=1,G337,G335)</f>
        <v>-45.573408</v>
      </c>
      <c r="H338" s="36" t="n">
        <f aca="false">IF(lv_mdr_in_deal=1,H337,H335)</f>
        <v>-17.3123136</v>
      </c>
      <c r="I338" s="36" t="n">
        <f aca="false">IF(lv_mdr_in_deal=1,I337,I335)</f>
        <v>-1.87477632000001</v>
      </c>
      <c r="J338" s="36" t="n">
        <f aca="false">IF(lv_mdr_in_deal=1,J337,J335)</f>
        <v>16.650268416</v>
      </c>
      <c r="K338" s="36" t="n">
        <f aca="false">IF(lv_mdr_in_deal=1,K337,K335)</f>
        <v>38.8803220992</v>
      </c>
      <c r="L338" s="36" t="n">
        <f aca="false">IF(lv_mdr_in_deal=1,L337,L335)</f>
        <v>65.55638651904</v>
      </c>
      <c r="M338" s="36" t="n">
        <f aca="false">IF(lv_mdr_in_deal=1,M337,M335)</f>
        <v>97.567663822848</v>
      </c>
    </row>
    <row r="339" customFormat="false" ht="15" hidden="false" customHeight="false" outlineLevel="0" collapsed="false">
      <c r="A339" s="9" t="s">
        <v>510</v>
      </c>
      <c r="C339" s="36" t="n">
        <f aca="false">-lv_price</f>
        <v>-4000</v>
      </c>
      <c r="D339" s="36" t="n">
        <f aca="false">C339+D338</f>
        <v>-4263.168</v>
      </c>
      <c r="E339" s="36" t="n">
        <f aca="false">D339+E338</f>
        <v>-4345.0752</v>
      </c>
      <c r="F339" s="36" t="n">
        <f aca="false">E339+F338</f>
        <v>-4411.63344</v>
      </c>
      <c r="G339" s="36" t="n">
        <f aca="false">F339+G338</f>
        <v>-4457.206848</v>
      </c>
      <c r="H339" s="36" t="n">
        <f aca="false">G339+H338</f>
        <v>-4474.5191616</v>
      </c>
      <c r="I339" s="36" t="n">
        <f aca="false">H339+I338</f>
        <v>-4476.39393792</v>
      </c>
      <c r="J339" s="36" t="n">
        <f aca="false">I339+J338</f>
        <v>-4459.743669504</v>
      </c>
      <c r="K339" s="36" t="n">
        <f aca="false">J339+K338</f>
        <v>-4420.8633474048</v>
      </c>
      <c r="L339" s="36" t="n">
        <f aca="false">K339+L338</f>
        <v>-4355.30696088576</v>
      </c>
      <c r="M339" s="36" t="n">
        <f aca="false">L339+M338</f>
        <v>-4257.73929706291</v>
      </c>
    </row>
    <row r="340" customFormat="false" ht="15" hidden="false" customHeight="false" outlineLevel="0" collapsed="false">
      <c r="A340" s="9" t="s">
        <v>511</v>
      </c>
      <c r="C340" s="43" t="n">
        <f aca="false">1</f>
        <v>1</v>
      </c>
      <c r="D340" s="43" t="n">
        <f aca="false">1/(1+lv_wacc)^D294</f>
        <v>0.884955752212389</v>
      </c>
      <c r="E340" s="43" t="n">
        <f aca="false">1/(1+lv_wacc)^E294</f>
        <v>0.783146683373796</v>
      </c>
      <c r="F340" s="43" t="n">
        <f aca="false">1/(1+lv_wacc)^F294</f>
        <v>0.693050162277696</v>
      </c>
      <c r="G340" s="43" t="n">
        <f aca="false">1/(1+lv_wacc)^G294</f>
        <v>0.613318727679377</v>
      </c>
      <c r="H340" s="43" t="n">
        <f aca="false">1/(1+lv_wacc)^H294</f>
        <v>0.542759935999449</v>
      </c>
      <c r="I340" s="43" t="n">
        <f aca="false">1/(1+lv_wacc)^I294</f>
        <v>0.48031852743314</v>
      </c>
      <c r="J340" s="43" t="n">
        <f aca="false">1/(1+lv_wacc)^J294</f>
        <v>0.425060643746142</v>
      </c>
      <c r="K340" s="43" t="n">
        <f aca="false">1/(1+lv_wacc)^K294</f>
        <v>0.37615986172225</v>
      </c>
      <c r="L340" s="43" t="n">
        <f aca="false">1/(1+lv_wacc)^L294</f>
        <v>0.332884833382522</v>
      </c>
      <c r="M340" s="43" t="n">
        <f aca="false">1/(1+lv_wacc)^M294</f>
        <v>0.294588348126126</v>
      </c>
    </row>
    <row r="341" customFormat="false" ht="15" hidden="false" customHeight="false" outlineLevel="0" collapsed="false">
      <c r="A341" s="9" t="s">
        <v>512</v>
      </c>
      <c r="C341" s="46" t="n">
        <f aca="false">99</f>
        <v>99</v>
      </c>
      <c r="D341" s="46" t="n">
        <f aca="false">IF(D325&gt;=0,D294,99)</f>
        <v>99</v>
      </c>
      <c r="E341" s="46" t="n">
        <f aca="false">IF(E325&gt;=0,E294,99)</f>
        <v>99</v>
      </c>
      <c r="F341" s="46" t="n">
        <f aca="false">IF(F325&gt;=0,F294,99)</f>
        <v>99</v>
      </c>
      <c r="G341" s="46" t="n">
        <f aca="false">IF(G325&gt;=0,G294,99)</f>
        <v>99</v>
      </c>
      <c r="H341" s="46" t="n">
        <f aca="false">IF(H325&gt;=0,H294,99)</f>
        <v>99</v>
      </c>
      <c r="I341" s="46" t="n">
        <f aca="false">IF(I325&gt;=0,I294,99)</f>
        <v>6</v>
      </c>
      <c r="J341" s="46" t="n">
        <f aca="false">IF(J325&gt;=0,J294,99)</f>
        <v>7</v>
      </c>
      <c r="K341" s="46" t="n">
        <f aca="false">IF(K325&gt;=0,K294,99)</f>
        <v>8</v>
      </c>
      <c r="L341" s="46" t="n">
        <f aca="false">IF(L325&gt;=0,L294,99)</f>
        <v>9</v>
      </c>
      <c r="M341" s="46" t="n">
        <f aca="false">IF(M325&gt;=0,M294,99)</f>
        <v>10</v>
      </c>
    </row>
    <row r="342" customFormat="false" ht="15" hidden="false" customHeight="false" outlineLevel="0" collapsed="false">
      <c r="A342" s="9" t="s">
        <v>513</v>
      </c>
      <c r="C342" s="46" t="n">
        <f aca="false">99</f>
        <v>99</v>
      </c>
      <c r="D342" s="46" t="n">
        <f aca="false">IF(D325+D322&gt;=0,D294,99)</f>
        <v>99</v>
      </c>
      <c r="E342" s="46" t="n">
        <f aca="false">IF(E325+E322&gt;=0,E294,99)</f>
        <v>99</v>
      </c>
      <c r="F342" s="46" t="n">
        <f aca="false">IF(F325+F322&gt;=0,F294,99)</f>
        <v>3</v>
      </c>
      <c r="G342" s="46" t="n">
        <f aca="false">IF(G325+G322&gt;=0,G294,99)</f>
        <v>4</v>
      </c>
      <c r="H342" s="46" t="n">
        <f aca="false">IF(H325+H322&gt;=0,H294,99)</f>
        <v>5</v>
      </c>
      <c r="I342" s="46" t="n">
        <f aca="false">IF(I325+I322&gt;=0,I294,99)</f>
        <v>6</v>
      </c>
      <c r="J342" s="46" t="n">
        <f aca="false">IF(J325+J322&gt;=0,J294,99)</f>
        <v>7</v>
      </c>
      <c r="K342" s="46" t="n">
        <f aca="false">IF(K325+K322&gt;=0,K294,99)</f>
        <v>8</v>
      </c>
      <c r="L342" s="46" t="n">
        <f aca="false">IF(L325+L322&gt;=0,L294,99)</f>
        <v>9</v>
      </c>
      <c r="M342" s="46" t="n">
        <f aca="false">IF(M325+M322&gt;=0,M294,99)</f>
        <v>10</v>
      </c>
    </row>
    <row r="343" customFormat="false" ht="15" hidden="false" customHeight="false" outlineLevel="0" collapsed="false">
      <c r="A343" s="9" t="s">
        <v>514</v>
      </c>
      <c r="C343" s="46" t="n">
        <f aca="false">99</f>
        <v>99</v>
      </c>
      <c r="D343" s="46" t="n">
        <f aca="false">IF(D335&gt;=0,D294,99)</f>
        <v>99</v>
      </c>
      <c r="E343" s="46" t="n">
        <f aca="false">IF(E335&gt;=0,E294,99)</f>
        <v>99</v>
      </c>
      <c r="F343" s="46" t="n">
        <f aca="false">IF(F335&gt;=0,F294,99)</f>
        <v>99</v>
      </c>
      <c r="G343" s="46" t="n">
        <f aca="false">IF(G335&gt;=0,G294,99)</f>
        <v>99</v>
      </c>
      <c r="H343" s="46" t="n">
        <f aca="false">IF(H335&gt;=0,H294,99)</f>
        <v>99</v>
      </c>
      <c r="I343" s="46" t="n">
        <f aca="false">IF(I335&gt;=0,I294,99)</f>
        <v>99</v>
      </c>
      <c r="J343" s="46" t="n">
        <f aca="false">IF(J335&gt;=0,J294,99)</f>
        <v>7</v>
      </c>
      <c r="K343" s="46" t="n">
        <f aca="false">IF(K335&gt;=0,K294,99)</f>
        <v>8</v>
      </c>
      <c r="L343" s="46" t="n">
        <f aca="false">IF(L335&gt;=0,L294,99)</f>
        <v>9</v>
      </c>
      <c r="M343" s="46" t="n">
        <f aca="false">IF(M335&gt;=0,M294,99)</f>
        <v>10</v>
      </c>
    </row>
    <row r="344" customFormat="false" ht="15" hidden="false" customHeight="false" outlineLevel="0" collapsed="false">
      <c r="A344" s="9" t="s">
        <v>515</v>
      </c>
      <c r="C344" s="46" t="n">
        <f aca="false">99</f>
        <v>99</v>
      </c>
      <c r="D344" s="46" t="n">
        <f aca="false">IF(D337&gt;=0,D294,99)</f>
        <v>99</v>
      </c>
      <c r="E344" s="46" t="n">
        <f aca="false">IF(E337&gt;=0,E294,99)</f>
        <v>99</v>
      </c>
      <c r="F344" s="46" t="n">
        <f aca="false">IF(F337&gt;=0,F294,99)</f>
        <v>3</v>
      </c>
      <c r="G344" s="46" t="n">
        <f aca="false">IF(G337&gt;=0,G294,99)</f>
        <v>4</v>
      </c>
      <c r="H344" s="46" t="n">
        <f aca="false">IF(H337&gt;=0,H294,99)</f>
        <v>5</v>
      </c>
      <c r="I344" s="46" t="n">
        <f aca="false">IF(I337&gt;=0,I294,99)</f>
        <v>6</v>
      </c>
      <c r="J344" s="46" t="n">
        <f aca="false">IF(J337&gt;=0,J294,99)</f>
        <v>7</v>
      </c>
      <c r="K344" s="46" t="n">
        <f aca="false">IF(K337&gt;=0,K294,99)</f>
        <v>8</v>
      </c>
      <c r="L344" s="46" t="n">
        <f aca="false">IF(L337&gt;=0,L294,99)</f>
        <v>9</v>
      </c>
      <c r="M344" s="46" t="n">
        <f aca="false">IF(M337&gt;=0,M294,99)</f>
        <v>10</v>
      </c>
    </row>
    <row r="345" customFormat="false" ht="15" hidden="false" customHeight="false" outlineLevel="0" collapsed="false">
      <c r="A345" s="9" t="s">
        <v>516</v>
      </c>
      <c r="C345" s="46" t="n">
        <f aca="false">99</f>
        <v>99</v>
      </c>
      <c r="D345" s="46" t="n">
        <f aca="false">IF(D339&gt;=0,D294,99)</f>
        <v>99</v>
      </c>
      <c r="E345" s="46" t="n">
        <f aca="false">IF(E339&gt;=0,E294,99)</f>
        <v>99</v>
      </c>
      <c r="F345" s="46" t="n">
        <f aca="false">IF(F339&gt;=0,F294,99)</f>
        <v>99</v>
      </c>
      <c r="G345" s="46" t="n">
        <f aca="false">IF(G339&gt;=0,G294,99)</f>
        <v>99</v>
      </c>
      <c r="H345" s="46" t="n">
        <f aca="false">IF(H339&gt;=0,H294,99)</f>
        <v>99</v>
      </c>
      <c r="I345" s="46" t="n">
        <f aca="false">IF(I339&gt;=0,I294,99)</f>
        <v>99</v>
      </c>
      <c r="J345" s="46" t="n">
        <f aca="false">IF(J339&gt;=0,J294,99)</f>
        <v>99</v>
      </c>
      <c r="K345" s="46" t="n">
        <f aca="false">IF(K339&gt;=0,K294,99)</f>
        <v>99</v>
      </c>
      <c r="L345" s="46" t="n">
        <f aca="false">IF(L339&gt;=0,L294,99)</f>
        <v>99</v>
      </c>
      <c r="M345" s="46" t="n">
        <f aca="false">IF(M339&gt;=0,M294,99)</f>
        <v>99</v>
      </c>
    </row>
    <row r="346" customFormat="false" ht="15" hidden="false" customHeight="false" outlineLevel="0" collapsed="false">
      <c r="A346" s="4" t="s">
        <v>517</v>
      </c>
      <c r="C346" s="23" t="n">
        <f aca="false">MIN(D341:M341)</f>
        <v>6</v>
      </c>
    </row>
    <row r="347" customFormat="false" ht="15" hidden="false" customHeight="false" outlineLevel="0" collapsed="false">
      <c r="A347" s="9" t="s">
        <v>518</v>
      </c>
      <c r="C347" s="46" t="n">
        <f aca="false">MIN(D342:M342)</f>
        <v>3</v>
      </c>
    </row>
    <row r="348" customFormat="false" ht="15" hidden="false" customHeight="false" outlineLevel="0" collapsed="false">
      <c r="A348" s="4" t="s">
        <v>519</v>
      </c>
      <c r="C348" s="23" t="n">
        <f aca="false">MIN(D343:M343)</f>
        <v>7</v>
      </c>
    </row>
    <row r="349" customFormat="false" ht="15" hidden="false" customHeight="false" outlineLevel="0" collapsed="false">
      <c r="A349" s="9" t="s">
        <v>520</v>
      </c>
      <c r="C349" s="46" t="n">
        <f aca="false">MIN(D344:M344)</f>
        <v>3</v>
      </c>
    </row>
    <row r="350" customFormat="false" ht="15" hidden="false" customHeight="false" outlineLevel="0" collapsed="false">
      <c r="A350" s="9" t="s">
        <v>521</v>
      </c>
      <c r="C350" s="46" t="n">
        <f aca="false">MIN(D345:M345)</f>
        <v>99</v>
      </c>
    </row>
    <row r="351" customFormat="false" ht="15" hidden="false" customHeight="false" outlineLevel="0" collapsed="false">
      <c r="A351" s="4" t="s">
        <v>522</v>
      </c>
      <c r="C351" s="15" t="n">
        <f aca="false">M339</f>
        <v>-4257.73929706291</v>
      </c>
    </row>
    <row r="352" customFormat="false" ht="15" hidden="false" customHeight="false" outlineLevel="0" collapsed="false">
      <c r="A352" s="9" t="s">
        <v>523</v>
      </c>
      <c r="C352" s="36" t="n">
        <f aca="false">SUMPRODUCT(D307:M307,D340:M340)</f>
        <v>345.227011858199</v>
      </c>
    </row>
    <row r="353" customFormat="false" ht="15" hidden="false" customHeight="false" outlineLevel="0" collapsed="false">
      <c r="A353" s="9" t="s">
        <v>524</v>
      </c>
      <c r="C353" s="36" t="n">
        <f aca="false">M307*(1+a_tg)/(lv_wacc-a_tg)</f>
        <v>2520.88808767488</v>
      </c>
    </row>
    <row r="354" customFormat="false" ht="15" hidden="false" customHeight="false" outlineLevel="0" collapsed="false">
      <c r="A354" s="9" t="s">
        <v>314</v>
      </c>
      <c r="C354" s="36" t="n">
        <f aca="false">C353*M340</f>
        <v>742.62425755897</v>
      </c>
    </row>
    <row r="355" customFormat="false" ht="15" hidden="false" customHeight="false" outlineLevel="0" collapsed="false">
      <c r="A355" s="4" t="s">
        <v>525</v>
      </c>
      <c r="C355" s="15" t="n">
        <f aca="false">C352+C354</f>
        <v>1087.85126941717</v>
      </c>
    </row>
    <row r="356" customFormat="false" ht="15" hidden="false" customHeight="false" outlineLevel="0" collapsed="false">
      <c r="A356" s="9" t="s">
        <v>526</v>
      </c>
      <c r="C356" s="32" t="n">
        <f aca="false">SUMPRODUCT(D317:M317,D340:M340)-a_recovery*M319*M340</f>
        <v>0</v>
      </c>
    </row>
    <row r="357" customFormat="false" ht="15" hidden="false" customHeight="false" outlineLevel="0" collapsed="false">
      <c r="A357" s="9" t="s">
        <v>527</v>
      </c>
      <c r="C357" s="36" t="n">
        <f aca="false">SUMPRODUCT(D316:M316,D340:M340)*(1-a_tax)</f>
        <v>0</v>
      </c>
    </row>
    <row r="358" customFormat="false" ht="15" hidden="false" customHeight="false" outlineLevel="0" collapsed="false">
      <c r="A358" s="9" t="s">
        <v>528</v>
      </c>
      <c r="C358" s="36" t="n">
        <f aca="false">C315*D340</f>
        <v>141.592920353982</v>
      </c>
    </row>
    <row r="359" customFormat="false" ht="15" hidden="false" customHeight="false" outlineLevel="0" collapsed="false">
      <c r="A359" s="4" t="s">
        <v>529</v>
      </c>
      <c r="C359" s="20" t="n">
        <f aca="false">C355+C357-C356-C358-lv_price</f>
        <v>-3053.74165093681</v>
      </c>
    </row>
    <row r="360" customFormat="false" ht="15" hidden="false" customHeight="false" outlineLevel="0" collapsed="false">
      <c r="A360" s="9" t="s">
        <v>530</v>
      </c>
      <c r="C360" s="32" t="n">
        <f aca="false">C359+SUMPRODUCT(D336:M336,D340:M340)</f>
        <v>-2679.33085109606</v>
      </c>
    </row>
    <row r="361" customFormat="false" ht="15" hidden="false" customHeight="false" outlineLevel="0" collapsed="false">
      <c r="A361" s="4" t="s">
        <v>531</v>
      </c>
      <c r="C361" s="59" t="n">
        <f aca="false">lv_price/D297</f>
        <v>16.8350168350168</v>
      </c>
    </row>
    <row r="362" customFormat="false" ht="15" hidden="false" customHeight="false" outlineLevel="0" collapsed="false">
      <c r="A362" s="9" t="s">
        <v>532</v>
      </c>
      <c r="C362" s="17" t="n">
        <f aca="false">(lv_price+C356)/D297</f>
        <v>16.8350168350168</v>
      </c>
    </row>
    <row r="363" customFormat="false" ht="15" hidden="false" customHeight="false" outlineLevel="0" collapsed="false">
      <c r="A363" s="4" t="s">
        <v>533</v>
      </c>
      <c r="C363" s="15" t="n">
        <f aca="false">(C359+C356)/SUMPRODUCT(D340:M340)</f>
        <v>-562.772692465768</v>
      </c>
    </row>
    <row r="364" customFormat="false" ht="15" hidden="false" customHeight="false" outlineLevel="0" collapsed="false">
      <c r="A364" s="4" t="s">
        <v>534</v>
      </c>
      <c r="C364" s="25" t="n">
        <f aca="false">D327</f>
        <v>5.80880905511811</v>
      </c>
    </row>
    <row r="365" customFormat="false" ht="15" hidden="false" customHeight="false" outlineLevel="0" collapsed="false">
      <c r="A365" s="9" t="s">
        <v>535</v>
      </c>
      <c r="C365" s="50" t="n">
        <f aca="false">F327</f>
        <v>6.40214320866142</v>
      </c>
    </row>
    <row r="366" customFormat="false" ht="15" hidden="false" customHeight="false" outlineLevel="0" collapsed="false">
      <c r="A366" s="4" t="s">
        <v>536</v>
      </c>
      <c r="C366" s="20" t="n">
        <f aca="false">D335</f>
        <v>-263.168</v>
      </c>
    </row>
    <row r="367" customFormat="false" ht="15" hidden="false" customHeight="false" outlineLevel="0" collapsed="false">
      <c r="A367" s="9" t="s">
        <v>537</v>
      </c>
      <c r="C367" s="32" t="n">
        <f aca="false">cf_cash-lv_mix_cash-C315</f>
        <v>6640</v>
      </c>
    </row>
    <row r="368" customFormat="false" ht="15" hidden="false" customHeight="false" outlineLevel="0" collapsed="false">
      <c r="A368" s="9" t="s">
        <v>538</v>
      </c>
      <c r="C368" s="32" t="n">
        <f aca="false">cf_debt+lv_mix_debt</f>
        <v>350</v>
      </c>
    </row>
    <row r="369" customFormat="false" ht="15" hidden="false" customHeight="false" outlineLevel="0" collapsed="false">
      <c r="A369" s="9" t="s">
        <v>539</v>
      </c>
      <c r="C369" s="34" t="n">
        <f aca="false">C368/cf_ebitda</f>
        <v>0.546875</v>
      </c>
    </row>
    <row r="370" customFormat="false" ht="15" hidden="false" customHeight="false" outlineLevel="0" collapsed="false">
      <c r="A370" s="9" t="s">
        <v>540</v>
      </c>
      <c r="C370" s="32" t="n">
        <f aca="false">C367+SUM(D338:F338)+3*cf_pat</f>
        <v>7668.36656</v>
      </c>
    </row>
    <row r="372" customFormat="false" ht="15" hidden="false" customHeight="false" outlineLevel="0" collapsed="false">
      <c r="A372" s="7" t="s">
        <v>645</v>
      </c>
      <c r="B372" s="8"/>
      <c r="C372" s="8"/>
      <c r="D372" s="8"/>
      <c r="E372" s="8"/>
      <c r="F372" s="8"/>
      <c r="G372" s="8"/>
      <c r="H372" s="8"/>
      <c r="I372" s="8"/>
      <c r="J372" s="8"/>
      <c r="K372" s="8"/>
      <c r="L372" s="8"/>
      <c r="M372" s="8"/>
      <c r="N372" s="8"/>
    </row>
    <row r="373" customFormat="false" ht="15" hidden="false" customHeight="false" outlineLevel="0" collapsed="false">
      <c r="A373" s="4" t="s">
        <v>284</v>
      </c>
      <c r="C373" s="39" t="n">
        <v>0</v>
      </c>
      <c r="D373" s="39" t="n">
        <v>1</v>
      </c>
      <c r="E373" s="39" t="n">
        <v>2</v>
      </c>
      <c r="F373" s="39" t="n">
        <v>3</v>
      </c>
      <c r="G373" s="39" t="n">
        <v>4</v>
      </c>
      <c r="H373" s="39" t="n">
        <v>5</v>
      </c>
      <c r="I373" s="39" t="n">
        <v>6</v>
      </c>
      <c r="J373" s="39" t="n">
        <v>7</v>
      </c>
      <c r="K373" s="39" t="n">
        <v>8</v>
      </c>
      <c r="L373" s="39" t="n">
        <v>9</v>
      </c>
      <c r="M373" s="39" t="n">
        <v>10</v>
      </c>
    </row>
    <row r="374" customFormat="false" ht="15" hidden="false" customHeight="false" outlineLevel="0" collapsed="false">
      <c r="A374" s="9" t="s">
        <v>285</v>
      </c>
      <c r="C374" s="40" t="n">
        <f aca="false">cf_arr</f>
        <v>220</v>
      </c>
      <c r="D374" s="36" t="n">
        <f aca="false">C374*(1+lv_g)</f>
        <v>264</v>
      </c>
      <c r="E374" s="36" t="n">
        <f aca="false">D374*(1+lv_g)</f>
        <v>316.8</v>
      </c>
      <c r="F374" s="36" t="n">
        <f aca="false">E374*(1+lv_g)</f>
        <v>380.16</v>
      </c>
      <c r="G374" s="36" t="n">
        <f aca="false">F374*(1+lv_g)</f>
        <v>456.192</v>
      </c>
      <c r="H374" s="36" t="n">
        <f aca="false">G374*(1+lv_g)</f>
        <v>547.4304</v>
      </c>
      <c r="I374" s="36" t="n">
        <f aca="false">H374*(1+lv_g)</f>
        <v>656.91648</v>
      </c>
      <c r="J374" s="36" t="n">
        <f aca="false">I374*(1+lv_g)</f>
        <v>788.299776</v>
      </c>
      <c r="K374" s="36" t="n">
        <f aca="false">J374*(1+lv_g)</f>
        <v>945.9597312</v>
      </c>
      <c r="L374" s="36" t="n">
        <f aca="false">K374*(1+lv_g)</f>
        <v>1135.15167744</v>
      </c>
      <c r="M374" s="36" t="n">
        <f aca="false">L374*(1+lv_g)</f>
        <v>1362.182012928</v>
      </c>
    </row>
    <row r="375" customFormat="false" ht="15" hidden="false" customHeight="false" outlineLevel="0" collapsed="false">
      <c r="A375" s="9" t="s">
        <v>286</v>
      </c>
      <c r="C375" s="18" t="n">
        <f aca="false">1</f>
        <v>1</v>
      </c>
      <c r="D375" s="18" t="n">
        <f aca="false">IF(D373&gt;=a_churn_year,1-Churn!$A$15,1)</f>
        <v>0.8</v>
      </c>
      <c r="E375" s="18" t="n">
        <f aca="false">IF(E373&gt;=a_churn_year,1-Churn!$A$15,1)</f>
        <v>0.8</v>
      </c>
      <c r="F375" s="18" t="n">
        <f aca="false">IF(F373&gt;=a_churn_year,1-Churn!$A$15,1)</f>
        <v>0.8</v>
      </c>
      <c r="G375" s="18" t="n">
        <f aca="false">IF(G373&gt;=a_churn_year,1-Churn!$A$15,1)</f>
        <v>0.8</v>
      </c>
      <c r="H375" s="18" t="n">
        <f aca="false">IF(H373&gt;=a_churn_year,1-Churn!$A$15,1)</f>
        <v>0.8</v>
      </c>
      <c r="I375" s="18" t="n">
        <f aca="false">IF(I373&gt;=a_churn_year,1-Churn!$A$15,1)</f>
        <v>0.8</v>
      </c>
      <c r="J375" s="18" t="n">
        <f aca="false">IF(J373&gt;=a_churn_year,1-Churn!$A$15,1)</f>
        <v>0.8</v>
      </c>
      <c r="K375" s="18" t="n">
        <f aca="false">IF(K373&gt;=a_churn_year,1-Churn!$A$15,1)</f>
        <v>0.8</v>
      </c>
      <c r="L375" s="18" t="n">
        <f aca="false">IF(L373&gt;=a_churn_year,1-Churn!$A$15,1)</f>
        <v>0.8</v>
      </c>
      <c r="M375" s="18" t="n">
        <f aca="false">IF(M373&gt;=a_churn_year,1-Churn!$A$15,1)</f>
        <v>0.8</v>
      </c>
    </row>
    <row r="376" customFormat="false" ht="15" hidden="false" customHeight="false" outlineLevel="0" collapsed="false">
      <c r="A376" s="4" t="s">
        <v>287</v>
      </c>
      <c r="C376" s="41" t="n">
        <f aca="false">C374*C375</f>
        <v>220</v>
      </c>
      <c r="D376" s="41" t="n">
        <f aca="false">D374*D375</f>
        <v>211.2</v>
      </c>
      <c r="E376" s="41" t="n">
        <f aca="false">E374*E375</f>
        <v>253.44</v>
      </c>
      <c r="F376" s="41" t="n">
        <f aca="false">F374*F375</f>
        <v>304.128</v>
      </c>
      <c r="G376" s="41" t="n">
        <f aca="false">G374*G375</f>
        <v>364.9536</v>
      </c>
      <c r="H376" s="41" t="n">
        <f aca="false">H374*H375</f>
        <v>437.94432</v>
      </c>
      <c r="I376" s="41" t="n">
        <f aca="false">I374*I375</f>
        <v>525.533184</v>
      </c>
      <c r="J376" s="41" t="n">
        <f aca="false">J374*J375</f>
        <v>630.6398208</v>
      </c>
      <c r="K376" s="41" t="n">
        <f aca="false">K374*K375</f>
        <v>756.76778496</v>
      </c>
      <c r="L376" s="41" t="n">
        <f aca="false">L374*L375</f>
        <v>908.121341952</v>
      </c>
      <c r="M376" s="41" t="n">
        <f aca="false">M374*M375</f>
        <v>1089.7456103424</v>
      </c>
    </row>
    <row r="377" customFormat="false" ht="15" hidden="false" customHeight="false" outlineLevel="0" collapsed="false">
      <c r="A377" s="9" t="s">
        <v>288</v>
      </c>
      <c r="C377" s="18" t="n">
        <f aca="false">MIN(a_m0+a_mstep*C373,a_mcap)</f>
        <v>0</v>
      </c>
      <c r="D377" s="18" t="n">
        <f aca="false">MIN(a_m0+a_mstep*D373,a_mcap)</f>
        <v>0.05</v>
      </c>
      <c r="E377" s="18" t="n">
        <f aca="false">MIN(a_m0+a_mstep*E373,a_mcap)</f>
        <v>0.1</v>
      </c>
      <c r="F377" s="18" t="n">
        <f aca="false">MIN(a_m0+a_mstep*F373,a_mcap)</f>
        <v>0.15</v>
      </c>
      <c r="G377" s="18" t="n">
        <f aca="false">MIN(a_m0+a_mstep*G373,a_mcap)</f>
        <v>0.2</v>
      </c>
      <c r="H377" s="18" t="n">
        <f aca="false">MIN(a_m0+a_mstep*H373,a_mcap)</f>
        <v>0.25</v>
      </c>
      <c r="I377" s="18" t="n">
        <f aca="false">MIN(a_m0+a_mstep*I373,a_mcap)</f>
        <v>0.25</v>
      </c>
      <c r="J377" s="18" t="n">
        <f aca="false">MIN(a_m0+a_mstep*J373,a_mcap)</f>
        <v>0.25</v>
      </c>
      <c r="K377" s="18" t="n">
        <f aca="false">MIN(a_m0+a_mstep*K373,a_mcap)</f>
        <v>0.25</v>
      </c>
      <c r="L377" s="18" t="n">
        <f aca="false">MIN(a_m0+a_mstep*L373,a_mcap)</f>
        <v>0.25</v>
      </c>
      <c r="M377" s="18" t="n">
        <f aca="false">MIN(a_m0+a_mstep*M373,a_mcap)</f>
        <v>0.25</v>
      </c>
    </row>
    <row r="378" customFormat="false" ht="15" hidden="false" customHeight="false" outlineLevel="0" collapsed="false">
      <c r="A378" s="9" t="s">
        <v>289</v>
      </c>
      <c r="C378" s="36" t="n">
        <f aca="false">IF(C373=a_churn_year,a_sticky*(C374-C376)*(1-C377),0)</f>
        <v>0</v>
      </c>
      <c r="D378" s="36" t="n">
        <f aca="false">IF(D373=a_churn_year,a_sticky*(D374-D376)*(1-D377),0)</f>
        <v>25.08</v>
      </c>
      <c r="E378" s="36" t="n">
        <f aca="false">IF(E373=a_churn_year,a_sticky*(E374-E376)*(1-E377),0)</f>
        <v>0</v>
      </c>
      <c r="F378" s="36" t="n">
        <f aca="false">IF(F373=a_churn_year,a_sticky*(F374-F376)*(1-F377),0)</f>
        <v>0</v>
      </c>
      <c r="G378" s="36" t="n">
        <f aca="false">IF(G373=a_churn_year,a_sticky*(G374-G376)*(1-G377),0)</f>
        <v>0</v>
      </c>
      <c r="H378" s="36" t="n">
        <f aca="false">IF(H373=a_churn_year,a_sticky*(H374-H376)*(1-H377),0)</f>
        <v>0</v>
      </c>
      <c r="I378" s="36" t="n">
        <f aca="false">IF(I373=a_churn_year,a_sticky*(I374-I376)*(1-I377),0)</f>
        <v>0</v>
      </c>
      <c r="J378" s="36" t="n">
        <f aca="false">IF(J373=a_churn_year,a_sticky*(J374-J376)*(1-J377),0)</f>
        <v>0</v>
      </c>
      <c r="K378" s="36" t="n">
        <f aca="false">IF(K373=a_churn_year,a_sticky*(K374-K376)*(1-K377),0)</f>
        <v>0</v>
      </c>
      <c r="L378" s="36" t="n">
        <f aca="false">IF(L373=a_churn_year,a_sticky*(L374-L376)*(1-L377),0)</f>
        <v>0</v>
      </c>
      <c r="M378" s="36" t="n">
        <f aca="false">IF(M373=a_churn_year,a_sticky*(M374-M376)*(1-M377),0)</f>
        <v>0</v>
      </c>
    </row>
    <row r="379" customFormat="false" ht="15" hidden="false" customHeight="false" outlineLevel="0" collapsed="false">
      <c r="A379" s="4" t="s">
        <v>290</v>
      </c>
      <c r="C379" s="41" t="n">
        <f aca="false">C376*C377-C378</f>
        <v>0</v>
      </c>
      <c r="D379" s="41" t="n">
        <f aca="false">D376*D377-D378</f>
        <v>-14.52</v>
      </c>
      <c r="E379" s="41" t="n">
        <f aca="false">E376*E377-E378</f>
        <v>25.344</v>
      </c>
      <c r="F379" s="41" t="n">
        <f aca="false">F376*F377-F378</f>
        <v>45.6192</v>
      </c>
      <c r="G379" s="41" t="n">
        <f aca="false">G376*G377-G378</f>
        <v>72.99072</v>
      </c>
      <c r="H379" s="41" t="n">
        <f aca="false">H376*H377-H378</f>
        <v>109.48608</v>
      </c>
      <c r="I379" s="41" t="n">
        <f aca="false">I376*I377-I378</f>
        <v>131.383296</v>
      </c>
      <c r="J379" s="41" t="n">
        <f aca="false">J376*J377-J378</f>
        <v>157.6599552</v>
      </c>
      <c r="K379" s="41" t="n">
        <f aca="false">K376*K377-K378</f>
        <v>189.19194624</v>
      </c>
      <c r="L379" s="41" t="n">
        <f aca="false">L376*L377-L378</f>
        <v>227.030335488</v>
      </c>
      <c r="M379" s="41" t="n">
        <f aca="false">M376*M377-M378</f>
        <v>272.4364025856</v>
      </c>
    </row>
    <row r="380" customFormat="false" ht="15" hidden="false" customHeight="false" outlineLevel="0" collapsed="false">
      <c r="A380" s="9" t="s">
        <v>291</v>
      </c>
      <c r="C380" s="36" t="n">
        <f aca="false">C376*a_da</f>
        <v>6.6</v>
      </c>
      <c r="D380" s="36" t="n">
        <f aca="false">D376*a_da</f>
        <v>6.336</v>
      </c>
      <c r="E380" s="36" t="n">
        <f aca="false">E376*a_da</f>
        <v>7.6032</v>
      </c>
      <c r="F380" s="36" t="n">
        <f aca="false">F376*a_da</f>
        <v>9.12384</v>
      </c>
      <c r="G380" s="36" t="n">
        <f aca="false">G376*a_da</f>
        <v>10.948608</v>
      </c>
      <c r="H380" s="36" t="n">
        <f aca="false">H376*a_da</f>
        <v>13.1383296</v>
      </c>
      <c r="I380" s="36" t="n">
        <f aca="false">I376*a_da</f>
        <v>15.76599552</v>
      </c>
      <c r="J380" s="36" t="n">
        <f aca="false">J376*a_da</f>
        <v>18.919194624</v>
      </c>
      <c r="K380" s="36" t="n">
        <f aca="false">K376*a_da</f>
        <v>22.7030335488</v>
      </c>
      <c r="L380" s="36" t="n">
        <f aca="false">L376*a_da</f>
        <v>27.24364025856</v>
      </c>
      <c r="M380" s="36" t="n">
        <f aca="false">M376*a_da</f>
        <v>32.692368310272</v>
      </c>
    </row>
    <row r="381" customFormat="false" ht="15" hidden="false" customHeight="false" outlineLevel="0" collapsed="false">
      <c r="A381" s="9" t="s">
        <v>292</v>
      </c>
      <c r="C381" s="36" t="n">
        <f aca="false">C379-C380</f>
        <v>-6.6</v>
      </c>
      <c r="D381" s="36" t="n">
        <f aca="false">D379-D380</f>
        <v>-20.856</v>
      </c>
      <c r="E381" s="36" t="n">
        <f aca="false">E379-E380</f>
        <v>17.7408</v>
      </c>
      <c r="F381" s="36" t="n">
        <f aca="false">F379-F380</f>
        <v>36.49536</v>
      </c>
      <c r="G381" s="36" t="n">
        <f aca="false">G379-G380</f>
        <v>62.042112</v>
      </c>
      <c r="H381" s="36" t="n">
        <f aca="false">H379-H380</f>
        <v>96.3477504</v>
      </c>
      <c r="I381" s="36" t="n">
        <f aca="false">I379-I380</f>
        <v>115.61730048</v>
      </c>
      <c r="J381" s="36" t="n">
        <f aca="false">J379-J380</f>
        <v>138.740760576</v>
      </c>
      <c r="K381" s="36" t="n">
        <f aca="false">K379-K380</f>
        <v>166.4889126912</v>
      </c>
      <c r="L381" s="36" t="n">
        <f aca="false">L379-L380</f>
        <v>199.78669522944</v>
      </c>
      <c r="M381" s="36" t="n">
        <f aca="false">M379-M380</f>
        <v>239.744034275328</v>
      </c>
    </row>
    <row r="382" customFormat="false" ht="15" hidden="false" customHeight="false" outlineLevel="0" collapsed="false">
      <c r="A382" s="9" t="s">
        <v>293</v>
      </c>
      <c r="C382" s="36" t="n">
        <f aca="false">MAX(0,C381)*a_tax</f>
        <v>0</v>
      </c>
      <c r="D382" s="36" t="n">
        <f aca="false">MAX(0,D381)*a_tax</f>
        <v>0</v>
      </c>
      <c r="E382" s="36" t="n">
        <f aca="false">MAX(0,E381)*a_tax</f>
        <v>4.4352</v>
      </c>
      <c r="F382" s="36" t="n">
        <f aca="false">MAX(0,F381)*a_tax</f>
        <v>9.12384</v>
      </c>
      <c r="G382" s="36" t="n">
        <f aca="false">MAX(0,G381)*a_tax</f>
        <v>15.510528</v>
      </c>
      <c r="H382" s="36" t="n">
        <f aca="false">MAX(0,H381)*a_tax</f>
        <v>24.0869376</v>
      </c>
      <c r="I382" s="36" t="n">
        <f aca="false">MAX(0,I381)*a_tax</f>
        <v>28.90432512</v>
      </c>
      <c r="J382" s="36" t="n">
        <f aca="false">MAX(0,J381)*a_tax</f>
        <v>34.685190144</v>
      </c>
      <c r="K382" s="36" t="n">
        <f aca="false">MAX(0,K381)*a_tax</f>
        <v>41.6222281728</v>
      </c>
      <c r="L382" s="36" t="n">
        <f aca="false">MAX(0,L381)*a_tax</f>
        <v>49.94667380736</v>
      </c>
      <c r="M382" s="36" t="n">
        <f aca="false">MAX(0,M381)*a_tax</f>
        <v>59.936008568832</v>
      </c>
    </row>
    <row r="383" customFormat="false" ht="15" hidden="false" customHeight="false" outlineLevel="0" collapsed="false">
      <c r="A383" s="4" t="s">
        <v>294</v>
      </c>
      <c r="C383" s="42" t="n">
        <f aca="false">cf_lim_pat</f>
        <v>0</v>
      </c>
      <c r="D383" s="41" t="n">
        <f aca="false">D381-D382</f>
        <v>-20.856</v>
      </c>
      <c r="E383" s="41" t="n">
        <f aca="false">E381-E382</f>
        <v>13.3056</v>
      </c>
      <c r="F383" s="41" t="n">
        <f aca="false">F381-F382</f>
        <v>27.37152</v>
      </c>
      <c r="G383" s="41" t="n">
        <f aca="false">G381-G382</f>
        <v>46.531584</v>
      </c>
      <c r="H383" s="41" t="n">
        <f aca="false">H381-H382</f>
        <v>72.2608128</v>
      </c>
      <c r="I383" s="41" t="n">
        <f aca="false">I381-I382</f>
        <v>86.71297536</v>
      </c>
      <c r="J383" s="41" t="n">
        <f aca="false">J381-J382</f>
        <v>104.055570432</v>
      </c>
      <c r="K383" s="41" t="n">
        <f aca="false">K381-K382</f>
        <v>124.8666845184</v>
      </c>
      <c r="L383" s="41" t="n">
        <f aca="false">L381-L382</f>
        <v>149.84002142208</v>
      </c>
      <c r="M383" s="41" t="n">
        <f aca="false">M381-M382</f>
        <v>179.808025706496</v>
      </c>
    </row>
    <row r="384" customFormat="false" ht="15" hidden="false" customHeight="false" outlineLevel="0" collapsed="false">
      <c r="A384" s="9" t="s">
        <v>295</v>
      </c>
      <c r="C384" s="36" t="n">
        <f aca="false">C376*a_capex</f>
        <v>6.6</v>
      </c>
      <c r="D384" s="36" t="n">
        <f aca="false">D376*a_capex</f>
        <v>6.336</v>
      </c>
      <c r="E384" s="36" t="n">
        <f aca="false">E376*a_capex</f>
        <v>7.6032</v>
      </c>
      <c r="F384" s="36" t="n">
        <f aca="false">F376*a_capex</f>
        <v>9.12384</v>
      </c>
      <c r="G384" s="36" t="n">
        <f aca="false">G376*a_capex</f>
        <v>10.948608</v>
      </c>
      <c r="H384" s="36" t="n">
        <f aca="false">H376*a_capex</f>
        <v>13.1383296</v>
      </c>
      <c r="I384" s="36" t="n">
        <f aca="false">I376*a_capex</f>
        <v>15.76599552</v>
      </c>
      <c r="J384" s="36" t="n">
        <f aca="false">J376*a_capex</f>
        <v>18.919194624</v>
      </c>
      <c r="K384" s="36" t="n">
        <f aca="false">K376*a_capex</f>
        <v>22.7030335488</v>
      </c>
      <c r="L384" s="36" t="n">
        <f aca="false">L376*a_capex</f>
        <v>27.24364025856</v>
      </c>
      <c r="M384" s="36" t="n">
        <f aca="false">M376*a_capex</f>
        <v>32.692368310272</v>
      </c>
    </row>
    <row r="385" customFormat="false" ht="15" hidden="false" customHeight="false" outlineLevel="0" collapsed="false">
      <c r="A385" s="9" t="s">
        <v>296</v>
      </c>
      <c r="C385" s="36" t="n">
        <f aca="false">0</f>
        <v>0</v>
      </c>
      <c r="D385" s="36" t="n">
        <f aca="false">a_wc*(D376-C376)</f>
        <v>-0.439999999999999</v>
      </c>
      <c r="E385" s="36" t="n">
        <f aca="false">a_wc*(E376-D376)</f>
        <v>2.112</v>
      </c>
      <c r="F385" s="36" t="n">
        <f aca="false">a_wc*(F376-E376)</f>
        <v>2.5344</v>
      </c>
      <c r="G385" s="36" t="n">
        <f aca="false">a_wc*(G376-F376)</f>
        <v>3.04128</v>
      </c>
      <c r="H385" s="36" t="n">
        <f aca="false">a_wc*(H376-G376)</f>
        <v>3.649536</v>
      </c>
      <c r="I385" s="36" t="n">
        <f aca="false">a_wc*(I376-H376)</f>
        <v>4.3794432</v>
      </c>
      <c r="J385" s="36" t="n">
        <f aca="false">a_wc*(J376-I376)</f>
        <v>5.25533184</v>
      </c>
      <c r="K385" s="36" t="n">
        <f aca="false">a_wc*(K376-J376)</f>
        <v>6.306398208</v>
      </c>
      <c r="L385" s="36" t="n">
        <f aca="false">a_wc*(L376-K376)</f>
        <v>7.5676778496</v>
      </c>
      <c r="M385" s="36" t="n">
        <f aca="false">a_wc*(M376-L376)</f>
        <v>9.08121341952</v>
      </c>
    </row>
    <row r="386" customFormat="false" ht="15" hidden="false" customHeight="false" outlineLevel="0" collapsed="false">
      <c r="A386" s="4" t="s">
        <v>297</v>
      </c>
      <c r="C386" s="36" t="n">
        <f aca="false">0</f>
        <v>0</v>
      </c>
      <c r="D386" s="41" t="n">
        <f aca="false">D383+D380-D384-D385</f>
        <v>-20.416</v>
      </c>
      <c r="E386" s="41" t="n">
        <f aca="false">E383+E380-E384-E385</f>
        <v>11.1936</v>
      </c>
      <c r="F386" s="41" t="n">
        <f aca="false">F383+F380-F384-F385</f>
        <v>24.83712</v>
      </c>
      <c r="G386" s="41" t="n">
        <f aca="false">G383+G380-G384-G385</f>
        <v>43.490304</v>
      </c>
      <c r="H386" s="41" t="n">
        <f aca="false">H383+H380-H384-H385</f>
        <v>68.6112768</v>
      </c>
      <c r="I386" s="41" t="n">
        <f aca="false">I383+I380-I384-I385</f>
        <v>82.33353216</v>
      </c>
      <c r="J386" s="41" t="n">
        <f aca="false">J383+J380-J384-J385</f>
        <v>98.800238592</v>
      </c>
      <c r="K386" s="41" t="n">
        <f aca="false">K383+K380-K384-K385</f>
        <v>118.5602863104</v>
      </c>
      <c r="L386" s="41" t="n">
        <f aca="false">L383+L380-L384-L385</f>
        <v>142.27234357248</v>
      </c>
      <c r="M386" s="41" t="n">
        <f aca="false">M383+M380-M384-M385</f>
        <v>170.726812286976</v>
      </c>
    </row>
    <row r="388" customFormat="false" ht="15" hidden="false" customHeight="false" outlineLevel="0" collapsed="false">
      <c r="A388" s="7" t="s">
        <v>646</v>
      </c>
      <c r="B388" s="8"/>
      <c r="C388" s="8"/>
      <c r="D388" s="8"/>
      <c r="E388" s="8"/>
      <c r="F388" s="8"/>
      <c r="G388" s="8"/>
      <c r="H388" s="8"/>
      <c r="I388" s="8"/>
      <c r="J388" s="8"/>
      <c r="K388" s="8"/>
      <c r="L388" s="8"/>
      <c r="M388" s="8"/>
      <c r="N388" s="8"/>
    </row>
    <row r="389" customFormat="false" ht="15" hidden="false" customHeight="false" outlineLevel="0" collapsed="false">
      <c r="A389" s="9" t="s">
        <v>482</v>
      </c>
      <c r="C389" s="35" t="n">
        <f aca="false">lv_mix_eq/(c_price*(1-a_issue_disc))</f>
        <v>1.024</v>
      </c>
    </row>
    <row r="390" customFormat="false" ht="15" hidden="false" customHeight="false" outlineLevel="0" collapsed="false">
      <c r="A390" s="9" t="s">
        <v>449</v>
      </c>
      <c r="C390" s="35" t="n">
        <f aca="false">cf_shares+C389</f>
        <v>65.024</v>
      </c>
    </row>
    <row r="391" customFormat="false" ht="15" hidden="false" customHeight="false" outlineLevel="0" collapsed="false">
      <c r="A391" s="9" t="s">
        <v>483</v>
      </c>
      <c r="C391" s="36" t="n">
        <f aca="false">lv_mix_cash*a_yield*(1-a_tax)+lv_mix_debt*a_kd*(1-a_tax)</f>
        <v>94.5</v>
      </c>
    </row>
    <row r="392" customFormat="false" ht="15" hidden="false" customHeight="false" outlineLevel="0" collapsed="false">
      <c r="A392" s="9" t="s">
        <v>484</v>
      </c>
      <c r="C392" s="36" t="n">
        <f aca="false">lv_price*a_ppa_share/a_ppa_life*(1-a_tax)</f>
        <v>93.75</v>
      </c>
    </row>
    <row r="393" customFormat="false" ht="15" hidden="false" customHeight="false" outlineLevel="0" collapsed="false">
      <c r="A393" s="9" t="s">
        <v>485</v>
      </c>
      <c r="C393" s="36" t="n">
        <f aca="false">a_ppa_on*C392</f>
        <v>0</v>
      </c>
    </row>
    <row r="394" customFormat="false" ht="15" hidden="false" customHeight="false" outlineLevel="0" collapsed="false">
      <c r="A394" s="9" t="s">
        <v>486</v>
      </c>
      <c r="C394" s="36" t="n">
        <f aca="false">lv_price*a_fees_pct+a_integ_full</f>
        <v>160</v>
      </c>
    </row>
    <row r="395" customFormat="false" ht="15" hidden="false" customHeight="false" outlineLevel="0" collapsed="false">
      <c r="A395" s="9" t="s">
        <v>487</v>
      </c>
      <c r="C395" s="36" t="n">
        <f aca="false">0</f>
        <v>0</v>
      </c>
      <c r="D395" s="36" t="n">
        <f aca="false">a_syn_on*(a_syn_partner_rev_y3+a_syn_xsell_y3)*a_mcap*IF(D373=1,a_syn_ramp1,IF(D373=2,a_syn_ramp2,1))+a_syn_on*IF(D373&gt;=2,a_syn_cost,0)</f>
        <v>0</v>
      </c>
      <c r="E395" s="36" t="n">
        <f aca="false">a_syn_on*(a_syn_partner_rev_y3+a_syn_xsell_y3)*a_mcap*IF(E373=1,a_syn_ramp1,IF(E373=2,a_syn_ramp2,1))+a_syn_on*IF(E373&gt;=2,a_syn_cost,0)</f>
        <v>0</v>
      </c>
      <c r="F395" s="36" t="n">
        <f aca="false">a_syn_on*(a_syn_partner_rev_y3+a_syn_xsell_y3)*a_mcap*IF(F373=1,a_syn_ramp1,IF(F373=2,a_syn_ramp2,1))+a_syn_on*IF(F373&gt;=2,a_syn_cost,0)</f>
        <v>0</v>
      </c>
      <c r="G395" s="36" t="n">
        <f aca="false">a_syn_on*(a_syn_partner_rev_y3+a_syn_xsell_y3)*a_mcap*IF(G373=1,a_syn_ramp1,IF(G373=2,a_syn_ramp2,1))+a_syn_on*IF(G373&gt;=2,a_syn_cost,0)</f>
        <v>0</v>
      </c>
      <c r="H395" s="36" t="n">
        <f aca="false">a_syn_on*(a_syn_partner_rev_y3+a_syn_xsell_y3)*a_mcap*IF(H373=1,a_syn_ramp1,IF(H373=2,a_syn_ramp2,1))+a_syn_on*IF(H373&gt;=2,a_syn_cost,0)</f>
        <v>0</v>
      </c>
      <c r="I395" s="36" t="n">
        <f aca="false">a_syn_on*(a_syn_partner_rev_y3+a_syn_xsell_y3)*a_mcap*IF(I373=1,a_syn_ramp1,IF(I373=2,a_syn_ramp2,1))+a_syn_on*IF(I373&gt;=2,a_syn_cost,0)</f>
        <v>0</v>
      </c>
      <c r="J395" s="36" t="n">
        <f aca="false">a_syn_on*(a_syn_partner_rev_y3+a_syn_xsell_y3)*a_mcap*IF(J373=1,a_syn_ramp1,IF(J373=2,a_syn_ramp2,1))+a_syn_on*IF(J373&gt;=2,a_syn_cost,0)</f>
        <v>0</v>
      </c>
      <c r="K395" s="36" t="n">
        <f aca="false">a_syn_on*(a_syn_partner_rev_y3+a_syn_xsell_y3)*a_mcap*IF(K373=1,a_syn_ramp1,IF(K373=2,a_syn_ramp2,1))+a_syn_on*IF(K373&gt;=2,a_syn_cost,0)</f>
        <v>0</v>
      </c>
      <c r="L395" s="36" t="n">
        <f aca="false">a_syn_on*(a_syn_partner_rev_y3+a_syn_xsell_y3)*a_mcap*IF(L373=1,a_syn_ramp1,IF(L373=2,a_syn_ramp2,1))+a_syn_on*IF(L373&gt;=2,a_syn_cost,0)</f>
        <v>0</v>
      </c>
      <c r="M395" s="36" t="n">
        <f aca="false">a_syn_on*(a_syn_partner_rev_y3+a_syn_xsell_y3)*a_mcap*IF(M373=1,a_syn_ramp1,IF(M373=2,a_syn_ramp2,1))+a_syn_on*IF(M373&gt;=2,a_syn_cost,0)</f>
        <v>0</v>
      </c>
    </row>
    <row r="396" customFormat="false" ht="15" hidden="false" customHeight="false" outlineLevel="0" collapsed="false">
      <c r="A396" s="9" t="s">
        <v>488</v>
      </c>
      <c r="C396" s="36" t="n">
        <f aca="false">0</f>
        <v>0</v>
      </c>
      <c r="D396" s="36" t="n">
        <f aca="false">CHOOSE(lv_drag_mode,lv_drag,lv_drag*D376/cf_arr,lv_drag*(1-a_tax))</f>
        <v>750</v>
      </c>
      <c r="E396" s="36" t="n">
        <f aca="false">CHOOSE(lv_drag_mode,lv_drag,lv_drag*E376/cf_arr,lv_drag*(1-a_tax))</f>
        <v>750</v>
      </c>
      <c r="F396" s="36" t="n">
        <f aca="false">CHOOSE(lv_drag_mode,lv_drag,lv_drag*F376/cf_arr,lv_drag*(1-a_tax))</f>
        <v>750</v>
      </c>
      <c r="G396" s="36" t="n">
        <f aca="false">CHOOSE(lv_drag_mode,lv_drag,lv_drag*G376/cf_arr,lv_drag*(1-a_tax))</f>
        <v>750</v>
      </c>
      <c r="H396" s="36" t="n">
        <f aca="false">CHOOSE(lv_drag_mode,lv_drag,lv_drag*H376/cf_arr,lv_drag*(1-a_tax))</f>
        <v>750</v>
      </c>
      <c r="I396" s="36" t="n">
        <f aca="false">CHOOSE(lv_drag_mode,lv_drag,lv_drag*I376/cf_arr,lv_drag*(1-a_tax))</f>
        <v>750</v>
      </c>
      <c r="J396" s="36" t="n">
        <f aca="false">CHOOSE(lv_drag_mode,lv_drag,lv_drag*J376/cf_arr,lv_drag*(1-a_tax))</f>
        <v>750</v>
      </c>
      <c r="K396" s="36" t="n">
        <f aca="false">CHOOSE(lv_drag_mode,lv_drag,lv_drag*K376/cf_arr,lv_drag*(1-a_tax))</f>
        <v>750</v>
      </c>
      <c r="L396" s="36" t="n">
        <f aca="false">CHOOSE(lv_drag_mode,lv_drag,lv_drag*L376/cf_arr,lv_drag*(1-a_tax))</f>
        <v>750</v>
      </c>
      <c r="M396" s="36" t="n">
        <f aca="false">CHOOSE(lv_drag_mode,lv_drag,lv_drag*M376/cf_arr,lv_drag*(1-a_tax))</f>
        <v>750</v>
      </c>
    </row>
    <row r="397" customFormat="false" ht="15" hidden="false" customHeight="false" outlineLevel="0" collapsed="false">
      <c r="A397" s="9" t="s">
        <v>489</v>
      </c>
      <c r="C397" s="36" t="n">
        <f aca="false">0</f>
        <v>0</v>
      </c>
      <c r="D397" s="36" t="n">
        <f aca="false">IF(lv_drag_mode=3,lv_drag*(1-a_tax),0)</f>
        <v>0</v>
      </c>
      <c r="E397" s="36" t="n">
        <f aca="false">IF(lv_drag_mode=3,lv_drag*(1-a_tax),0)</f>
        <v>0</v>
      </c>
      <c r="F397" s="36" t="n">
        <f aca="false">IF(lv_drag_mode=3,lv_drag*(1-a_tax),0)</f>
        <v>0</v>
      </c>
      <c r="G397" s="36" t="n">
        <f aca="false">IF(lv_drag_mode=3,lv_drag*(1-a_tax),0)</f>
        <v>0</v>
      </c>
      <c r="H397" s="36" t="n">
        <f aca="false">IF(lv_drag_mode=3,lv_drag*(1-a_tax),0)</f>
        <v>0</v>
      </c>
      <c r="I397" s="36" t="n">
        <f aca="false">IF(lv_drag_mode=3,lv_drag*(1-a_tax),0)</f>
        <v>0</v>
      </c>
      <c r="J397" s="36" t="n">
        <f aca="false">IF(lv_drag_mode=3,lv_drag*(1-a_tax),0)</f>
        <v>0</v>
      </c>
      <c r="K397" s="36" t="n">
        <f aca="false">IF(lv_drag_mode=3,lv_drag*(1-a_tax),0)</f>
        <v>0</v>
      </c>
      <c r="L397" s="36" t="n">
        <f aca="false">IF(lv_drag_mode=3,lv_drag*(1-a_tax),0)</f>
        <v>0</v>
      </c>
      <c r="M397" s="36" t="n">
        <f aca="false">IF(lv_drag_mode=3,lv_drag*(1-a_tax),0)</f>
        <v>0</v>
      </c>
    </row>
    <row r="398" customFormat="false" ht="15" hidden="false" customHeight="false" outlineLevel="0" collapsed="false">
      <c r="A398" s="9" t="s">
        <v>490</v>
      </c>
      <c r="C398" s="36" t="n">
        <f aca="false">0</f>
        <v>0</v>
      </c>
      <c r="D398" s="36" t="n">
        <f aca="false">IF(lv_drag_mode=3,0,C398+D396)</f>
        <v>750</v>
      </c>
      <c r="E398" s="36" t="n">
        <f aca="false">IF(lv_drag_mode=3,0,D398+E396)</f>
        <v>1500</v>
      </c>
      <c r="F398" s="36" t="n">
        <f aca="false">IF(lv_drag_mode=3,0,E398+F396)</f>
        <v>2250</v>
      </c>
      <c r="G398" s="36" t="n">
        <f aca="false">IF(lv_drag_mode=3,0,F398+G396)</f>
        <v>3000</v>
      </c>
      <c r="H398" s="36" t="n">
        <f aca="false">IF(lv_drag_mode=3,0,G398+H396)</f>
        <v>3750</v>
      </c>
      <c r="I398" s="36" t="n">
        <f aca="false">IF(lv_drag_mode=3,0,H398+I396)</f>
        <v>4500</v>
      </c>
      <c r="J398" s="36" t="n">
        <f aca="false">IF(lv_drag_mode=3,0,I398+J396)</f>
        <v>5250</v>
      </c>
      <c r="K398" s="36" t="n">
        <f aca="false">IF(lv_drag_mode=3,0,J398+K396)</f>
        <v>6000</v>
      </c>
      <c r="L398" s="36" t="n">
        <f aca="false">IF(lv_drag_mode=3,0,K398+L396)</f>
        <v>6750</v>
      </c>
      <c r="M398" s="36" t="n">
        <f aca="false">IF(lv_drag_mode=3,0,L398+M396)</f>
        <v>7500</v>
      </c>
    </row>
    <row r="399" customFormat="false" ht="15" hidden="false" customHeight="false" outlineLevel="0" collapsed="false">
      <c r="A399" s="9" t="s">
        <v>491</v>
      </c>
      <c r="C399" s="36" t="n">
        <f aca="false">0</f>
        <v>0</v>
      </c>
      <c r="D399" s="36" t="n">
        <f aca="false">C398*a_yield*(1-a_tax)</f>
        <v>0</v>
      </c>
      <c r="E399" s="36" t="n">
        <f aca="false">D398*a_yield*(1-a_tax)</f>
        <v>33.75</v>
      </c>
      <c r="F399" s="36" t="n">
        <f aca="false">E398*a_yield*(1-a_tax)</f>
        <v>67.5</v>
      </c>
      <c r="G399" s="36" t="n">
        <f aca="false">F398*a_yield*(1-a_tax)</f>
        <v>101.25</v>
      </c>
      <c r="H399" s="36" t="n">
        <f aca="false">G398*a_yield*(1-a_tax)</f>
        <v>135</v>
      </c>
      <c r="I399" s="36" t="n">
        <f aca="false">H398*a_yield*(1-a_tax)</f>
        <v>168.75</v>
      </c>
      <c r="J399" s="36" t="n">
        <f aca="false">I398*a_yield*(1-a_tax)</f>
        <v>202.5</v>
      </c>
      <c r="K399" s="36" t="n">
        <f aca="false">J398*a_yield*(1-a_tax)</f>
        <v>236.25</v>
      </c>
      <c r="L399" s="36" t="n">
        <f aca="false">K398*a_yield*(1-a_tax)</f>
        <v>270</v>
      </c>
      <c r="M399" s="36" t="n">
        <f aca="false">L398*a_yield*(1-a_tax)</f>
        <v>303.75</v>
      </c>
    </row>
    <row r="400" customFormat="false" ht="15" hidden="false" customHeight="false" outlineLevel="0" collapsed="false">
      <c r="A400" s="9" t="s">
        <v>492</v>
      </c>
      <c r="C400" s="36" t="n">
        <f aca="false">cf_pat</f>
        <v>480</v>
      </c>
      <c r="D400" s="36" t="n">
        <f aca="false">cf_pat*(1+a_pat_growth)^D373</f>
        <v>480</v>
      </c>
      <c r="E400" s="36" t="n">
        <f aca="false">cf_pat*(1+a_pat_growth)^E373</f>
        <v>480</v>
      </c>
      <c r="F400" s="36" t="n">
        <f aca="false">cf_pat*(1+a_pat_growth)^F373</f>
        <v>480</v>
      </c>
      <c r="G400" s="36" t="n">
        <f aca="false">cf_pat*(1+a_pat_growth)^G373</f>
        <v>480</v>
      </c>
      <c r="H400" s="36" t="n">
        <f aca="false">cf_pat*(1+a_pat_growth)^H373</f>
        <v>480</v>
      </c>
      <c r="I400" s="36" t="n">
        <f aca="false">cf_pat*(1+a_pat_growth)^I373</f>
        <v>480</v>
      </c>
      <c r="J400" s="36" t="n">
        <f aca="false">cf_pat*(1+a_pat_growth)^J373</f>
        <v>480</v>
      </c>
      <c r="K400" s="36" t="n">
        <f aca="false">cf_pat*(1+a_pat_growth)^K373</f>
        <v>480</v>
      </c>
      <c r="L400" s="36" t="n">
        <f aca="false">cf_pat*(1+a_pat_growth)^L373</f>
        <v>480</v>
      </c>
      <c r="M400" s="36" t="n">
        <f aca="false">cf_pat*(1+a_pat_growth)^M373</f>
        <v>480</v>
      </c>
    </row>
    <row r="401" customFormat="false" ht="15" hidden="false" customHeight="false" outlineLevel="0" collapsed="false">
      <c r="A401" s="9" t="s">
        <v>493</v>
      </c>
      <c r="C401" s="36" t="n">
        <f aca="false">0</f>
        <v>0</v>
      </c>
      <c r="D401" s="36" t="n">
        <f aca="false">cf_mdr*a_mdr_flow*(1-a_tax)</f>
        <v>69</v>
      </c>
      <c r="E401" s="36" t="n">
        <f aca="false">cf_mdr*a_mdr_flow*(1-a_tax)</f>
        <v>69</v>
      </c>
      <c r="F401" s="36" t="n">
        <f aca="false">cf_mdr*a_mdr_flow*(1-a_tax)</f>
        <v>69</v>
      </c>
      <c r="G401" s="36" t="n">
        <f aca="false">cf_mdr*a_mdr_flow*(1-a_tax)</f>
        <v>69</v>
      </c>
      <c r="H401" s="36" t="n">
        <f aca="false">cf_mdr*a_mdr_flow*(1-a_tax)</f>
        <v>69</v>
      </c>
      <c r="I401" s="36" t="n">
        <f aca="false">cf_mdr*a_mdr_flow*(1-a_tax)</f>
        <v>69</v>
      </c>
      <c r="J401" s="36" t="n">
        <f aca="false">cf_mdr*a_mdr_flow*(1-a_tax)</f>
        <v>69</v>
      </c>
      <c r="K401" s="36" t="n">
        <f aca="false">cf_mdr*a_mdr_flow*(1-a_tax)</f>
        <v>69</v>
      </c>
      <c r="L401" s="36" t="n">
        <f aca="false">cf_mdr*a_mdr_flow*(1-a_tax)</f>
        <v>69</v>
      </c>
      <c r="M401" s="36" t="n">
        <f aca="false">cf_mdr*a_mdr_flow*(1-a_tax)</f>
        <v>69</v>
      </c>
    </row>
    <row r="402" customFormat="false" ht="15" hidden="false" customHeight="false" outlineLevel="0" collapsed="false">
      <c r="A402" s="9" t="s">
        <v>494</v>
      </c>
      <c r="C402" s="50" t="n">
        <f aca="false">cf_eps</f>
        <v>7.5</v>
      </c>
      <c r="D402" s="50" t="n">
        <f aca="false">D400/cf_shares</f>
        <v>7.5</v>
      </c>
      <c r="E402" s="50" t="n">
        <f aca="false">E400/cf_shares</f>
        <v>7.5</v>
      </c>
      <c r="F402" s="50" t="n">
        <f aca="false">F400/cf_shares</f>
        <v>7.5</v>
      </c>
      <c r="G402" s="50" t="n">
        <f aca="false">G400/cf_shares</f>
        <v>7.5</v>
      </c>
      <c r="H402" s="50" t="n">
        <f aca="false">H400/cf_shares</f>
        <v>7.5</v>
      </c>
      <c r="I402" s="50" t="n">
        <f aca="false">I400/cf_shares</f>
        <v>7.5</v>
      </c>
      <c r="J402" s="50" t="n">
        <f aca="false">J400/cf_shares</f>
        <v>7.5</v>
      </c>
      <c r="K402" s="50" t="n">
        <f aca="false">K400/cf_shares</f>
        <v>7.5</v>
      </c>
      <c r="L402" s="50" t="n">
        <f aca="false">L400/cf_shares</f>
        <v>7.5</v>
      </c>
      <c r="M402" s="50" t="n">
        <f aca="false">M400/cf_shares</f>
        <v>7.5</v>
      </c>
    </row>
    <row r="403" customFormat="false" ht="15" hidden="false" customHeight="false" outlineLevel="0" collapsed="false">
      <c r="A403" s="9" t="s">
        <v>495</v>
      </c>
      <c r="C403" s="50" t="n">
        <f aca="false">cf_eps</f>
        <v>7.5</v>
      </c>
      <c r="D403" s="50" t="n">
        <f aca="false">(D400+D401)/cf_shares</f>
        <v>8.578125</v>
      </c>
      <c r="E403" s="50" t="n">
        <f aca="false">(E400+E401)/cf_shares</f>
        <v>8.578125</v>
      </c>
      <c r="F403" s="50" t="n">
        <f aca="false">(F400+F401)/cf_shares</f>
        <v>8.578125</v>
      </c>
      <c r="G403" s="50" t="n">
        <f aca="false">(G400+G401)/cf_shares</f>
        <v>8.578125</v>
      </c>
      <c r="H403" s="50" t="n">
        <f aca="false">(H400+H401)/cf_shares</f>
        <v>8.578125</v>
      </c>
      <c r="I403" s="50" t="n">
        <f aca="false">(I400+I401)/cf_shares</f>
        <v>8.578125</v>
      </c>
      <c r="J403" s="50" t="n">
        <f aca="false">(J400+J401)/cf_shares</f>
        <v>8.578125</v>
      </c>
      <c r="K403" s="50" t="n">
        <f aca="false">(K400+K401)/cf_shares</f>
        <v>8.578125</v>
      </c>
      <c r="L403" s="50" t="n">
        <f aca="false">(L400+L401)/cf_shares</f>
        <v>8.578125</v>
      </c>
      <c r="M403" s="50" t="n">
        <f aca="false">(M400+M401)/cf_shares</f>
        <v>8.578125</v>
      </c>
    </row>
    <row r="404" customFormat="false" ht="15" hidden="false" customHeight="false" outlineLevel="0" collapsed="false">
      <c r="A404" s="4" t="s">
        <v>496</v>
      </c>
      <c r="C404" s="41" t="n">
        <f aca="false">-C391-C393</f>
        <v>-94.5</v>
      </c>
      <c r="D404" s="41" t="n">
        <f aca="false">D383+D395*(1-a_tax)-C391-C393-D397-D399</f>
        <v>-115.356</v>
      </c>
      <c r="E404" s="41" t="n">
        <f aca="false">E383+E395*(1-a_tax)-C391-C393-E397-E399</f>
        <v>-114.9444</v>
      </c>
      <c r="F404" s="41" t="n">
        <f aca="false">F383+F395*(1-a_tax)-C391-C393-F397-F399</f>
        <v>-134.62848</v>
      </c>
      <c r="G404" s="41" t="n">
        <f aca="false">G383+G395*(1-a_tax)-C391-C393-G397-G399</f>
        <v>-149.218416</v>
      </c>
      <c r="H404" s="41" t="n">
        <f aca="false">H383+H395*(1-a_tax)-C391-C393-H397-H399</f>
        <v>-157.2391872</v>
      </c>
      <c r="I404" s="41" t="n">
        <f aca="false">I383+I395*(1-a_tax)-C391-C393-I397-I399</f>
        <v>-176.53702464</v>
      </c>
      <c r="J404" s="41" t="n">
        <f aca="false">J383+J395*(1-a_tax)-C391-C393-J397-J399</f>
        <v>-192.944429568</v>
      </c>
      <c r="K404" s="41" t="n">
        <f aca="false">K383+K395*(1-a_tax)-C391-C393-K397-K399</f>
        <v>-205.8833154816</v>
      </c>
      <c r="L404" s="41" t="n">
        <f aca="false">L383+L395*(1-a_tax)-C391-C393-L397-L399</f>
        <v>-214.65997857792</v>
      </c>
      <c r="M404" s="41" t="n">
        <f aca="false">M383+M395*(1-a_tax)-C391-C393-M397-M399</f>
        <v>-218.441974293504</v>
      </c>
    </row>
    <row r="405" customFormat="false" ht="15" hidden="false" customHeight="false" outlineLevel="0" collapsed="false">
      <c r="A405" s="9" t="s">
        <v>497</v>
      </c>
      <c r="C405" s="36" t="n">
        <f aca="false">C400+C404</f>
        <v>385.5</v>
      </c>
      <c r="D405" s="36" t="n">
        <f aca="false">D400+D404</f>
        <v>364.644</v>
      </c>
      <c r="E405" s="36" t="n">
        <f aca="false">E400+E404</f>
        <v>365.0556</v>
      </c>
      <c r="F405" s="36" t="n">
        <f aca="false">F400+F404</f>
        <v>345.37152</v>
      </c>
      <c r="G405" s="36" t="n">
        <f aca="false">G400+G404</f>
        <v>330.781584</v>
      </c>
      <c r="H405" s="36" t="n">
        <f aca="false">H400+H404</f>
        <v>322.7608128</v>
      </c>
      <c r="I405" s="36" t="n">
        <f aca="false">I400+I404</f>
        <v>303.46297536</v>
      </c>
      <c r="J405" s="36" t="n">
        <f aca="false">J400+J404</f>
        <v>287.055570432</v>
      </c>
      <c r="K405" s="36" t="n">
        <f aca="false">K400+K404</f>
        <v>274.1166845184</v>
      </c>
      <c r="L405" s="36" t="n">
        <f aca="false">L400+L404</f>
        <v>265.34002142208</v>
      </c>
      <c r="M405" s="36" t="n">
        <f aca="false">M400+M404</f>
        <v>261.558025706496</v>
      </c>
    </row>
    <row r="406" customFormat="false" ht="15" hidden="false" customHeight="false" outlineLevel="0" collapsed="false">
      <c r="A406" s="4" t="s">
        <v>498</v>
      </c>
      <c r="C406" s="48" t="n">
        <f aca="false">C405/C390</f>
        <v>5.92858021653543</v>
      </c>
      <c r="D406" s="48" t="n">
        <f aca="false">D405/C390</f>
        <v>5.60783710629921</v>
      </c>
      <c r="E406" s="48" t="n">
        <f aca="false">E405/C390</f>
        <v>5.61416707677165</v>
      </c>
      <c r="F406" s="48" t="n">
        <f aca="false">F405/C390</f>
        <v>5.3114468503937</v>
      </c>
      <c r="G406" s="48" t="n">
        <f aca="false">G405/C390</f>
        <v>5.08706914370079</v>
      </c>
      <c r="H406" s="48" t="n">
        <f aca="false">H405/C390</f>
        <v>4.96371820866142</v>
      </c>
      <c r="I406" s="48" t="n">
        <f aca="false">I405/C390</f>
        <v>4.66693798228346</v>
      </c>
      <c r="J406" s="48" t="n">
        <f aca="false">J405/C390</f>
        <v>4.41460953543307</v>
      </c>
      <c r="K406" s="48" t="n">
        <f aca="false">K405/C390</f>
        <v>4.21562322401575</v>
      </c>
      <c r="L406" s="48" t="n">
        <f aca="false">L405/C390</f>
        <v>4.08064747511811</v>
      </c>
      <c r="M406" s="48" t="n">
        <f aca="false">M405/C390</f>
        <v>4.02248440124409</v>
      </c>
    </row>
    <row r="407" customFormat="false" ht="15" hidden="false" customHeight="false" outlineLevel="0" collapsed="false">
      <c r="A407" s="4" t="s">
        <v>499</v>
      </c>
      <c r="C407" s="14" t="n">
        <f aca="false">C406/cf_eps-1</f>
        <v>-0.209522637795276</v>
      </c>
      <c r="D407" s="14" t="n">
        <f aca="false">D406/cf_eps-1</f>
        <v>-0.252288385826772</v>
      </c>
      <c r="E407" s="14" t="n">
        <f aca="false">E406/cf_eps-1</f>
        <v>-0.25144438976378</v>
      </c>
      <c r="F407" s="14" t="n">
        <f aca="false">F406/cf_eps-1</f>
        <v>-0.291807086614173</v>
      </c>
      <c r="G407" s="14" t="n">
        <f aca="false">G406/cf_eps-1</f>
        <v>-0.321724114173228</v>
      </c>
      <c r="H407" s="14" t="n">
        <f aca="false">H406/cf_eps-1</f>
        <v>-0.338170905511811</v>
      </c>
      <c r="I407" s="14" t="n">
        <f aca="false">I406/cf_eps-1</f>
        <v>-0.377741602362205</v>
      </c>
      <c r="J407" s="14" t="n">
        <f aca="false">J406/cf_eps-1</f>
        <v>-0.411385395275591</v>
      </c>
      <c r="K407" s="14" t="n">
        <f aca="false">K406/cf_eps-1</f>
        <v>-0.437916903464567</v>
      </c>
      <c r="L407" s="14" t="n">
        <f aca="false">L406/cf_eps-1</f>
        <v>-0.455913669984252</v>
      </c>
      <c r="M407" s="14" t="n">
        <f aca="false">M406/cf_eps-1</f>
        <v>-0.463668746500787</v>
      </c>
    </row>
    <row r="408" customFormat="false" ht="15" hidden="false" customHeight="false" outlineLevel="0" collapsed="false">
      <c r="A408" s="9" t="s">
        <v>500</v>
      </c>
      <c r="C408" s="50" t="n">
        <f aca="false">C406</f>
        <v>5.92858021653543</v>
      </c>
      <c r="D408" s="50" t="n">
        <f aca="false">(D405+D401)/C390</f>
        <v>6.66898375984252</v>
      </c>
      <c r="E408" s="50" t="n">
        <f aca="false">(E405+E401)/C390</f>
        <v>6.67531373031496</v>
      </c>
      <c r="F408" s="50" t="n">
        <f aca="false">(F405+F401)/C390</f>
        <v>6.37259350393701</v>
      </c>
      <c r="G408" s="50" t="n">
        <f aca="false">(G405+G401)/C390</f>
        <v>6.14821579724409</v>
      </c>
      <c r="H408" s="50" t="n">
        <f aca="false">(H405+H401)/C390</f>
        <v>6.02486486220472</v>
      </c>
      <c r="I408" s="50" t="n">
        <f aca="false">(I405+I401)/C390</f>
        <v>5.72808463582677</v>
      </c>
      <c r="J408" s="50" t="n">
        <f aca="false">(J405+J401)/C390</f>
        <v>5.47575618897638</v>
      </c>
      <c r="K408" s="50" t="n">
        <f aca="false">(K405+K401)/C390</f>
        <v>5.27676987755906</v>
      </c>
      <c r="L408" s="50" t="n">
        <f aca="false">(L405+L401)/C390</f>
        <v>5.14179412866142</v>
      </c>
      <c r="M408" s="50" t="n">
        <f aca="false">(M405+M401)/C390</f>
        <v>5.0836310547874</v>
      </c>
    </row>
    <row r="409" customFormat="false" ht="15" hidden="false" customHeight="false" outlineLevel="0" collapsed="false">
      <c r="A409" s="9" t="s">
        <v>501</v>
      </c>
      <c r="C409" s="18" t="n">
        <f aca="false">C407</f>
        <v>-0.209522637795276</v>
      </c>
      <c r="D409" s="18" t="n">
        <f aca="false">D408/D403-1</f>
        <v>-0.222559270255153</v>
      </c>
      <c r="E409" s="18" t="n">
        <f aca="false">E408/E403-1</f>
        <v>-0.221821350200077</v>
      </c>
      <c r="F409" s="18" t="n">
        <f aca="false">F408/F403-1</f>
        <v>-0.25711113979605</v>
      </c>
      <c r="G409" s="18" t="n">
        <f aca="false">G408/G403-1</f>
        <v>-0.283268103782109</v>
      </c>
      <c r="H409" s="18" t="n">
        <f aca="false">H408/H403-1</f>
        <v>-0.29764781205628</v>
      </c>
      <c r="I409" s="18" t="n">
        <f aca="false">I408/I403-1</f>
        <v>-0.332245142635859</v>
      </c>
      <c r="J409" s="18" t="n">
        <f aca="false">J408/J403-1</f>
        <v>-0.361660480702207</v>
      </c>
      <c r="K409" s="18" t="n">
        <f aca="false">K408/K403-1</f>
        <v>-0.384857427752678</v>
      </c>
      <c r="L409" s="18" t="n">
        <f aca="false">L408/L403-1</f>
        <v>-0.400592305584097</v>
      </c>
      <c r="M409" s="18" t="n">
        <f aca="false">M408/M403-1</f>
        <v>-0.407372700352653</v>
      </c>
    </row>
    <row r="410" customFormat="false" ht="15" hidden="false" customHeight="false" outlineLevel="0" collapsed="false">
      <c r="A410" s="9" t="s">
        <v>502</v>
      </c>
      <c r="C410" s="50" t="n">
        <f aca="false">(C405+C393)/C390</f>
        <v>5.92858021653543</v>
      </c>
      <c r="D410" s="50" t="n">
        <f aca="false">(D405+C393)/C390</f>
        <v>5.60783710629921</v>
      </c>
      <c r="E410" s="50" t="n">
        <f aca="false">(E405+C393)/C390</f>
        <v>5.61416707677165</v>
      </c>
      <c r="F410" s="50" t="n">
        <f aca="false">(F405+C393)/C390</f>
        <v>5.3114468503937</v>
      </c>
      <c r="G410" s="50" t="n">
        <f aca="false">(G405+C393)/C390</f>
        <v>5.08706914370079</v>
      </c>
      <c r="H410" s="50" t="n">
        <f aca="false">(H405+C393)/C390</f>
        <v>4.96371820866142</v>
      </c>
      <c r="I410" s="50" t="n">
        <f aca="false">(I405+C393)/C390</f>
        <v>4.66693798228346</v>
      </c>
      <c r="J410" s="50" t="n">
        <f aca="false">(J405+C393)/C390</f>
        <v>4.41460953543307</v>
      </c>
      <c r="K410" s="50" t="n">
        <f aca="false">(K405+C393)/C390</f>
        <v>4.21562322401575</v>
      </c>
      <c r="L410" s="50" t="n">
        <f aca="false">(L405+C393)/C390</f>
        <v>4.08064747511811</v>
      </c>
      <c r="M410" s="50" t="n">
        <f aca="false">(M405+C393)/C390</f>
        <v>4.02248440124409</v>
      </c>
    </row>
    <row r="411" customFormat="false" ht="15" hidden="false" customHeight="false" outlineLevel="0" collapsed="false">
      <c r="A411" s="9" t="s">
        <v>503</v>
      </c>
      <c r="C411" s="50" t="n">
        <f aca="false">(C405-C392+C393)/C390</f>
        <v>4.48680487204724</v>
      </c>
      <c r="D411" s="50" t="n">
        <f aca="false">(D405-C392+C393)/C390</f>
        <v>4.16606176181102</v>
      </c>
      <c r="E411" s="50" t="n">
        <f aca="false">(E405-C392+C393)/C390</f>
        <v>4.17239173228347</v>
      </c>
      <c r="F411" s="50" t="n">
        <f aca="false">(F405-C392+C393)/C390</f>
        <v>3.86967150590551</v>
      </c>
      <c r="G411" s="50" t="n">
        <f aca="false">(G405-C392+C393)/C390</f>
        <v>3.6452937992126</v>
      </c>
      <c r="H411" s="50" t="n">
        <f aca="false">(H405-C392+C393)/C390</f>
        <v>3.52194286417323</v>
      </c>
      <c r="I411" s="50" t="n">
        <f aca="false">(I405-C392+C393)/C390</f>
        <v>3.22516263779528</v>
      </c>
      <c r="J411" s="50" t="n">
        <f aca="false">(J405-C392+C393)/C390</f>
        <v>2.97283419094488</v>
      </c>
      <c r="K411" s="50" t="n">
        <f aca="false">(K405-C392+C393)/C390</f>
        <v>2.77384787952756</v>
      </c>
      <c r="L411" s="50" t="n">
        <f aca="false">(L405-C392+C393)/C390</f>
        <v>2.63887213062992</v>
      </c>
      <c r="M411" s="50" t="n">
        <f aca="false">(M405-C392+C393)/C390</f>
        <v>2.58070905675591</v>
      </c>
    </row>
    <row r="412" customFormat="false" ht="15" hidden="false" customHeight="false" outlineLevel="0" collapsed="false">
      <c r="A412" s="9" t="s">
        <v>504</v>
      </c>
      <c r="C412" s="50" t="n">
        <f aca="false">C400/C390</f>
        <v>7.38188976377953</v>
      </c>
      <c r="D412" s="50" t="n">
        <f aca="false">D400/C390</f>
        <v>7.38188976377953</v>
      </c>
      <c r="E412" s="50" t="n">
        <f aca="false">E400/C390</f>
        <v>7.38188976377953</v>
      </c>
      <c r="F412" s="50" t="n">
        <f aca="false">F400/C390</f>
        <v>7.38188976377953</v>
      </c>
      <c r="G412" s="50" t="n">
        <f aca="false">G400/C390</f>
        <v>7.38188976377953</v>
      </c>
      <c r="H412" s="50" t="n">
        <f aca="false">H400/C390</f>
        <v>7.38188976377953</v>
      </c>
      <c r="I412" s="50" t="n">
        <f aca="false">I400/C390</f>
        <v>7.38188976377953</v>
      </c>
      <c r="J412" s="50" t="n">
        <f aca="false">J400/C390</f>
        <v>7.38188976377953</v>
      </c>
      <c r="K412" s="50" t="n">
        <f aca="false">K400/C390</f>
        <v>7.38188976377953</v>
      </c>
      <c r="L412" s="50" t="n">
        <f aca="false">L400/C390</f>
        <v>7.38188976377953</v>
      </c>
      <c r="M412" s="50" t="n">
        <f aca="false">M400/C390</f>
        <v>7.38188976377953</v>
      </c>
    </row>
    <row r="413" customFormat="false" ht="15" hidden="false" customHeight="false" outlineLevel="0" collapsed="false">
      <c r="A413" s="9" t="s">
        <v>505</v>
      </c>
      <c r="D413" s="36" t="n">
        <f aca="false">D386+D395*(1-a_tax)-D396-IF(D373=1,C394,0)</f>
        <v>-930.416</v>
      </c>
      <c r="E413" s="36" t="n">
        <f aca="false">E386+E395*(1-a_tax)-E396-IF(E373=1,C394,0)</f>
        <v>-738.8064</v>
      </c>
      <c r="F413" s="36" t="n">
        <f aca="false">F386+F395*(1-a_tax)-F396-IF(F373=1,C394,0)</f>
        <v>-725.16288</v>
      </c>
      <c r="G413" s="36" t="n">
        <f aca="false">G386+G395*(1-a_tax)-G396-IF(G373=1,C394,0)</f>
        <v>-706.509696</v>
      </c>
      <c r="H413" s="36" t="n">
        <f aca="false">H386+H395*(1-a_tax)-H396-IF(H373=1,C394,0)</f>
        <v>-681.3887232</v>
      </c>
      <c r="I413" s="36" t="n">
        <f aca="false">I386+I395*(1-a_tax)-I396-IF(I373=1,C394,0)</f>
        <v>-667.66646784</v>
      </c>
      <c r="J413" s="36" t="n">
        <f aca="false">J386+J395*(1-a_tax)-J396-IF(J373=1,C394,0)</f>
        <v>-651.199761408</v>
      </c>
      <c r="K413" s="36" t="n">
        <f aca="false">K386+K395*(1-a_tax)-K396-IF(K373=1,C394,0)</f>
        <v>-631.4397136896</v>
      </c>
      <c r="L413" s="36" t="n">
        <f aca="false">L386+L395*(1-a_tax)-L396-IF(L373=1,C394,0)</f>
        <v>-607.72765642752</v>
      </c>
      <c r="M413" s="36" t="n">
        <f aca="false">M386+M395*(1-a_tax)-M396-IF(M373=1,C394,0)</f>
        <v>-579.273187713024</v>
      </c>
    </row>
    <row r="414" customFormat="false" ht="15" hidden="false" customHeight="false" outlineLevel="0" collapsed="false">
      <c r="A414" s="4" t="s">
        <v>506</v>
      </c>
      <c r="D414" s="41" t="n">
        <f aca="false">D413-C391</f>
        <v>-1024.916</v>
      </c>
      <c r="E414" s="41" t="n">
        <f aca="false">E413-C391</f>
        <v>-833.3064</v>
      </c>
      <c r="F414" s="41" t="n">
        <f aca="false">F413-C391</f>
        <v>-819.66288</v>
      </c>
      <c r="G414" s="41" t="n">
        <f aca="false">G413-C391</f>
        <v>-801.009696</v>
      </c>
      <c r="H414" s="41" t="n">
        <f aca="false">H413-C391</f>
        <v>-775.8887232</v>
      </c>
      <c r="I414" s="41" t="n">
        <f aca="false">I413-C391</f>
        <v>-762.16646784</v>
      </c>
      <c r="J414" s="41" t="n">
        <f aca="false">J413-C391</f>
        <v>-745.699761408</v>
      </c>
      <c r="K414" s="41" t="n">
        <f aca="false">K413-C391</f>
        <v>-725.9397136896</v>
      </c>
      <c r="L414" s="41" t="n">
        <f aca="false">L413-C391</f>
        <v>-702.22765642752</v>
      </c>
      <c r="M414" s="41" t="n">
        <f aca="false">M413-C391</f>
        <v>-673.773187713024</v>
      </c>
    </row>
    <row r="415" customFormat="false" ht="15" hidden="false" customHeight="false" outlineLevel="0" collapsed="false">
      <c r="A415" s="9" t="s">
        <v>507</v>
      </c>
      <c r="C415" s="36" t="n">
        <f aca="false">0</f>
        <v>0</v>
      </c>
      <c r="D415" s="36" t="n">
        <f aca="false">D401</f>
        <v>69</v>
      </c>
      <c r="E415" s="36" t="n">
        <f aca="false">E401</f>
        <v>69</v>
      </c>
      <c r="F415" s="36" t="n">
        <f aca="false">F401</f>
        <v>69</v>
      </c>
      <c r="G415" s="36" t="n">
        <f aca="false">G401</f>
        <v>69</v>
      </c>
      <c r="H415" s="36" t="n">
        <f aca="false">H401</f>
        <v>69</v>
      </c>
      <c r="I415" s="36" t="n">
        <f aca="false">I401</f>
        <v>69</v>
      </c>
      <c r="J415" s="36" t="n">
        <f aca="false">J401</f>
        <v>69</v>
      </c>
      <c r="K415" s="36" t="n">
        <f aca="false">K401</f>
        <v>69</v>
      </c>
      <c r="L415" s="36" t="n">
        <f aca="false">L401</f>
        <v>69</v>
      </c>
      <c r="M415" s="36" t="n">
        <f aca="false">M401</f>
        <v>69</v>
      </c>
    </row>
    <row r="416" customFormat="false" ht="15" hidden="false" customHeight="false" outlineLevel="0" collapsed="false">
      <c r="A416" s="9" t="s">
        <v>508</v>
      </c>
      <c r="D416" s="36" t="n">
        <f aca="false">D414+D415</f>
        <v>-955.916</v>
      </c>
      <c r="E416" s="36" t="n">
        <f aca="false">E414+E415</f>
        <v>-764.3064</v>
      </c>
      <c r="F416" s="36" t="n">
        <f aca="false">F414+F415</f>
        <v>-750.66288</v>
      </c>
      <c r="G416" s="36" t="n">
        <f aca="false">G414+G415</f>
        <v>-732.009696</v>
      </c>
      <c r="H416" s="36" t="n">
        <f aca="false">H414+H415</f>
        <v>-706.8887232</v>
      </c>
      <c r="I416" s="36" t="n">
        <f aca="false">I414+I415</f>
        <v>-693.16646784</v>
      </c>
      <c r="J416" s="36" t="n">
        <f aca="false">J414+J415</f>
        <v>-676.699761408</v>
      </c>
      <c r="K416" s="36" t="n">
        <f aca="false">K414+K415</f>
        <v>-656.9397136896</v>
      </c>
      <c r="L416" s="36" t="n">
        <f aca="false">L414+L415</f>
        <v>-633.22765642752</v>
      </c>
      <c r="M416" s="36" t="n">
        <f aca="false">M414+M415</f>
        <v>-604.773187713024</v>
      </c>
    </row>
    <row r="417" customFormat="false" ht="15" hidden="false" customHeight="false" outlineLevel="0" collapsed="false">
      <c r="A417" s="9" t="s">
        <v>509</v>
      </c>
      <c r="D417" s="36" t="n">
        <f aca="false">IF(lv_mdr_in_deal=1,D416,D414)</f>
        <v>-1024.916</v>
      </c>
      <c r="E417" s="36" t="n">
        <f aca="false">IF(lv_mdr_in_deal=1,E416,E414)</f>
        <v>-833.3064</v>
      </c>
      <c r="F417" s="36" t="n">
        <f aca="false">IF(lv_mdr_in_deal=1,F416,F414)</f>
        <v>-819.66288</v>
      </c>
      <c r="G417" s="36" t="n">
        <f aca="false">IF(lv_mdr_in_deal=1,G416,G414)</f>
        <v>-801.009696</v>
      </c>
      <c r="H417" s="36" t="n">
        <f aca="false">IF(lv_mdr_in_deal=1,H416,H414)</f>
        <v>-775.8887232</v>
      </c>
      <c r="I417" s="36" t="n">
        <f aca="false">IF(lv_mdr_in_deal=1,I416,I414)</f>
        <v>-762.16646784</v>
      </c>
      <c r="J417" s="36" t="n">
        <f aca="false">IF(lv_mdr_in_deal=1,J416,J414)</f>
        <v>-745.699761408</v>
      </c>
      <c r="K417" s="36" t="n">
        <f aca="false">IF(lv_mdr_in_deal=1,K416,K414)</f>
        <v>-725.9397136896</v>
      </c>
      <c r="L417" s="36" t="n">
        <f aca="false">IF(lv_mdr_in_deal=1,L416,L414)</f>
        <v>-702.22765642752</v>
      </c>
      <c r="M417" s="36" t="n">
        <f aca="false">IF(lv_mdr_in_deal=1,M416,M414)</f>
        <v>-673.773187713024</v>
      </c>
    </row>
    <row r="418" customFormat="false" ht="15" hidden="false" customHeight="false" outlineLevel="0" collapsed="false">
      <c r="A418" s="9" t="s">
        <v>510</v>
      </c>
      <c r="C418" s="36" t="n">
        <f aca="false">-lv_price</f>
        <v>-4000</v>
      </c>
      <c r="D418" s="36" t="n">
        <f aca="false">C418+D417</f>
        <v>-5024.916</v>
      </c>
      <c r="E418" s="36" t="n">
        <f aca="false">D418+E417</f>
        <v>-5858.2224</v>
      </c>
      <c r="F418" s="36" t="n">
        <f aca="false">E418+F417</f>
        <v>-6677.88528</v>
      </c>
      <c r="G418" s="36" t="n">
        <f aca="false">F418+G417</f>
        <v>-7478.894976</v>
      </c>
      <c r="H418" s="36" t="n">
        <f aca="false">G418+H417</f>
        <v>-8254.7836992</v>
      </c>
      <c r="I418" s="36" t="n">
        <f aca="false">H418+I417</f>
        <v>-9016.95016704</v>
      </c>
      <c r="J418" s="36" t="n">
        <f aca="false">I418+J417</f>
        <v>-9762.649928448</v>
      </c>
      <c r="K418" s="36" t="n">
        <f aca="false">J418+K417</f>
        <v>-10488.5896421376</v>
      </c>
      <c r="L418" s="36" t="n">
        <f aca="false">K418+L417</f>
        <v>-11190.8172985651</v>
      </c>
      <c r="M418" s="36" t="n">
        <f aca="false">L418+M417</f>
        <v>-11864.5904862781</v>
      </c>
    </row>
    <row r="419" customFormat="false" ht="15" hidden="false" customHeight="false" outlineLevel="0" collapsed="false">
      <c r="A419" s="9" t="s">
        <v>511</v>
      </c>
      <c r="C419" s="43" t="n">
        <f aca="false">1</f>
        <v>1</v>
      </c>
      <c r="D419" s="43" t="n">
        <f aca="false">1/(1+lv_wacc)^D373</f>
        <v>0.884955752212389</v>
      </c>
      <c r="E419" s="43" t="n">
        <f aca="false">1/(1+lv_wacc)^E373</f>
        <v>0.783146683373796</v>
      </c>
      <c r="F419" s="43" t="n">
        <f aca="false">1/(1+lv_wacc)^F373</f>
        <v>0.693050162277696</v>
      </c>
      <c r="G419" s="43" t="n">
        <f aca="false">1/(1+lv_wacc)^G373</f>
        <v>0.613318727679377</v>
      </c>
      <c r="H419" s="43" t="n">
        <f aca="false">1/(1+lv_wacc)^H373</f>
        <v>0.542759935999449</v>
      </c>
      <c r="I419" s="43" t="n">
        <f aca="false">1/(1+lv_wacc)^I373</f>
        <v>0.48031852743314</v>
      </c>
      <c r="J419" s="43" t="n">
        <f aca="false">1/(1+lv_wacc)^J373</f>
        <v>0.425060643746142</v>
      </c>
      <c r="K419" s="43" t="n">
        <f aca="false">1/(1+lv_wacc)^K373</f>
        <v>0.37615986172225</v>
      </c>
      <c r="L419" s="43" t="n">
        <f aca="false">1/(1+lv_wacc)^L373</f>
        <v>0.332884833382522</v>
      </c>
      <c r="M419" s="43" t="n">
        <f aca="false">1/(1+lv_wacc)^M373</f>
        <v>0.294588348126126</v>
      </c>
    </row>
    <row r="420" customFormat="false" ht="15" hidden="false" customHeight="false" outlineLevel="0" collapsed="false">
      <c r="A420" s="9" t="s">
        <v>512</v>
      </c>
      <c r="C420" s="46" t="n">
        <f aca="false">99</f>
        <v>99</v>
      </c>
      <c r="D420" s="46" t="n">
        <f aca="false">IF(D404&gt;=0,D373,99)</f>
        <v>99</v>
      </c>
      <c r="E420" s="46" t="n">
        <f aca="false">IF(E404&gt;=0,E373,99)</f>
        <v>99</v>
      </c>
      <c r="F420" s="46" t="n">
        <f aca="false">IF(F404&gt;=0,F373,99)</f>
        <v>99</v>
      </c>
      <c r="G420" s="46" t="n">
        <f aca="false">IF(G404&gt;=0,G373,99)</f>
        <v>99</v>
      </c>
      <c r="H420" s="46" t="n">
        <f aca="false">IF(H404&gt;=0,H373,99)</f>
        <v>99</v>
      </c>
      <c r="I420" s="46" t="n">
        <f aca="false">IF(I404&gt;=0,I373,99)</f>
        <v>99</v>
      </c>
      <c r="J420" s="46" t="n">
        <f aca="false">IF(J404&gt;=0,J373,99)</f>
        <v>99</v>
      </c>
      <c r="K420" s="46" t="n">
        <f aca="false">IF(K404&gt;=0,K373,99)</f>
        <v>99</v>
      </c>
      <c r="L420" s="46" t="n">
        <f aca="false">IF(L404&gt;=0,L373,99)</f>
        <v>99</v>
      </c>
      <c r="M420" s="46" t="n">
        <f aca="false">IF(M404&gt;=0,M373,99)</f>
        <v>99</v>
      </c>
    </row>
    <row r="421" customFormat="false" ht="15" hidden="false" customHeight="false" outlineLevel="0" collapsed="false">
      <c r="A421" s="9" t="s">
        <v>513</v>
      </c>
      <c r="C421" s="46" t="n">
        <f aca="false">99</f>
        <v>99</v>
      </c>
      <c r="D421" s="46" t="n">
        <f aca="false">IF(D404+D401&gt;=0,D373,99)</f>
        <v>99</v>
      </c>
      <c r="E421" s="46" t="n">
        <f aca="false">IF(E404+E401&gt;=0,E373,99)</f>
        <v>99</v>
      </c>
      <c r="F421" s="46" t="n">
        <f aca="false">IF(F404+F401&gt;=0,F373,99)</f>
        <v>99</v>
      </c>
      <c r="G421" s="46" t="n">
        <f aca="false">IF(G404+G401&gt;=0,G373,99)</f>
        <v>99</v>
      </c>
      <c r="H421" s="46" t="n">
        <f aca="false">IF(H404+H401&gt;=0,H373,99)</f>
        <v>99</v>
      </c>
      <c r="I421" s="46" t="n">
        <f aca="false">IF(I404+I401&gt;=0,I373,99)</f>
        <v>99</v>
      </c>
      <c r="J421" s="46" t="n">
        <f aca="false">IF(J404+J401&gt;=0,J373,99)</f>
        <v>99</v>
      </c>
      <c r="K421" s="46" t="n">
        <f aca="false">IF(K404+K401&gt;=0,K373,99)</f>
        <v>99</v>
      </c>
      <c r="L421" s="46" t="n">
        <f aca="false">IF(L404+L401&gt;=0,L373,99)</f>
        <v>99</v>
      </c>
      <c r="M421" s="46" t="n">
        <f aca="false">IF(M404+M401&gt;=0,M373,99)</f>
        <v>99</v>
      </c>
    </row>
    <row r="422" customFormat="false" ht="15" hidden="false" customHeight="false" outlineLevel="0" collapsed="false">
      <c r="A422" s="9" t="s">
        <v>514</v>
      </c>
      <c r="C422" s="46" t="n">
        <f aca="false">99</f>
        <v>99</v>
      </c>
      <c r="D422" s="46" t="n">
        <f aca="false">IF(D414&gt;=0,D373,99)</f>
        <v>99</v>
      </c>
      <c r="E422" s="46" t="n">
        <f aca="false">IF(E414&gt;=0,E373,99)</f>
        <v>99</v>
      </c>
      <c r="F422" s="46" t="n">
        <f aca="false">IF(F414&gt;=0,F373,99)</f>
        <v>99</v>
      </c>
      <c r="G422" s="46" t="n">
        <f aca="false">IF(G414&gt;=0,G373,99)</f>
        <v>99</v>
      </c>
      <c r="H422" s="46" t="n">
        <f aca="false">IF(H414&gt;=0,H373,99)</f>
        <v>99</v>
      </c>
      <c r="I422" s="46" t="n">
        <f aca="false">IF(I414&gt;=0,I373,99)</f>
        <v>99</v>
      </c>
      <c r="J422" s="46" t="n">
        <f aca="false">IF(J414&gt;=0,J373,99)</f>
        <v>99</v>
      </c>
      <c r="K422" s="46" t="n">
        <f aca="false">IF(K414&gt;=0,K373,99)</f>
        <v>99</v>
      </c>
      <c r="L422" s="46" t="n">
        <f aca="false">IF(L414&gt;=0,L373,99)</f>
        <v>99</v>
      </c>
      <c r="M422" s="46" t="n">
        <f aca="false">IF(M414&gt;=0,M373,99)</f>
        <v>99</v>
      </c>
    </row>
    <row r="423" customFormat="false" ht="15" hidden="false" customHeight="false" outlineLevel="0" collapsed="false">
      <c r="A423" s="9" t="s">
        <v>515</v>
      </c>
      <c r="C423" s="46" t="n">
        <f aca="false">99</f>
        <v>99</v>
      </c>
      <c r="D423" s="46" t="n">
        <f aca="false">IF(D416&gt;=0,D373,99)</f>
        <v>99</v>
      </c>
      <c r="E423" s="46" t="n">
        <f aca="false">IF(E416&gt;=0,E373,99)</f>
        <v>99</v>
      </c>
      <c r="F423" s="46" t="n">
        <f aca="false">IF(F416&gt;=0,F373,99)</f>
        <v>99</v>
      </c>
      <c r="G423" s="46" t="n">
        <f aca="false">IF(G416&gt;=0,G373,99)</f>
        <v>99</v>
      </c>
      <c r="H423" s="46" t="n">
        <f aca="false">IF(H416&gt;=0,H373,99)</f>
        <v>99</v>
      </c>
      <c r="I423" s="46" t="n">
        <f aca="false">IF(I416&gt;=0,I373,99)</f>
        <v>99</v>
      </c>
      <c r="J423" s="46" t="n">
        <f aca="false">IF(J416&gt;=0,J373,99)</f>
        <v>99</v>
      </c>
      <c r="K423" s="46" t="n">
        <f aca="false">IF(K416&gt;=0,K373,99)</f>
        <v>99</v>
      </c>
      <c r="L423" s="46" t="n">
        <f aca="false">IF(L416&gt;=0,L373,99)</f>
        <v>99</v>
      </c>
      <c r="M423" s="46" t="n">
        <f aca="false">IF(M416&gt;=0,M373,99)</f>
        <v>99</v>
      </c>
    </row>
    <row r="424" customFormat="false" ht="15" hidden="false" customHeight="false" outlineLevel="0" collapsed="false">
      <c r="A424" s="9" t="s">
        <v>516</v>
      </c>
      <c r="C424" s="46" t="n">
        <f aca="false">99</f>
        <v>99</v>
      </c>
      <c r="D424" s="46" t="n">
        <f aca="false">IF(D418&gt;=0,D373,99)</f>
        <v>99</v>
      </c>
      <c r="E424" s="46" t="n">
        <f aca="false">IF(E418&gt;=0,E373,99)</f>
        <v>99</v>
      </c>
      <c r="F424" s="46" t="n">
        <f aca="false">IF(F418&gt;=0,F373,99)</f>
        <v>99</v>
      </c>
      <c r="G424" s="46" t="n">
        <f aca="false">IF(G418&gt;=0,G373,99)</f>
        <v>99</v>
      </c>
      <c r="H424" s="46" t="n">
        <f aca="false">IF(H418&gt;=0,H373,99)</f>
        <v>99</v>
      </c>
      <c r="I424" s="46" t="n">
        <f aca="false">IF(I418&gt;=0,I373,99)</f>
        <v>99</v>
      </c>
      <c r="J424" s="46" t="n">
        <f aca="false">IF(J418&gt;=0,J373,99)</f>
        <v>99</v>
      </c>
      <c r="K424" s="46" t="n">
        <f aca="false">IF(K418&gt;=0,K373,99)</f>
        <v>99</v>
      </c>
      <c r="L424" s="46" t="n">
        <f aca="false">IF(L418&gt;=0,L373,99)</f>
        <v>99</v>
      </c>
      <c r="M424" s="46" t="n">
        <f aca="false">IF(M418&gt;=0,M373,99)</f>
        <v>99</v>
      </c>
    </row>
    <row r="425" customFormat="false" ht="15" hidden="false" customHeight="false" outlineLevel="0" collapsed="false">
      <c r="A425" s="4" t="s">
        <v>517</v>
      </c>
      <c r="C425" s="23" t="n">
        <f aca="false">MIN(D420:M420)</f>
        <v>99</v>
      </c>
    </row>
    <row r="426" customFormat="false" ht="15" hidden="false" customHeight="false" outlineLevel="0" collapsed="false">
      <c r="A426" s="9" t="s">
        <v>518</v>
      </c>
      <c r="C426" s="46" t="n">
        <f aca="false">MIN(D421:M421)</f>
        <v>99</v>
      </c>
    </row>
    <row r="427" customFormat="false" ht="15" hidden="false" customHeight="false" outlineLevel="0" collapsed="false">
      <c r="A427" s="4" t="s">
        <v>519</v>
      </c>
      <c r="C427" s="23" t="n">
        <f aca="false">MIN(D422:M422)</f>
        <v>99</v>
      </c>
    </row>
    <row r="428" customFormat="false" ht="15" hidden="false" customHeight="false" outlineLevel="0" collapsed="false">
      <c r="A428" s="9" t="s">
        <v>520</v>
      </c>
      <c r="C428" s="46" t="n">
        <f aca="false">MIN(D423:M423)</f>
        <v>99</v>
      </c>
    </row>
    <row r="429" customFormat="false" ht="15" hidden="false" customHeight="false" outlineLevel="0" collapsed="false">
      <c r="A429" s="9" t="s">
        <v>521</v>
      </c>
      <c r="C429" s="46" t="n">
        <f aca="false">MIN(D424:M424)</f>
        <v>99</v>
      </c>
    </row>
    <row r="430" customFormat="false" ht="15" hidden="false" customHeight="false" outlineLevel="0" collapsed="false">
      <c r="A430" s="4" t="s">
        <v>522</v>
      </c>
      <c r="C430" s="15" t="n">
        <f aca="false">M418</f>
        <v>-11864.5904862781</v>
      </c>
    </row>
    <row r="431" customFormat="false" ht="15" hidden="false" customHeight="false" outlineLevel="0" collapsed="false">
      <c r="A431" s="9" t="s">
        <v>523</v>
      </c>
      <c r="C431" s="36" t="n">
        <f aca="false">SUMPRODUCT(D386:M386,D419:M419)</f>
        <v>295.619684090277</v>
      </c>
    </row>
    <row r="432" customFormat="false" ht="15" hidden="false" customHeight="false" outlineLevel="0" collapsed="false">
      <c r="A432" s="9" t="s">
        <v>524</v>
      </c>
      <c r="C432" s="36" t="n">
        <f aca="false">M386*(1+a_tg)/(lv_wacc-a_tg)</f>
        <v>2240.78941126656</v>
      </c>
    </row>
    <row r="433" customFormat="false" ht="15" hidden="false" customHeight="false" outlineLevel="0" collapsed="false">
      <c r="A433" s="9" t="s">
        <v>314</v>
      </c>
      <c r="C433" s="36" t="n">
        <f aca="false">C432*M419</f>
        <v>660.110451163529</v>
      </c>
    </row>
    <row r="434" customFormat="false" ht="15" hidden="false" customHeight="false" outlineLevel="0" collapsed="false">
      <c r="A434" s="4" t="s">
        <v>525</v>
      </c>
      <c r="C434" s="15" t="n">
        <f aca="false">C431+C433</f>
        <v>955.730135253806</v>
      </c>
    </row>
    <row r="435" customFormat="false" ht="15" hidden="false" customHeight="false" outlineLevel="0" collapsed="false">
      <c r="A435" s="9" t="s">
        <v>526</v>
      </c>
      <c r="C435" s="32" t="n">
        <f aca="false">SUMPRODUCT(D396:M396,D419:M419)-a_recovery*M398*M419</f>
        <v>4069.68260696466</v>
      </c>
    </row>
    <row r="436" customFormat="false" ht="15" hidden="false" customHeight="false" outlineLevel="0" collapsed="false">
      <c r="A436" s="9" t="s">
        <v>527</v>
      </c>
      <c r="C436" s="36" t="n">
        <f aca="false">SUMPRODUCT(D395:M395,D419:M419)*(1-a_tax)</f>
        <v>0</v>
      </c>
    </row>
    <row r="437" customFormat="false" ht="15" hidden="false" customHeight="false" outlineLevel="0" collapsed="false">
      <c r="A437" s="9" t="s">
        <v>528</v>
      </c>
      <c r="C437" s="36" t="n">
        <f aca="false">C394*D419</f>
        <v>141.592920353982</v>
      </c>
    </row>
    <row r="438" customFormat="false" ht="15" hidden="false" customHeight="false" outlineLevel="0" collapsed="false">
      <c r="A438" s="4" t="s">
        <v>529</v>
      </c>
      <c r="C438" s="20" t="n">
        <f aca="false">C434+C436-C435-C437-lv_price</f>
        <v>-7255.54539206484</v>
      </c>
    </row>
    <row r="439" customFormat="false" ht="15" hidden="false" customHeight="false" outlineLevel="0" collapsed="false">
      <c r="A439" s="9" t="s">
        <v>530</v>
      </c>
      <c r="C439" s="32" t="n">
        <f aca="false">C438+SUMPRODUCT(D415:M415,D419:M419)</f>
        <v>-6881.13459222409</v>
      </c>
    </row>
    <row r="440" customFormat="false" ht="15" hidden="false" customHeight="false" outlineLevel="0" collapsed="false">
      <c r="A440" s="4" t="s">
        <v>531</v>
      </c>
      <c r="C440" s="59" t="n">
        <f aca="false">lv_price/D376</f>
        <v>18.9393939393939</v>
      </c>
    </row>
    <row r="441" customFormat="false" ht="15" hidden="false" customHeight="false" outlineLevel="0" collapsed="false">
      <c r="A441" s="9" t="s">
        <v>532</v>
      </c>
      <c r="C441" s="17" t="n">
        <f aca="false">(lv_price+C435)/D376</f>
        <v>38.2087244647948</v>
      </c>
    </row>
    <row r="442" customFormat="false" ht="15" hidden="false" customHeight="false" outlineLevel="0" collapsed="false">
      <c r="A442" s="4" t="s">
        <v>533</v>
      </c>
      <c r="C442" s="15" t="n">
        <f aca="false">(C438+C435)/SUMPRODUCT(D419:M419)</f>
        <v>-587.121237596276</v>
      </c>
    </row>
    <row r="443" customFormat="false" ht="15" hidden="false" customHeight="false" outlineLevel="0" collapsed="false">
      <c r="A443" s="4" t="s">
        <v>534</v>
      </c>
      <c r="C443" s="25" t="n">
        <f aca="false">D406</f>
        <v>5.60783710629921</v>
      </c>
    </row>
    <row r="444" customFormat="false" ht="15" hidden="false" customHeight="false" outlineLevel="0" collapsed="false">
      <c r="A444" s="9" t="s">
        <v>535</v>
      </c>
      <c r="C444" s="50" t="n">
        <f aca="false">F406</f>
        <v>5.3114468503937</v>
      </c>
    </row>
    <row r="445" customFormat="false" ht="15" hidden="false" customHeight="false" outlineLevel="0" collapsed="false">
      <c r="A445" s="4" t="s">
        <v>536</v>
      </c>
      <c r="C445" s="20" t="n">
        <f aca="false">D414</f>
        <v>-1024.916</v>
      </c>
    </row>
    <row r="446" customFormat="false" ht="15" hidden="false" customHeight="false" outlineLevel="0" collapsed="false">
      <c r="A446" s="9" t="s">
        <v>537</v>
      </c>
      <c r="C446" s="32" t="n">
        <f aca="false">cf_cash-lv_mix_cash-C394</f>
        <v>6640</v>
      </c>
    </row>
    <row r="447" customFormat="false" ht="15" hidden="false" customHeight="false" outlineLevel="0" collapsed="false">
      <c r="A447" s="9" t="s">
        <v>538</v>
      </c>
      <c r="C447" s="32" t="n">
        <f aca="false">cf_debt+lv_mix_debt</f>
        <v>350</v>
      </c>
    </row>
    <row r="448" customFormat="false" ht="15" hidden="false" customHeight="false" outlineLevel="0" collapsed="false">
      <c r="A448" s="9" t="s">
        <v>539</v>
      </c>
      <c r="C448" s="34" t="n">
        <f aca="false">C447/cf_ebitda</f>
        <v>0.546875</v>
      </c>
    </row>
    <row r="449" customFormat="false" ht="15" hidden="false" customHeight="false" outlineLevel="0" collapsed="false">
      <c r="A449" s="9" t="s">
        <v>540</v>
      </c>
      <c r="C449" s="32" t="n">
        <f aca="false">C446+SUM(D417:F417)+3*cf_pat</f>
        <v>5402.11472</v>
      </c>
    </row>
    <row r="451" customFormat="false" ht="15" hidden="false" customHeight="false" outlineLevel="0" collapsed="false">
      <c r="A451" s="7" t="s">
        <v>647</v>
      </c>
      <c r="B451" s="8"/>
      <c r="C451" s="8"/>
      <c r="D451" s="8"/>
      <c r="E451" s="8"/>
      <c r="F451" s="8"/>
      <c r="G451" s="8"/>
      <c r="H451" s="8"/>
      <c r="I451" s="8"/>
      <c r="J451" s="8"/>
      <c r="K451" s="8"/>
      <c r="L451" s="8"/>
      <c r="M451" s="8"/>
      <c r="N451" s="8"/>
    </row>
    <row r="452" customFormat="false" ht="15" hidden="false" customHeight="false" outlineLevel="0" collapsed="false">
      <c r="A452" s="4" t="s">
        <v>284</v>
      </c>
      <c r="C452" s="39" t="n">
        <v>0</v>
      </c>
      <c r="D452" s="39" t="n">
        <v>1</v>
      </c>
      <c r="E452" s="39" t="n">
        <v>2</v>
      </c>
      <c r="F452" s="39" t="n">
        <v>3</v>
      </c>
      <c r="G452" s="39" t="n">
        <v>4</v>
      </c>
      <c r="H452" s="39" t="n">
        <v>5</v>
      </c>
      <c r="I452" s="39" t="n">
        <v>6</v>
      </c>
      <c r="J452" s="39" t="n">
        <v>7</v>
      </c>
      <c r="K452" s="39" t="n">
        <v>8</v>
      </c>
      <c r="L452" s="39" t="n">
        <v>9</v>
      </c>
      <c r="M452" s="39" t="n">
        <v>10</v>
      </c>
    </row>
    <row r="453" customFormat="false" ht="15" hidden="false" customHeight="false" outlineLevel="0" collapsed="false">
      <c r="A453" s="9" t="s">
        <v>285</v>
      </c>
      <c r="C453" s="40" t="n">
        <f aca="false">cf_arr</f>
        <v>220</v>
      </c>
      <c r="D453" s="36" t="n">
        <f aca="false">C453*(1+lv_g)</f>
        <v>264</v>
      </c>
      <c r="E453" s="36" t="n">
        <f aca="false">D453*(1+lv_g)</f>
        <v>316.8</v>
      </c>
      <c r="F453" s="36" t="n">
        <f aca="false">E453*(1+lv_g)</f>
        <v>380.16</v>
      </c>
      <c r="G453" s="36" t="n">
        <f aca="false">F453*(1+lv_g)</f>
        <v>456.192</v>
      </c>
      <c r="H453" s="36" t="n">
        <f aca="false">G453*(1+lv_g)</f>
        <v>547.4304</v>
      </c>
      <c r="I453" s="36" t="n">
        <f aca="false">H453*(1+lv_g)</f>
        <v>656.91648</v>
      </c>
      <c r="J453" s="36" t="n">
        <f aca="false">I453*(1+lv_g)</f>
        <v>788.299776</v>
      </c>
      <c r="K453" s="36" t="n">
        <f aca="false">J453*(1+lv_g)</f>
        <v>945.9597312</v>
      </c>
      <c r="L453" s="36" t="n">
        <f aca="false">K453*(1+lv_g)</f>
        <v>1135.15167744</v>
      </c>
      <c r="M453" s="36" t="n">
        <f aca="false">L453*(1+lv_g)</f>
        <v>1362.182012928</v>
      </c>
    </row>
    <row r="454" customFormat="false" ht="15" hidden="false" customHeight="false" outlineLevel="0" collapsed="false">
      <c r="A454" s="9" t="s">
        <v>286</v>
      </c>
      <c r="C454" s="18" t="n">
        <f aca="false">1</f>
        <v>1</v>
      </c>
      <c r="D454" s="18" t="n">
        <f aca="false">IF(D452&gt;=a_churn_year,1-Churn!$A$15,1)</f>
        <v>0.8</v>
      </c>
      <c r="E454" s="18" t="n">
        <f aca="false">IF(E452&gt;=a_churn_year,1-Churn!$A$15,1)</f>
        <v>0.8</v>
      </c>
      <c r="F454" s="18" t="n">
        <f aca="false">IF(F452&gt;=a_churn_year,1-Churn!$A$15,1)</f>
        <v>0.8</v>
      </c>
      <c r="G454" s="18" t="n">
        <f aca="false">IF(G452&gt;=a_churn_year,1-Churn!$A$15,1)</f>
        <v>0.8</v>
      </c>
      <c r="H454" s="18" t="n">
        <f aca="false">IF(H452&gt;=a_churn_year,1-Churn!$A$15,1)</f>
        <v>0.8</v>
      </c>
      <c r="I454" s="18" t="n">
        <f aca="false">IF(I452&gt;=a_churn_year,1-Churn!$A$15,1)</f>
        <v>0.8</v>
      </c>
      <c r="J454" s="18" t="n">
        <f aca="false">IF(J452&gt;=a_churn_year,1-Churn!$A$15,1)</f>
        <v>0.8</v>
      </c>
      <c r="K454" s="18" t="n">
        <f aca="false">IF(K452&gt;=a_churn_year,1-Churn!$A$15,1)</f>
        <v>0.8</v>
      </c>
      <c r="L454" s="18" t="n">
        <f aca="false">IF(L452&gt;=a_churn_year,1-Churn!$A$15,1)</f>
        <v>0.8</v>
      </c>
      <c r="M454" s="18" t="n">
        <f aca="false">IF(M452&gt;=a_churn_year,1-Churn!$A$15,1)</f>
        <v>0.8</v>
      </c>
    </row>
    <row r="455" customFormat="false" ht="15" hidden="false" customHeight="false" outlineLevel="0" collapsed="false">
      <c r="A455" s="4" t="s">
        <v>287</v>
      </c>
      <c r="C455" s="41" t="n">
        <f aca="false">C453*C454</f>
        <v>220</v>
      </c>
      <c r="D455" s="41" t="n">
        <f aca="false">D453*D454</f>
        <v>211.2</v>
      </c>
      <c r="E455" s="41" t="n">
        <f aca="false">E453*E454</f>
        <v>253.44</v>
      </c>
      <c r="F455" s="41" t="n">
        <f aca="false">F453*F454</f>
        <v>304.128</v>
      </c>
      <c r="G455" s="41" t="n">
        <f aca="false">G453*G454</f>
        <v>364.9536</v>
      </c>
      <c r="H455" s="41" t="n">
        <f aca="false">H453*H454</f>
        <v>437.94432</v>
      </c>
      <c r="I455" s="41" t="n">
        <f aca="false">I453*I454</f>
        <v>525.533184</v>
      </c>
      <c r="J455" s="41" t="n">
        <f aca="false">J453*J454</f>
        <v>630.6398208</v>
      </c>
      <c r="K455" s="41" t="n">
        <f aca="false">K453*K454</f>
        <v>756.76778496</v>
      </c>
      <c r="L455" s="41" t="n">
        <f aca="false">L453*L454</f>
        <v>908.121341952</v>
      </c>
      <c r="M455" s="41" t="n">
        <f aca="false">M453*M454</f>
        <v>1089.7456103424</v>
      </c>
    </row>
    <row r="456" customFormat="false" ht="15" hidden="false" customHeight="false" outlineLevel="0" collapsed="false">
      <c r="A456" s="9" t="s">
        <v>288</v>
      </c>
      <c r="C456" s="18" t="n">
        <f aca="false">MIN(a_m0+a_mstep*C452,a_mcap)</f>
        <v>0</v>
      </c>
      <c r="D456" s="18" t="n">
        <f aca="false">MIN(a_m0+a_mstep*D452,a_mcap)</f>
        <v>0.05</v>
      </c>
      <c r="E456" s="18" t="n">
        <f aca="false">MIN(a_m0+a_mstep*E452,a_mcap)</f>
        <v>0.1</v>
      </c>
      <c r="F456" s="18" t="n">
        <f aca="false">MIN(a_m0+a_mstep*F452,a_mcap)</f>
        <v>0.15</v>
      </c>
      <c r="G456" s="18" t="n">
        <f aca="false">MIN(a_m0+a_mstep*G452,a_mcap)</f>
        <v>0.2</v>
      </c>
      <c r="H456" s="18" t="n">
        <f aca="false">MIN(a_m0+a_mstep*H452,a_mcap)</f>
        <v>0.25</v>
      </c>
      <c r="I456" s="18" t="n">
        <f aca="false">MIN(a_m0+a_mstep*I452,a_mcap)</f>
        <v>0.25</v>
      </c>
      <c r="J456" s="18" t="n">
        <f aca="false">MIN(a_m0+a_mstep*J452,a_mcap)</f>
        <v>0.25</v>
      </c>
      <c r="K456" s="18" t="n">
        <f aca="false">MIN(a_m0+a_mstep*K452,a_mcap)</f>
        <v>0.25</v>
      </c>
      <c r="L456" s="18" t="n">
        <f aca="false">MIN(a_m0+a_mstep*L452,a_mcap)</f>
        <v>0.25</v>
      </c>
      <c r="M456" s="18" t="n">
        <f aca="false">MIN(a_m0+a_mstep*M452,a_mcap)</f>
        <v>0.25</v>
      </c>
    </row>
    <row r="457" customFormat="false" ht="15" hidden="false" customHeight="false" outlineLevel="0" collapsed="false">
      <c r="A457" s="9" t="s">
        <v>289</v>
      </c>
      <c r="C457" s="36" t="n">
        <f aca="false">IF(C452=a_churn_year,a_sticky*(C453-C455)*(1-C456),0)</f>
        <v>0</v>
      </c>
      <c r="D457" s="36" t="n">
        <f aca="false">IF(D452=a_churn_year,a_sticky*(D453-D455)*(1-D456),0)</f>
        <v>25.08</v>
      </c>
      <c r="E457" s="36" t="n">
        <f aca="false">IF(E452=a_churn_year,a_sticky*(E453-E455)*(1-E456),0)</f>
        <v>0</v>
      </c>
      <c r="F457" s="36" t="n">
        <f aca="false">IF(F452=a_churn_year,a_sticky*(F453-F455)*(1-F456),0)</f>
        <v>0</v>
      </c>
      <c r="G457" s="36" t="n">
        <f aca="false">IF(G452=a_churn_year,a_sticky*(G453-G455)*(1-G456),0)</f>
        <v>0</v>
      </c>
      <c r="H457" s="36" t="n">
        <f aca="false">IF(H452=a_churn_year,a_sticky*(H453-H455)*(1-H456),0)</f>
        <v>0</v>
      </c>
      <c r="I457" s="36" t="n">
        <f aca="false">IF(I452=a_churn_year,a_sticky*(I453-I455)*(1-I456),0)</f>
        <v>0</v>
      </c>
      <c r="J457" s="36" t="n">
        <f aca="false">IF(J452=a_churn_year,a_sticky*(J453-J455)*(1-J456),0)</f>
        <v>0</v>
      </c>
      <c r="K457" s="36" t="n">
        <f aca="false">IF(K452=a_churn_year,a_sticky*(K453-K455)*(1-K456),0)</f>
        <v>0</v>
      </c>
      <c r="L457" s="36" t="n">
        <f aca="false">IF(L452=a_churn_year,a_sticky*(L453-L455)*(1-L456),0)</f>
        <v>0</v>
      </c>
      <c r="M457" s="36" t="n">
        <f aca="false">IF(M452=a_churn_year,a_sticky*(M453-M455)*(1-M456),0)</f>
        <v>0</v>
      </c>
    </row>
    <row r="458" customFormat="false" ht="15" hidden="false" customHeight="false" outlineLevel="0" collapsed="false">
      <c r="A458" s="4" t="s">
        <v>290</v>
      </c>
      <c r="C458" s="41" t="n">
        <f aca="false">C455*C456-C457</f>
        <v>0</v>
      </c>
      <c r="D458" s="41" t="n">
        <f aca="false">D455*D456-D457</f>
        <v>-14.52</v>
      </c>
      <c r="E458" s="41" t="n">
        <f aca="false">E455*E456-E457</f>
        <v>25.344</v>
      </c>
      <c r="F458" s="41" t="n">
        <f aca="false">F455*F456-F457</f>
        <v>45.6192</v>
      </c>
      <c r="G458" s="41" t="n">
        <f aca="false">G455*G456-G457</f>
        <v>72.99072</v>
      </c>
      <c r="H458" s="41" t="n">
        <f aca="false">H455*H456-H457</f>
        <v>109.48608</v>
      </c>
      <c r="I458" s="41" t="n">
        <f aca="false">I455*I456-I457</f>
        <v>131.383296</v>
      </c>
      <c r="J458" s="41" t="n">
        <f aca="false">J455*J456-J457</f>
        <v>157.6599552</v>
      </c>
      <c r="K458" s="41" t="n">
        <f aca="false">K455*K456-K457</f>
        <v>189.19194624</v>
      </c>
      <c r="L458" s="41" t="n">
        <f aca="false">L455*L456-L457</f>
        <v>227.030335488</v>
      </c>
      <c r="M458" s="41" t="n">
        <f aca="false">M455*M456-M457</f>
        <v>272.4364025856</v>
      </c>
    </row>
    <row r="459" customFormat="false" ht="15" hidden="false" customHeight="false" outlineLevel="0" collapsed="false">
      <c r="A459" s="9" t="s">
        <v>291</v>
      </c>
      <c r="C459" s="36" t="n">
        <f aca="false">C455*a_da</f>
        <v>6.6</v>
      </c>
      <c r="D459" s="36" t="n">
        <f aca="false">D455*a_da</f>
        <v>6.336</v>
      </c>
      <c r="E459" s="36" t="n">
        <f aca="false">E455*a_da</f>
        <v>7.6032</v>
      </c>
      <c r="F459" s="36" t="n">
        <f aca="false">F455*a_da</f>
        <v>9.12384</v>
      </c>
      <c r="G459" s="36" t="n">
        <f aca="false">G455*a_da</f>
        <v>10.948608</v>
      </c>
      <c r="H459" s="36" t="n">
        <f aca="false">H455*a_da</f>
        <v>13.1383296</v>
      </c>
      <c r="I459" s="36" t="n">
        <f aca="false">I455*a_da</f>
        <v>15.76599552</v>
      </c>
      <c r="J459" s="36" t="n">
        <f aca="false">J455*a_da</f>
        <v>18.919194624</v>
      </c>
      <c r="K459" s="36" t="n">
        <f aca="false">K455*a_da</f>
        <v>22.7030335488</v>
      </c>
      <c r="L459" s="36" t="n">
        <f aca="false">L455*a_da</f>
        <v>27.24364025856</v>
      </c>
      <c r="M459" s="36" t="n">
        <f aca="false">M455*a_da</f>
        <v>32.692368310272</v>
      </c>
    </row>
    <row r="460" customFormat="false" ht="15" hidden="false" customHeight="false" outlineLevel="0" collapsed="false">
      <c r="A460" s="9" t="s">
        <v>292</v>
      </c>
      <c r="C460" s="36" t="n">
        <f aca="false">C458-C459</f>
        <v>-6.6</v>
      </c>
      <c r="D460" s="36" t="n">
        <f aca="false">D458-D459</f>
        <v>-20.856</v>
      </c>
      <c r="E460" s="36" t="n">
        <f aca="false">E458-E459</f>
        <v>17.7408</v>
      </c>
      <c r="F460" s="36" t="n">
        <f aca="false">F458-F459</f>
        <v>36.49536</v>
      </c>
      <c r="G460" s="36" t="n">
        <f aca="false">G458-G459</f>
        <v>62.042112</v>
      </c>
      <c r="H460" s="36" t="n">
        <f aca="false">H458-H459</f>
        <v>96.3477504</v>
      </c>
      <c r="I460" s="36" t="n">
        <f aca="false">I458-I459</f>
        <v>115.61730048</v>
      </c>
      <c r="J460" s="36" t="n">
        <f aca="false">J458-J459</f>
        <v>138.740760576</v>
      </c>
      <c r="K460" s="36" t="n">
        <f aca="false">K458-K459</f>
        <v>166.4889126912</v>
      </c>
      <c r="L460" s="36" t="n">
        <f aca="false">L458-L459</f>
        <v>199.78669522944</v>
      </c>
      <c r="M460" s="36" t="n">
        <f aca="false">M458-M459</f>
        <v>239.744034275328</v>
      </c>
    </row>
    <row r="461" customFormat="false" ht="15" hidden="false" customHeight="false" outlineLevel="0" collapsed="false">
      <c r="A461" s="9" t="s">
        <v>293</v>
      </c>
      <c r="C461" s="36" t="n">
        <f aca="false">MAX(0,C460)*a_tax</f>
        <v>0</v>
      </c>
      <c r="D461" s="36" t="n">
        <f aca="false">MAX(0,D460)*a_tax</f>
        <v>0</v>
      </c>
      <c r="E461" s="36" t="n">
        <f aca="false">MAX(0,E460)*a_tax</f>
        <v>4.4352</v>
      </c>
      <c r="F461" s="36" t="n">
        <f aca="false">MAX(0,F460)*a_tax</f>
        <v>9.12384</v>
      </c>
      <c r="G461" s="36" t="n">
        <f aca="false">MAX(0,G460)*a_tax</f>
        <v>15.510528</v>
      </c>
      <c r="H461" s="36" t="n">
        <f aca="false">MAX(0,H460)*a_tax</f>
        <v>24.0869376</v>
      </c>
      <c r="I461" s="36" t="n">
        <f aca="false">MAX(0,I460)*a_tax</f>
        <v>28.90432512</v>
      </c>
      <c r="J461" s="36" t="n">
        <f aca="false">MAX(0,J460)*a_tax</f>
        <v>34.685190144</v>
      </c>
      <c r="K461" s="36" t="n">
        <f aca="false">MAX(0,K460)*a_tax</f>
        <v>41.6222281728</v>
      </c>
      <c r="L461" s="36" t="n">
        <f aca="false">MAX(0,L460)*a_tax</f>
        <v>49.94667380736</v>
      </c>
      <c r="M461" s="36" t="n">
        <f aca="false">MAX(0,M460)*a_tax</f>
        <v>59.936008568832</v>
      </c>
    </row>
    <row r="462" customFormat="false" ht="15" hidden="false" customHeight="false" outlineLevel="0" collapsed="false">
      <c r="A462" s="4" t="s">
        <v>294</v>
      </c>
      <c r="C462" s="42" t="n">
        <f aca="false">cf_lim_pat</f>
        <v>0</v>
      </c>
      <c r="D462" s="41" t="n">
        <f aca="false">D460-D461</f>
        <v>-20.856</v>
      </c>
      <c r="E462" s="41" t="n">
        <f aca="false">E460-E461</f>
        <v>13.3056</v>
      </c>
      <c r="F462" s="41" t="n">
        <f aca="false">F460-F461</f>
        <v>27.37152</v>
      </c>
      <c r="G462" s="41" t="n">
        <f aca="false">G460-G461</f>
        <v>46.531584</v>
      </c>
      <c r="H462" s="41" t="n">
        <f aca="false">H460-H461</f>
        <v>72.2608128</v>
      </c>
      <c r="I462" s="41" t="n">
        <f aca="false">I460-I461</f>
        <v>86.71297536</v>
      </c>
      <c r="J462" s="41" t="n">
        <f aca="false">J460-J461</f>
        <v>104.055570432</v>
      </c>
      <c r="K462" s="41" t="n">
        <f aca="false">K460-K461</f>
        <v>124.8666845184</v>
      </c>
      <c r="L462" s="41" t="n">
        <f aca="false">L460-L461</f>
        <v>149.84002142208</v>
      </c>
      <c r="M462" s="41" t="n">
        <f aca="false">M460-M461</f>
        <v>179.808025706496</v>
      </c>
    </row>
    <row r="463" customFormat="false" ht="15" hidden="false" customHeight="false" outlineLevel="0" collapsed="false">
      <c r="A463" s="9" t="s">
        <v>295</v>
      </c>
      <c r="C463" s="36" t="n">
        <f aca="false">C455*a_capex</f>
        <v>6.6</v>
      </c>
      <c r="D463" s="36" t="n">
        <f aca="false">D455*a_capex</f>
        <v>6.336</v>
      </c>
      <c r="E463" s="36" t="n">
        <f aca="false">E455*a_capex</f>
        <v>7.6032</v>
      </c>
      <c r="F463" s="36" t="n">
        <f aca="false">F455*a_capex</f>
        <v>9.12384</v>
      </c>
      <c r="G463" s="36" t="n">
        <f aca="false">G455*a_capex</f>
        <v>10.948608</v>
      </c>
      <c r="H463" s="36" t="n">
        <f aca="false">H455*a_capex</f>
        <v>13.1383296</v>
      </c>
      <c r="I463" s="36" t="n">
        <f aca="false">I455*a_capex</f>
        <v>15.76599552</v>
      </c>
      <c r="J463" s="36" t="n">
        <f aca="false">J455*a_capex</f>
        <v>18.919194624</v>
      </c>
      <c r="K463" s="36" t="n">
        <f aca="false">K455*a_capex</f>
        <v>22.7030335488</v>
      </c>
      <c r="L463" s="36" t="n">
        <f aca="false">L455*a_capex</f>
        <v>27.24364025856</v>
      </c>
      <c r="M463" s="36" t="n">
        <f aca="false">M455*a_capex</f>
        <v>32.692368310272</v>
      </c>
    </row>
    <row r="464" customFormat="false" ht="15" hidden="false" customHeight="false" outlineLevel="0" collapsed="false">
      <c r="A464" s="9" t="s">
        <v>296</v>
      </c>
      <c r="C464" s="36" t="n">
        <f aca="false">0</f>
        <v>0</v>
      </c>
      <c r="D464" s="36" t="n">
        <f aca="false">a_wc*(D455-C455)</f>
        <v>-0.439999999999999</v>
      </c>
      <c r="E464" s="36" t="n">
        <f aca="false">a_wc*(E455-D455)</f>
        <v>2.112</v>
      </c>
      <c r="F464" s="36" t="n">
        <f aca="false">a_wc*(F455-E455)</f>
        <v>2.5344</v>
      </c>
      <c r="G464" s="36" t="n">
        <f aca="false">a_wc*(G455-F455)</f>
        <v>3.04128</v>
      </c>
      <c r="H464" s="36" t="n">
        <f aca="false">a_wc*(H455-G455)</f>
        <v>3.649536</v>
      </c>
      <c r="I464" s="36" t="n">
        <f aca="false">a_wc*(I455-H455)</f>
        <v>4.3794432</v>
      </c>
      <c r="J464" s="36" t="n">
        <f aca="false">a_wc*(J455-I455)</f>
        <v>5.25533184</v>
      </c>
      <c r="K464" s="36" t="n">
        <f aca="false">a_wc*(K455-J455)</f>
        <v>6.306398208</v>
      </c>
      <c r="L464" s="36" t="n">
        <f aca="false">a_wc*(L455-K455)</f>
        <v>7.5676778496</v>
      </c>
      <c r="M464" s="36" t="n">
        <f aca="false">a_wc*(M455-L455)</f>
        <v>9.08121341952</v>
      </c>
    </row>
    <row r="465" customFormat="false" ht="15" hidden="false" customHeight="false" outlineLevel="0" collapsed="false">
      <c r="A465" s="4" t="s">
        <v>297</v>
      </c>
      <c r="C465" s="36" t="n">
        <f aca="false">0</f>
        <v>0</v>
      </c>
      <c r="D465" s="41" t="n">
        <f aca="false">D462+D459-D463-D464</f>
        <v>-20.416</v>
      </c>
      <c r="E465" s="41" t="n">
        <f aca="false">E462+E459-E463-E464</f>
        <v>11.1936</v>
      </c>
      <c r="F465" s="41" t="n">
        <f aca="false">F462+F459-F463-F464</f>
        <v>24.83712</v>
      </c>
      <c r="G465" s="41" t="n">
        <f aca="false">G462+G459-G463-G464</f>
        <v>43.490304</v>
      </c>
      <c r="H465" s="41" t="n">
        <f aca="false">H462+H459-H463-H464</f>
        <v>68.6112768</v>
      </c>
      <c r="I465" s="41" t="n">
        <f aca="false">I462+I459-I463-I464</f>
        <v>82.33353216</v>
      </c>
      <c r="J465" s="41" t="n">
        <f aca="false">J462+J459-J463-J464</f>
        <v>98.800238592</v>
      </c>
      <c r="K465" s="41" t="n">
        <f aca="false">K462+K459-K463-K464</f>
        <v>118.5602863104</v>
      </c>
      <c r="L465" s="41" t="n">
        <f aca="false">L462+L459-L463-L464</f>
        <v>142.27234357248</v>
      </c>
      <c r="M465" s="41" t="n">
        <f aca="false">M462+M459-M463-M464</f>
        <v>170.726812286976</v>
      </c>
    </row>
    <row r="467" customFormat="false" ht="15" hidden="false" customHeight="false" outlineLevel="0" collapsed="false">
      <c r="A467" s="7" t="s">
        <v>648</v>
      </c>
      <c r="B467" s="8"/>
      <c r="C467" s="8"/>
      <c r="D467" s="8"/>
      <c r="E467" s="8"/>
      <c r="F467" s="8"/>
      <c r="G467" s="8"/>
      <c r="H467" s="8"/>
      <c r="I467" s="8"/>
      <c r="J467" s="8"/>
      <c r="K467" s="8"/>
      <c r="L467" s="8"/>
      <c r="M467" s="8"/>
      <c r="N467" s="8"/>
    </row>
    <row r="468" customFormat="false" ht="15" hidden="false" customHeight="false" outlineLevel="0" collapsed="false">
      <c r="A468" s="9" t="s">
        <v>482</v>
      </c>
      <c r="C468" s="35" t="n">
        <f aca="false">lv_mix_eq/(c_price*(1-a_issue_disc))</f>
        <v>1.024</v>
      </c>
    </row>
    <row r="469" customFormat="false" ht="15" hidden="false" customHeight="false" outlineLevel="0" collapsed="false">
      <c r="A469" s="9" t="s">
        <v>449</v>
      </c>
      <c r="C469" s="35" t="n">
        <f aca="false">cf_shares+C468</f>
        <v>65.024</v>
      </c>
    </row>
    <row r="470" customFormat="false" ht="15" hidden="false" customHeight="false" outlineLevel="0" collapsed="false">
      <c r="A470" s="9" t="s">
        <v>483</v>
      </c>
      <c r="C470" s="36" t="n">
        <f aca="false">lv_mix_cash*a_yield*(1-a_tax)+lv_mix_debt*a_kd*(1-a_tax)</f>
        <v>94.5</v>
      </c>
    </row>
    <row r="471" customFormat="false" ht="15" hidden="false" customHeight="false" outlineLevel="0" collapsed="false">
      <c r="A471" s="9" t="s">
        <v>484</v>
      </c>
      <c r="C471" s="36" t="n">
        <f aca="false">lv_price*a_ppa_share/a_ppa_life*(1-a_tax)</f>
        <v>93.75</v>
      </c>
    </row>
    <row r="472" customFormat="false" ht="15" hidden="false" customHeight="false" outlineLevel="0" collapsed="false">
      <c r="A472" s="9" t="s">
        <v>485</v>
      </c>
      <c r="C472" s="36" t="n">
        <f aca="false">a_ppa_on*C471</f>
        <v>0</v>
      </c>
    </row>
    <row r="473" customFormat="false" ht="15" hidden="false" customHeight="false" outlineLevel="0" collapsed="false">
      <c r="A473" s="9" t="s">
        <v>486</v>
      </c>
      <c r="C473" s="36" t="n">
        <f aca="false">lv_price*a_fees_pct+a_integ_full</f>
        <v>160</v>
      </c>
    </row>
    <row r="474" customFormat="false" ht="15" hidden="false" customHeight="false" outlineLevel="0" collapsed="false">
      <c r="A474" s="9" t="s">
        <v>487</v>
      </c>
      <c r="C474" s="36" t="n">
        <f aca="false">0</f>
        <v>0</v>
      </c>
      <c r="D474" s="36" t="n">
        <f aca="false">a_syn_on*(a_syn_partner_rev_y3+a_syn_xsell_y3)*a_mcap*IF(D452=1,a_syn_ramp1,IF(D452=2,a_syn_ramp2,1))+a_syn_on*IF(D452&gt;=2,a_syn_cost,0)</f>
        <v>0</v>
      </c>
      <c r="E474" s="36" t="n">
        <f aca="false">a_syn_on*(a_syn_partner_rev_y3+a_syn_xsell_y3)*a_mcap*IF(E452=1,a_syn_ramp1,IF(E452=2,a_syn_ramp2,1))+a_syn_on*IF(E452&gt;=2,a_syn_cost,0)</f>
        <v>0</v>
      </c>
      <c r="F474" s="36" t="n">
        <f aca="false">a_syn_on*(a_syn_partner_rev_y3+a_syn_xsell_y3)*a_mcap*IF(F452=1,a_syn_ramp1,IF(F452=2,a_syn_ramp2,1))+a_syn_on*IF(F452&gt;=2,a_syn_cost,0)</f>
        <v>0</v>
      </c>
      <c r="G474" s="36" t="n">
        <f aca="false">a_syn_on*(a_syn_partner_rev_y3+a_syn_xsell_y3)*a_mcap*IF(G452=1,a_syn_ramp1,IF(G452=2,a_syn_ramp2,1))+a_syn_on*IF(G452&gt;=2,a_syn_cost,0)</f>
        <v>0</v>
      </c>
      <c r="H474" s="36" t="n">
        <f aca="false">a_syn_on*(a_syn_partner_rev_y3+a_syn_xsell_y3)*a_mcap*IF(H452=1,a_syn_ramp1,IF(H452=2,a_syn_ramp2,1))+a_syn_on*IF(H452&gt;=2,a_syn_cost,0)</f>
        <v>0</v>
      </c>
      <c r="I474" s="36" t="n">
        <f aca="false">a_syn_on*(a_syn_partner_rev_y3+a_syn_xsell_y3)*a_mcap*IF(I452=1,a_syn_ramp1,IF(I452=2,a_syn_ramp2,1))+a_syn_on*IF(I452&gt;=2,a_syn_cost,0)</f>
        <v>0</v>
      </c>
      <c r="J474" s="36" t="n">
        <f aca="false">a_syn_on*(a_syn_partner_rev_y3+a_syn_xsell_y3)*a_mcap*IF(J452=1,a_syn_ramp1,IF(J452=2,a_syn_ramp2,1))+a_syn_on*IF(J452&gt;=2,a_syn_cost,0)</f>
        <v>0</v>
      </c>
      <c r="K474" s="36" t="n">
        <f aca="false">a_syn_on*(a_syn_partner_rev_y3+a_syn_xsell_y3)*a_mcap*IF(K452=1,a_syn_ramp1,IF(K452=2,a_syn_ramp2,1))+a_syn_on*IF(K452&gt;=2,a_syn_cost,0)</f>
        <v>0</v>
      </c>
      <c r="L474" s="36" t="n">
        <f aca="false">a_syn_on*(a_syn_partner_rev_y3+a_syn_xsell_y3)*a_mcap*IF(L452=1,a_syn_ramp1,IF(L452=2,a_syn_ramp2,1))+a_syn_on*IF(L452&gt;=2,a_syn_cost,0)</f>
        <v>0</v>
      </c>
      <c r="M474" s="36" t="n">
        <f aca="false">a_syn_on*(a_syn_partner_rev_y3+a_syn_xsell_y3)*a_mcap*IF(M452=1,a_syn_ramp1,IF(M452=2,a_syn_ramp2,1))+a_syn_on*IF(M452&gt;=2,a_syn_cost,0)</f>
        <v>0</v>
      </c>
    </row>
    <row r="475" customFormat="false" ht="15" hidden="false" customHeight="false" outlineLevel="0" collapsed="false">
      <c r="A475" s="9" t="s">
        <v>488</v>
      </c>
      <c r="C475" s="36" t="n">
        <f aca="false">0</f>
        <v>0</v>
      </c>
      <c r="D475" s="36" t="n">
        <f aca="false">CHOOSE(lv_drag_mode,0,0*D455/cf_arr,0*(1-a_tax))</f>
        <v>0</v>
      </c>
      <c r="E475" s="36" t="n">
        <f aca="false">CHOOSE(lv_drag_mode,0,0*E455/cf_arr,0*(1-a_tax))</f>
        <v>0</v>
      </c>
      <c r="F475" s="36" t="n">
        <f aca="false">CHOOSE(lv_drag_mode,0,0*F455/cf_arr,0*(1-a_tax))</f>
        <v>0</v>
      </c>
      <c r="G475" s="36" t="n">
        <f aca="false">CHOOSE(lv_drag_mode,0,0*G455/cf_arr,0*(1-a_tax))</f>
        <v>0</v>
      </c>
      <c r="H475" s="36" t="n">
        <f aca="false">CHOOSE(lv_drag_mode,0,0*H455/cf_arr,0*(1-a_tax))</f>
        <v>0</v>
      </c>
      <c r="I475" s="36" t="n">
        <f aca="false">CHOOSE(lv_drag_mode,0,0*I455/cf_arr,0*(1-a_tax))</f>
        <v>0</v>
      </c>
      <c r="J475" s="36" t="n">
        <f aca="false">CHOOSE(lv_drag_mode,0,0*J455/cf_arr,0*(1-a_tax))</f>
        <v>0</v>
      </c>
      <c r="K475" s="36" t="n">
        <f aca="false">CHOOSE(lv_drag_mode,0,0*K455/cf_arr,0*(1-a_tax))</f>
        <v>0</v>
      </c>
      <c r="L475" s="36" t="n">
        <f aca="false">CHOOSE(lv_drag_mode,0,0*L455/cf_arr,0*(1-a_tax))</f>
        <v>0</v>
      </c>
      <c r="M475" s="36" t="n">
        <f aca="false">CHOOSE(lv_drag_mode,0,0*M455/cf_arr,0*(1-a_tax))</f>
        <v>0</v>
      </c>
    </row>
    <row r="476" customFormat="false" ht="15" hidden="false" customHeight="false" outlineLevel="0" collapsed="false">
      <c r="A476" s="9" t="s">
        <v>489</v>
      </c>
      <c r="C476" s="36" t="n">
        <f aca="false">0</f>
        <v>0</v>
      </c>
      <c r="D476" s="36" t="n">
        <f aca="false">IF(lv_drag_mode=3,0*(1-a_tax),0)</f>
        <v>0</v>
      </c>
      <c r="E476" s="36" t="n">
        <f aca="false">IF(lv_drag_mode=3,0*(1-a_tax),0)</f>
        <v>0</v>
      </c>
      <c r="F476" s="36" t="n">
        <f aca="false">IF(lv_drag_mode=3,0*(1-a_tax),0)</f>
        <v>0</v>
      </c>
      <c r="G476" s="36" t="n">
        <f aca="false">IF(lv_drag_mode=3,0*(1-a_tax),0)</f>
        <v>0</v>
      </c>
      <c r="H476" s="36" t="n">
        <f aca="false">IF(lv_drag_mode=3,0*(1-a_tax),0)</f>
        <v>0</v>
      </c>
      <c r="I476" s="36" t="n">
        <f aca="false">IF(lv_drag_mode=3,0*(1-a_tax),0)</f>
        <v>0</v>
      </c>
      <c r="J476" s="36" t="n">
        <f aca="false">IF(lv_drag_mode=3,0*(1-a_tax),0)</f>
        <v>0</v>
      </c>
      <c r="K476" s="36" t="n">
        <f aca="false">IF(lv_drag_mode=3,0*(1-a_tax),0)</f>
        <v>0</v>
      </c>
      <c r="L476" s="36" t="n">
        <f aca="false">IF(lv_drag_mode=3,0*(1-a_tax),0)</f>
        <v>0</v>
      </c>
      <c r="M476" s="36" t="n">
        <f aca="false">IF(lv_drag_mode=3,0*(1-a_tax),0)</f>
        <v>0</v>
      </c>
    </row>
    <row r="477" customFormat="false" ht="15" hidden="false" customHeight="false" outlineLevel="0" collapsed="false">
      <c r="A477" s="9" t="s">
        <v>490</v>
      </c>
      <c r="C477" s="36" t="n">
        <f aca="false">0</f>
        <v>0</v>
      </c>
      <c r="D477" s="36" t="n">
        <f aca="false">IF(lv_drag_mode=3,0,C477+D475)</f>
        <v>0</v>
      </c>
      <c r="E477" s="36" t="n">
        <f aca="false">IF(lv_drag_mode=3,0,D477+E475)</f>
        <v>0</v>
      </c>
      <c r="F477" s="36" t="n">
        <f aca="false">IF(lv_drag_mode=3,0,E477+F475)</f>
        <v>0</v>
      </c>
      <c r="G477" s="36" t="n">
        <f aca="false">IF(lv_drag_mode=3,0,F477+G475)</f>
        <v>0</v>
      </c>
      <c r="H477" s="36" t="n">
        <f aca="false">IF(lv_drag_mode=3,0,G477+H475)</f>
        <v>0</v>
      </c>
      <c r="I477" s="36" t="n">
        <f aca="false">IF(lv_drag_mode=3,0,H477+I475)</f>
        <v>0</v>
      </c>
      <c r="J477" s="36" t="n">
        <f aca="false">IF(lv_drag_mode=3,0,I477+J475)</f>
        <v>0</v>
      </c>
      <c r="K477" s="36" t="n">
        <f aca="false">IF(lv_drag_mode=3,0,J477+K475)</f>
        <v>0</v>
      </c>
      <c r="L477" s="36" t="n">
        <f aca="false">IF(lv_drag_mode=3,0,K477+L475)</f>
        <v>0</v>
      </c>
      <c r="M477" s="36" t="n">
        <f aca="false">IF(lv_drag_mode=3,0,L477+M475)</f>
        <v>0</v>
      </c>
    </row>
    <row r="478" customFormat="false" ht="15" hidden="false" customHeight="false" outlineLevel="0" collapsed="false">
      <c r="A478" s="9" t="s">
        <v>491</v>
      </c>
      <c r="C478" s="36" t="n">
        <f aca="false">0</f>
        <v>0</v>
      </c>
      <c r="D478" s="36" t="n">
        <f aca="false">C477*a_yield*(1-a_tax)</f>
        <v>0</v>
      </c>
      <c r="E478" s="36" t="n">
        <f aca="false">D477*a_yield*(1-a_tax)</f>
        <v>0</v>
      </c>
      <c r="F478" s="36" t="n">
        <f aca="false">E477*a_yield*(1-a_tax)</f>
        <v>0</v>
      </c>
      <c r="G478" s="36" t="n">
        <f aca="false">F477*a_yield*(1-a_tax)</f>
        <v>0</v>
      </c>
      <c r="H478" s="36" t="n">
        <f aca="false">G477*a_yield*(1-a_tax)</f>
        <v>0</v>
      </c>
      <c r="I478" s="36" t="n">
        <f aca="false">H477*a_yield*(1-a_tax)</f>
        <v>0</v>
      </c>
      <c r="J478" s="36" t="n">
        <f aca="false">I477*a_yield*(1-a_tax)</f>
        <v>0</v>
      </c>
      <c r="K478" s="36" t="n">
        <f aca="false">J477*a_yield*(1-a_tax)</f>
        <v>0</v>
      </c>
      <c r="L478" s="36" t="n">
        <f aca="false">K477*a_yield*(1-a_tax)</f>
        <v>0</v>
      </c>
      <c r="M478" s="36" t="n">
        <f aca="false">L477*a_yield*(1-a_tax)</f>
        <v>0</v>
      </c>
    </row>
    <row r="479" customFormat="false" ht="15" hidden="false" customHeight="false" outlineLevel="0" collapsed="false">
      <c r="A479" s="9" t="s">
        <v>492</v>
      </c>
      <c r="C479" s="36" t="n">
        <f aca="false">cf_pat</f>
        <v>480</v>
      </c>
      <c r="D479" s="36" t="n">
        <f aca="false">cf_pat*(1+a_pat_growth)^D452</f>
        <v>480</v>
      </c>
      <c r="E479" s="36" t="n">
        <f aca="false">cf_pat*(1+a_pat_growth)^E452</f>
        <v>480</v>
      </c>
      <c r="F479" s="36" t="n">
        <f aca="false">cf_pat*(1+a_pat_growth)^F452</f>
        <v>480</v>
      </c>
      <c r="G479" s="36" t="n">
        <f aca="false">cf_pat*(1+a_pat_growth)^G452</f>
        <v>480</v>
      </c>
      <c r="H479" s="36" t="n">
        <f aca="false">cf_pat*(1+a_pat_growth)^H452</f>
        <v>480</v>
      </c>
      <c r="I479" s="36" t="n">
        <f aca="false">cf_pat*(1+a_pat_growth)^I452</f>
        <v>480</v>
      </c>
      <c r="J479" s="36" t="n">
        <f aca="false">cf_pat*(1+a_pat_growth)^J452</f>
        <v>480</v>
      </c>
      <c r="K479" s="36" t="n">
        <f aca="false">cf_pat*(1+a_pat_growth)^K452</f>
        <v>480</v>
      </c>
      <c r="L479" s="36" t="n">
        <f aca="false">cf_pat*(1+a_pat_growth)^L452</f>
        <v>480</v>
      </c>
      <c r="M479" s="36" t="n">
        <f aca="false">cf_pat*(1+a_pat_growth)^M452</f>
        <v>480</v>
      </c>
    </row>
    <row r="480" customFormat="false" ht="15" hidden="false" customHeight="false" outlineLevel="0" collapsed="false">
      <c r="A480" s="9" t="s">
        <v>493</v>
      </c>
      <c r="C480" s="36" t="n">
        <f aca="false">0</f>
        <v>0</v>
      </c>
      <c r="D480" s="36" t="n">
        <f aca="false">cf_mdr*a_mdr_flow*(1-a_tax)</f>
        <v>69</v>
      </c>
      <c r="E480" s="36" t="n">
        <f aca="false">cf_mdr*a_mdr_flow*(1-a_tax)</f>
        <v>69</v>
      </c>
      <c r="F480" s="36" t="n">
        <f aca="false">cf_mdr*a_mdr_flow*(1-a_tax)</f>
        <v>69</v>
      </c>
      <c r="G480" s="36" t="n">
        <f aca="false">cf_mdr*a_mdr_flow*(1-a_tax)</f>
        <v>69</v>
      </c>
      <c r="H480" s="36" t="n">
        <f aca="false">cf_mdr*a_mdr_flow*(1-a_tax)</f>
        <v>69</v>
      </c>
      <c r="I480" s="36" t="n">
        <f aca="false">cf_mdr*a_mdr_flow*(1-a_tax)</f>
        <v>69</v>
      </c>
      <c r="J480" s="36" t="n">
        <f aca="false">cf_mdr*a_mdr_flow*(1-a_tax)</f>
        <v>69</v>
      </c>
      <c r="K480" s="36" t="n">
        <f aca="false">cf_mdr*a_mdr_flow*(1-a_tax)</f>
        <v>69</v>
      </c>
      <c r="L480" s="36" t="n">
        <f aca="false">cf_mdr*a_mdr_flow*(1-a_tax)</f>
        <v>69</v>
      </c>
      <c r="M480" s="36" t="n">
        <f aca="false">cf_mdr*a_mdr_flow*(1-a_tax)</f>
        <v>69</v>
      </c>
    </row>
    <row r="481" customFormat="false" ht="15" hidden="false" customHeight="false" outlineLevel="0" collapsed="false">
      <c r="A481" s="9" t="s">
        <v>494</v>
      </c>
      <c r="C481" s="50" t="n">
        <f aca="false">cf_eps</f>
        <v>7.5</v>
      </c>
      <c r="D481" s="50" t="n">
        <f aca="false">D479/cf_shares</f>
        <v>7.5</v>
      </c>
      <c r="E481" s="50" t="n">
        <f aca="false">E479/cf_shares</f>
        <v>7.5</v>
      </c>
      <c r="F481" s="50" t="n">
        <f aca="false">F479/cf_shares</f>
        <v>7.5</v>
      </c>
      <c r="G481" s="50" t="n">
        <f aca="false">G479/cf_shares</f>
        <v>7.5</v>
      </c>
      <c r="H481" s="50" t="n">
        <f aca="false">H479/cf_shares</f>
        <v>7.5</v>
      </c>
      <c r="I481" s="50" t="n">
        <f aca="false">I479/cf_shares</f>
        <v>7.5</v>
      </c>
      <c r="J481" s="50" t="n">
        <f aca="false">J479/cf_shares</f>
        <v>7.5</v>
      </c>
      <c r="K481" s="50" t="n">
        <f aca="false">K479/cf_shares</f>
        <v>7.5</v>
      </c>
      <c r="L481" s="50" t="n">
        <f aca="false">L479/cf_shares</f>
        <v>7.5</v>
      </c>
      <c r="M481" s="50" t="n">
        <f aca="false">M479/cf_shares</f>
        <v>7.5</v>
      </c>
    </row>
    <row r="482" customFormat="false" ht="15" hidden="false" customHeight="false" outlineLevel="0" collapsed="false">
      <c r="A482" s="9" t="s">
        <v>495</v>
      </c>
      <c r="C482" s="50" t="n">
        <f aca="false">cf_eps</f>
        <v>7.5</v>
      </c>
      <c r="D482" s="50" t="n">
        <f aca="false">(D479+D480)/cf_shares</f>
        <v>8.578125</v>
      </c>
      <c r="E482" s="50" t="n">
        <f aca="false">(E479+E480)/cf_shares</f>
        <v>8.578125</v>
      </c>
      <c r="F482" s="50" t="n">
        <f aca="false">(F479+F480)/cf_shares</f>
        <v>8.578125</v>
      </c>
      <c r="G482" s="50" t="n">
        <f aca="false">(G479+G480)/cf_shares</f>
        <v>8.578125</v>
      </c>
      <c r="H482" s="50" t="n">
        <f aca="false">(H479+H480)/cf_shares</f>
        <v>8.578125</v>
      </c>
      <c r="I482" s="50" t="n">
        <f aca="false">(I479+I480)/cf_shares</f>
        <v>8.578125</v>
      </c>
      <c r="J482" s="50" t="n">
        <f aca="false">(J479+J480)/cf_shares</f>
        <v>8.578125</v>
      </c>
      <c r="K482" s="50" t="n">
        <f aca="false">(K479+K480)/cf_shares</f>
        <v>8.578125</v>
      </c>
      <c r="L482" s="50" t="n">
        <f aca="false">(L479+L480)/cf_shares</f>
        <v>8.578125</v>
      </c>
      <c r="M482" s="50" t="n">
        <f aca="false">(M479+M480)/cf_shares</f>
        <v>8.578125</v>
      </c>
    </row>
    <row r="483" customFormat="false" ht="15" hidden="false" customHeight="false" outlineLevel="0" collapsed="false">
      <c r="A483" s="4" t="s">
        <v>496</v>
      </c>
      <c r="C483" s="41" t="n">
        <f aca="false">-C470-C472</f>
        <v>-94.5</v>
      </c>
      <c r="D483" s="41" t="n">
        <f aca="false">D462+D474*(1-a_tax)-C470-C472-D476-D478</f>
        <v>-115.356</v>
      </c>
      <c r="E483" s="41" t="n">
        <f aca="false">E462+E474*(1-a_tax)-C470-C472-E476-E478</f>
        <v>-81.1944</v>
      </c>
      <c r="F483" s="41" t="n">
        <f aca="false">F462+F474*(1-a_tax)-C470-C472-F476-F478</f>
        <v>-67.12848</v>
      </c>
      <c r="G483" s="41" t="n">
        <f aca="false">G462+G474*(1-a_tax)-C470-C472-G476-G478</f>
        <v>-47.968416</v>
      </c>
      <c r="H483" s="41" t="n">
        <f aca="false">H462+H474*(1-a_tax)-C470-C472-H476-H478</f>
        <v>-22.2391872</v>
      </c>
      <c r="I483" s="41" t="n">
        <f aca="false">I462+I474*(1-a_tax)-C470-C472-I476-I478</f>
        <v>-7.78702464</v>
      </c>
      <c r="J483" s="41" t="n">
        <f aca="false">J462+J474*(1-a_tax)-C470-C472-J476-J478</f>
        <v>9.55557043200001</v>
      </c>
      <c r="K483" s="41" t="n">
        <f aca="false">K462+K474*(1-a_tax)-C470-C472-K476-K478</f>
        <v>30.3666845184</v>
      </c>
      <c r="L483" s="41" t="n">
        <f aca="false">L462+L474*(1-a_tax)-C470-C472-L476-L478</f>
        <v>55.34002142208</v>
      </c>
      <c r="M483" s="41" t="n">
        <f aca="false">M462+M474*(1-a_tax)-C470-C472-M476-M478</f>
        <v>85.308025706496</v>
      </c>
    </row>
    <row r="484" customFormat="false" ht="15" hidden="false" customHeight="false" outlineLevel="0" collapsed="false">
      <c r="A484" s="9" t="s">
        <v>497</v>
      </c>
      <c r="C484" s="36" t="n">
        <f aca="false">C479+C483</f>
        <v>385.5</v>
      </c>
      <c r="D484" s="36" t="n">
        <f aca="false">D479+D483</f>
        <v>364.644</v>
      </c>
      <c r="E484" s="36" t="n">
        <f aca="false">E479+E483</f>
        <v>398.8056</v>
      </c>
      <c r="F484" s="36" t="n">
        <f aca="false">F479+F483</f>
        <v>412.87152</v>
      </c>
      <c r="G484" s="36" t="n">
        <f aca="false">G479+G483</f>
        <v>432.031584</v>
      </c>
      <c r="H484" s="36" t="n">
        <f aca="false">H479+H483</f>
        <v>457.7608128</v>
      </c>
      <c r="I484" s="36" t="n">
        <f aca="false">I479+I483</f>
        <v>472.21297536</v>
      </c>
      <c r="J484" s="36" t="n">
        <f aca="false">J479+J483</f>
        <v>489.555570432</v>
      </c>
      <c r="K484" s="36" t="n">
        <f aca="false">K479+K483</f>
        <v>510.3666845184</v>
      </c>
      <c r="L484" s="36" t="n">
        <f aca="false">L479+L483</f>
        <v>535.34002142208</v>
      </c>
      <c r="M484" s="36" t="n">
        <f aca="false">M479+M483</f>
        <v>565.308025706496</v>
      </c>
    </row>
    <row r="485" customFormat="false" ht="15" hidden="false" customHeight="false" outlineLevel="0" collapsed="false">
      <c r="A485" s="4" t="s">
        <v>498</v>
      </c>
      <c r="C485" s="48" t="n">
        <f aca="false">C484/C469</f>
        <v>5.92858021653543</v>
      </c>
      <c r="D485" s="48" t="n">
        <f aca="false">D484/C469</f>
        <v>5.60783710629921</v>
      </c>
      <c r="E485" s="48" t="n">
        <f aca="false">E484/C469</f>
        <v>6.1332062007874</v>
      </c>
      <c r="F485" s="48" t="n">
        <f aca="false">F484/C469</f>
        <v>6.3495250984252</v>
      </c>
      <c r="G485" s="48" t="n">
        <f aca="false">G484/C469</f>
        <v>6.64418651574803</v>
      </c>
      <c r="H485" s="48" t="n">
        <f aca="false">H484/C469</f>
        <v>7.03987470472441</v>
      </c>
      <c r="I485" s="48" t="n">
        <f aca="false">I484/C469</f>
        <v>7.2621336023622</v>
      </c>
      <c r="J485" s="48" t="n">
        <f aca="false">J484/C469</f>
        <v>7.52884427952756</v>
      </c>
      <c r="K485" s="48" t="n">
        <f aca="false">K484/C469</f>
        <v>7.84889709212598</v>
      </c>
      <c r="L485" s="48" t="n">
        <f aca="false">L484/C469</f>
        <v>8.23296046724409</v>
      </c>
      <c r="M485" s="48" t="n">
        <f aca="false">M484/C469</f>
        <v>8.69383651738583</v>
      </c>
    </row>
    <row r="486" customFormat="false" ht="15" hidden="false" customHeight="false" outlineLevel="0" collapsed="false">
      <c r="A486" s="4" t="s">
        <v>499</v>
      </c>
      <c r="C486" s="14" t="n">
        <f aca="false">C485/cf_eps-1</f>
        <v>-0.209522637795276</v>
      </c>
      <c r="D486" s="14" t="n">
        <f aca="false">D485/cf_eps-1</f>
        <v>-0.252288385826772</v>
      </c>
      <c r="E486" s="14" t="n">
        <f aca="false">E485/cf_eps-1</f>
        <v>-0.182239173228346</v>
      </c>
      <c r="F486" s="14" t="n">
        <f aca="false">F485/cf_eps-1</f>
        <v>-0.153396653543307</v>
      </c>
      <c r="G486" s="14" t="n">
        <f aca="false">G485/cf_eps-1</f>
        <v>-0.114108464566929</v>
      </c>
      <c r="H486" s="14" t="n">
        <f aca="false">H485/cf_eps-1</f>
        <v>-0.0613500393700787</v>
      </c>
      <c r="I486" s="14" t="n">
        <f aca="false">I485/cf_eps-1</f>
        <v>-0.0317155196850395</v>
      </c>
      <c r="J486" s="14" t="n">
        <f aca="false">J485/cf_eps-1</f>
        <v>0.00384590393700801</v>
      </c>
      <c r="K486" s="14" t="n">
        <f aca="false">K485/cf_eps-1</f>
        <v>0.0465196122834646</v>
      </c>
      <c r="L486" s="14" t="n">
        <f aca="false">L485/cf_eps-1</f>
        <v>0.0977280622992125</v>
      </c>
      <c r="M486" s="14" t="n">
        <f aca="false">M485/cf_eps-1</f>
        <v>0.15917820231811</v>
      </c>
    </row>
    <row r="487" customFormat="false" ht="15" hidden="false" customHeight="false" outlineLevel="0" collapsed="false">
      <c r="A487" s="9" t="s">
        <v>500</v>
      </c>
      <c r="C487" s="50" t="n">
        <f aca="false">C485</f>
        <v>5.92858021653543</v>
      </c>
      <c r="D487" s="50" t="n">
        <f aca="false">(D484+D480)/C469</f>
        <v>6.66898375984252</v>
      </c>
      <c r="E487" s="50" t="n">
        <f aca="false">(E484+E480)/C469</f>
        <v>7.19435285433071</v>
      </c>
      <c r="F487" s="50" t="n">
        <f aca="false">(F484+F480)/C469</f>
        <v>7.4106717519685</v>
      </c>
      <c r="G487" s="50" t="n">
        <f aca="false">(G484+G480)/C469</f>
        <v>7.70533316929134</v>
      </c>
      <c r="H487" s="50" t="n">
        <f aca="false">(H484+H480)/C469</f>
        <v>8.10102135826772</v>
      </c>
      <c r="I487" s="50" t="n">
        <f aca="false">(I484+I480)/C469</f>
        <v>8.32328025590551</v>
      </c>
      <c r="J487" s="50" t="n">
        <f aca="false">(J484+J480)/C469</f>
        <v>8.58999093307087</v>
      </c>
      <c r="K487" s="50" t="n">
        <f aca="false">(K484+K480)/C469</f>
        <v>8.91004374566929</v>
      </c>
      <c r="L487" s="50" t="n">
        <f aca="false">(L484+L480)/C469</f>
        <v>9.2941071207874</v>
      </c>
      <c r="M487" s="50" t="n">
        <f aca="false">(M484+M480)/C469</f>
        <v>9.75498317092913</v>
      </c>
    </row>
    <row r="488" customFormat="false" ht="15" hidden="false" customHeight="false" outlineLevel="0" collapsed="false">
      <c r="A488" s="9" t="s">
        <v>501</v>
      </c>
      <c r="C488" s="18" t="n">
        <f aca="false">C486</f>
        <v>-0.209522637795276</v>
      </c>
      <c r="D488" s="18" t="n">
        <f aca="false">D487/D482-1</f>
        <v>-0.222559270255153</v>
      </c>
      <c r="E488" s="18" t="n">
        <f aca="false">E487/E482-1</f>
        <v>-0.161314057054344</v>
      </c>
      <c r="F488" s="18" t="n">
        <f aca="false">F487/F482-1</f>
        <v>-0.136096553504582</v>
      </c>
      <c r="G488" s="18" t="n">
        <f aca="false">G487/G482-1</f>
        <v>-0.101746224344908</v>
      </c>
      <c r="H488" s="18" t="n">
        <f aca="false">H487/H482-1</f>
        <v>-0.0556186394733447</v>
      </c>
      <c r="I488" s="18" t="n">
        <f aca="false">I487/I482-1</f>
        <v>-0.02970867690719</v>
      </c>
      <c r="J488" s="18" t="n">
        <f aca="false">J487/J482-1</f>
        <v>0.00138327817219563</v>
      </c>
      <c r="K488" s="18" t="n">
        <f aca="false">K487/K482-1</f>
        <v>0.0386936242674585</v>
      </c>
      <c r="L488" s="18" t="n">
        <f aca="false">L487/L482-1</f>
        <v>0.0834660395817737</v>
      </c>
      <c r="M488" s="18" t="n">
        <f aca="false">M487/M482-1</f>
        <v>0.137192937958952</v>
      </c>
    </row>
    <row r="489" customFormat="false" ht="15" hidden="false" customHeight="false" outlineLevel="0" collapsed="false">
      <c r="A489" s="9" t="s">
        <v>502</v>
      </c>
      <c r="C489" s="50" t="n">
        <f aca="false">(C484+C472)/C469</f>
        <v>5.92858021653543</v>
      </c>
      <c r="D489" s="50" t="n">
        <f aca="false">(D484+C472)/C469</f>
        <v>5.60783710629921</v>
      </c>
      <c r="E489" s="50" t="n">
        <f aca="false">(E484+C472)/C469</f>
        <v>6.1332062007874</v>
      </c>
      <c r="F489" s="50" t="n">
        <f aca="false">(F484+C472)/C469</f>
        <v>6.3495250984252</v>
      </c>
      <c r="G489" s="50" t="n">
        <f aca="false">(G484+C472)/C469</f>
        <v>6.64418651574803</v>
      </c>
      <c r="H489" s="50" t="n">
        <f aca="false">(H484+C472)/C469</f>
        <v>7.03987470472441</v>
      </c>
      <c r="I489" s="50" t="n">
        <f aca="false">(I484+C472)/C469</f>
        <v>7.2621336023622</v>
      </c>
      <c r="J489" s="50" t="n">
        <f aca="false">(J484+C472)/C469</f>
        <v>7.52884427952756</v>
      </c>
      <c r="K489" s="50" t="n">
        <f aca="false">(K484+C472)/C469</f>
        <v>7.84889709212598</v>
      </c>
      <c r="L489" s="50" t="n">
        <f aca="false">(L484+C472)/C469</f>
        <v>8.23296046724409</v>
      </c>
      <c r="M489" s="50" t="n">
        <f aca="false">(M484+C472)/C469</f>
        <v>8.69383651738583</v>
      </c>
    </row>
    <row r="490" customFormat="false" ht="15" hidden="false" customHeight="false" outlineLevel="0" collapsed="false">
      <c r="A490" s="9" t="s">
        <v>503</v>
      </c>
      <c r="C490" s="50" t="n">
        <f aca="false">(C484-C471+C472)/C469</f>
        <v>4.48680487204724</v>
      </c>
      <c r="D490" s="50" t="n">
        <f aca="false">(D484-C471+C472)/C469</f>
        <v>4.16606176181102</v>
      </c>
      <c r="E490" s="50" t="n">
        <f aca="false">(E484-C471+C472)/C469</f>
        <v>4.69143085629921</v>
      </c>
      <c r="F490" s="50" t="n">
        <f aca="false">(F484-C471+C472)/C469</f>
        <v>4.90774975393701</v>
      </c>
      <c r="G490" s="50" t="n">
        <f aca="false">(G484-C471+C472)/C469</f>
        <v>5.20241117125984</v>
      </c>
      <c r="H490" s="50" t="n">
        <f aca="false">(H484-C471+C472)/C469</f>
        <v>5.59809936023622</v>
      </c>
      <c r="I490" s="50" t="n">
        <f aca="false">(I484-C471+C472)/C469</f>
        <v>5.82035825787402</v>
      </c>
      <c r="J490" s="50" t="n">
        <f aca="false">(J484-C471+C472)/C469</f>
        <v>6.08706893503937</v>
      </c>
      <c r="K490" s="50" t="n">
        <f aca="false">(K484-C471+C472)/C469</f>
        <v>6.4071217476378</v>
      </c>
      <c r="L490" s="50" t="n">
        <f aca="false">(L484-C471+C472)/C469</f>
        <v>6.79118512275591</v>
      </c>
      <c r="M490" s="50" t="n">
        <f aca="false">(M484-C471+C472)/C469</f>
        <v>7.25206117289764</v>
      </c>
    </row>
    <row r="491" customFormat="false" ht="15" hidden="false" customHeight="false" outlineLevel="0" collapsed="false">
      <c r="A491" s="9" t="s">
        <v>504</v>
      </c>
      <c r="C491" s="50" t="n">
        <f aca="false">C479/C469</f>
        <v>7.38188976377953</v>
      </c>
      <c r="D491" s="50" t="n">
        <f aca="false">D479/C469</f>
        <v>7.38188976377953</v>
      </c>
      <c r="E491" s="50" t="n">
        <f aca="false">E479/C469</f>
        <v>7.38188976377953</v>
      </c>
      <c r="F491" s="50" t="n">
        <f aca="false">F479/C469</f>
        <v>7.38188976377953</v>
      </c>
      <c r="G491" s="50" t="n">
        <f aca="false">G479/C469</f>
        <v>7.38188976377953</v>
      </c>
      <c r="H491" s="50" t="n">
        <f aca="false">H479/C469</f>
        <v>7.38188976377953</v>
      </c>
      <c r="I491" s="50" t="n">
        <f aca="false">I479/C469</f>
        <v>7.38188976377953</v>
      </c>
      <c r="J491" s="50" t="n">
        <f aca="false">J479/C469</f>
        <v>7.38188976377953</v>
      </c>
      <c r="K491" s="50" t="n">
        <f aca="false">K479/C469</f>
        <v>7.38188976377953</v>
      </c>
      <c r="L491" s="50" t="n">
        <f aca="false">L479/C469</f>
        <v>7.38188976377953</v>
      </c>
      <c r="M491" s="50" t="n">
        <f aca="false">M479/C469</f>
        <v>7.38188976377953</v>
      </c>
    </row>
    <row r="492" customFormat="false" ht="15" hidden="false" customHeight="false" outlineLevel="0" collapsed="false">
      <c r="A492" s="9" t="s">
        <v>505</v>
      </c>
      <c r="D492" s="36" t="n">
        <f aca="false">D465+D474*(1-a_tax)-D475-IF(D452=1,C473,0)</f>
        <v>-180.416</v>
      </c>
      <c r="E492" s="36" t="n">
        <f aca="false">E465+E474*(1-a_tax)-E475-IF(E452=1,C473,0)</f>
        <v>11.1936</v>
      </c>
      <c r="F492" s="36" t="n">
        <f aca="false">F465+F474*(1-a_tax)-F475-IF(F452=1,C473,0)</f>
        <v>24.83712</v>
      </c>
      <c r="G492" s="36" t="n">
        <f aca="false">G465+G474*(1-a_tax)-G475-IF(G452=1,C473,0)</f>
        <v>43.490304</v>
      </c>
      <c r="H492" s="36" t="n">
        <f aca="false">H465+H474*(1-a_tax)-H475-IF(H452=1,C473,0)</f>
        <v>68.6112768</v>
      </c>
      <c r="I492" s="36" t="n">
        <f aca="false">I465+I474*(1-a_tax)-I475-IF(I452=1,C473,0)</f>
        <v>82.33353216</v>
      </c>
      <c r="J492" s="36" t="n">
        <f aca="false">J465+J474*(1-a_tax)-J475-IF(J452=1,C473,0)</f>
        <v>98.800238592</v>
      </c>
      <c r="K492" s="36" t="n">
        <f aca="false">K465+K474*(1-a_tax)-K475-IF(K452=1,C473,0)</f>
        <v>118.5602863104</v>
      </c>
      <c r="L492" s="36" t="n">
        <f aca="false">L465+L474*(1-a_tax)-L475-IF(L452=1,C473,0)</f>
        <v>142.27234357248</v>
      </c>
      <c r="M492" s="36" t="n">
        <f aca="false">M465+M474*(1-a_tax)-M475-IF(M452=1,C473,0)</f>
        <v>170.726812286976</v>
      </c>
    </row>
    <row r="493" customFormat="false" ht="15" hidden="false" customHeight="false" outlineLevel="0" collapsed="false">
      <c r="A493" s="4" t="s">
        <v>506</v>
      </c>
      <c r="D493" s="41" t="n">
        <f aca="false">D492-C470</f>
        <v>-274.916</v>
      </c>
      <c r="E493" s="41" t="n">
        <f aca="false">E492-C470</f>
        <v>-83.3064</v>
      </c>
      <c r="F493" s="41" t="n">
        <f aca="false">F492-C470</f>
        <v>-69.66288</v>
      </c>
      <c r="G493" s="41" t="n">
        <f aca="false">G492-C470</f>
        <v>-51.009696</v>
      </c>
      <c r="H493" s="41" t="n">
        <f aca="false">H492-C470</f>
        <v>-25.8887232</v>
      </c>
      <c r="I493" s="41" t="n">
        <f aca="false">I492-C470</f>
        <v>-12.16646784</v>
      </c>
      <c r="J493" s="41" t="n">
        <f aca="false">J492-C470</f>
        <v>4.30023859200001</v>
      </c>
      <c r="K493" s="41" t="n">
        <f aca="false">K492-C470</f>
        <v>24.0602863104</v>
      </c>
      <c r="L493" s="41" t="n">
        <f aca="false">L492-C470</f>
        <v>47.77234357248</v>
      </c>
      <c r="M493" s="41" t="n">
        <f aca="false">M492-C470</f>
        <v>76.226812286976</v>
      </c>
    </row>
    <row r="494" customFormat="false" ht="15" hidden="false" customHeight="false" outlineLevel="0" collapsed="false">
      <c r="A494" s="9" t="s">
        <v>507</v>
      </c>
      <c r="C494" s="36" t="n">
        <f aca="false">0</f>
        <v>0</v>
      </c>
      <c r="D494" s="36" t="n">
        <f aca="false">D480</f>
        <v>69</v>
      </c>
      <c r="E494" s="36" t="n">
        <f aca="false">E480</f>
        <v>69</v>
      </c>
      <c r="F494" s="36" t="n">
        <f aca="false">F480</f>
        <v>69</v>
      </c>
      <c r="G494" s="36" t="n">
        <f aca="false">G480</f>
        <v>69</v>
      </c>
      <c r="H494" s="36" t="n">
        <f aca="false">H480</f>
        <v>69</v>
      </c>
      <c r="I494" s="36" t="n">
        <f aca="false">I480</f>
        <v>69</v>
      </c>
      <c r="J494" s="36" t="n">
        <f aca="false">J480</f>
        <v>69</v>
      </c>
      <c r="K494" s="36" t="n">
        <f aca="false">K480</f>
        <v>69</v>
      </c>
      <c r="L494" s="36" t="n">
        <f aca="false">L480</f>
        <v>69</v>
      </c>
      <c r="M494" s="36" t="n">
        <f aca="false">M480</f>
        <v>69</v>
      </c>
    </row>
    <row r="495" customFormat="false" ht="15" hidden="false" customHeight="false" outlineLevel="0" collapsed="false">
      <c r="A495" s="9" t="s">
        <v>508</v>
      </c>
      <c r="D495" s="36" t="n">
        <f aca="false">D493+D494</f>
        <v>-205.916</v>
      </c>
      <c r="E495" s="36" t="n">
        <f aca="false">E493+E494</f>
        <v>-14.3064</v>
      </c>
      <c r="F495" s="36" t="n">
        <f aca="false">F493+F494</f>
        <v>-0.662879999999987</v>
      </c>
      <c r="G495" s="36" t="n">
        <f aca="false">G493+G494</f>
        <v>17.990304</v>
      </c>
      <c r="H495" s="36" t="n">
        <f aca="false">H493+H494</f>
        <v>43.1112768</v>
      </c>
      <c r="I495" s="36" t="n">
        <f aca="false">I493+I494</f>
        <v>56.83353216</v>
      </c>
      <c r="J495" s="36" t="n">
        <f aca="false">J493+J494</f>
        <v>73.300238592</v>
      </c>
      <c r="K495" s="36" t="n">
        <f aca="false">K493+K494</f>
        <v>93.0602863104</v>
      </c>
      <c r="L495" s="36" t="n">
        <f aca="false">L493+L494</f>
        <v>116.77234357248</v>
      </c>
      <c r="M495" s="36" t="n">
        <f aca="false">M493+M494</f>
        <v>145.226812286976</v>
      </c>
    </row>
    <row r="496" customFormat="false" ht="15" hidden="false" customHeight="false" outlineLevel="0" collapsed="false">
      <c r="A496" s="9" t="s">
        <v>509</v>
      </c>
      <c r="D496" s="36" t="n">
        <f aca="false">IF(lv_mdr_in_deal=1,D495,D493)</f>
        <v>-274.916</v>
      </c>
      <c r="E496" s="36" t="n">
        <f aca="false">IF(lv_mdr_in_deal=1,E495,E493)</f>
        <v>-83.3064</v>
      </c>
      <c r="F496" s="36" t="n">
        <f aca="false">IF(lv_mdr_in_deal=1,F495,F493)</f>
        <v>-69.66288</v>
      </c>
      <c r="G496" s="36" t="n">
        <f aca="false">IF(lv_mdr_in_deal=1,G495,G493)</f>
        <v>-51.009696</v>
      </c>
      <c r="H496" s="36" t="n">
        <f aca="false">IF(lv_mdr_in_deal=1,H495,H493)</f>
        <v>-25.8887232</v>
      </c>
      <c r="I496" s="36" t="n">
        <f aca="false">IF(lv_mdr_in_deal=1,I495,I493)</f>
        <v>-12.16646784</v>
      </c>
      <c r="J496" s="36" t="n">
        <f aca="false">IF(lv_mdr_in_deal=1,J495,J493)</f>
        <v>4.30023859200001</v>
      </c>
      <c r="K496" s="36" t="n">
        <f aca="false">IF(lv_mdr_in_deal=1,K495,K493)</f>
        <v>24.0602863104</v>
      </c>
      <c r="L496" s="36" t="n">
        <f aca="false">IF(lv_mdr_in_deal=1,L495,L493)</f>
        <v>47.77234357248</v>
      </c>
      <c r="M496" s="36" t="n">
        <f aca="false">IF(lv_mdr_in_deal=1,M495,M493)</f>
        <v>76.226812286976</v>
      </c>
    </row>
    <row r="497" customFormat="false" ht="15" hidden="false" customHeight="false" outlineLevel="0" collapsed="false">
      <c r="A497" s="9" t="s">
        <v>510</v>
      </c>
      <c r="C497" s="36" t="n">
        <f aca="false">-lv_price</f>
        <v>-4000</v>
      </c>
      <c r="D497" s="36" t="n">
        <f aca="false">C497+D496</f>
        <v>-4274.916</v>
      </c>
      <c r="E497" s="36" t="n">
        <f aca="false">D497+E496</f>
        <v>-4358.2224</v>
      </c>
      <c r="F497" s="36" t="n">
        <f aca="false">E497+F496</f>
        <v>-4427.88528</v>
      </c>
      <c r="G497" s="36" t="n">
        <f aca="false">F497+G496</f>
        <v>-4478.894976</v>
      </c>
      <c r="H497" s="36" t="n">
        <f aca="false">G497+H496</f>
        <v>-4504.7836992</v>
      </c>
      <c r="I497" s="36" t="n">
        <f aca="false">H497+I496</f>
        <v>-4516.95016704</v>
      </c>
      <c r="J497" s="36" t="n">
        <f aca="false">I497+J496</f>
        <v>-4512.649928448</v>
      </c>
      <c r="K497" s="36" t="n">
        <f aca="false">J497+K496</f>
        <v>-4488.5896421376</v>
      </c>
      <c r="L497" s="36" t="n">
        <f aca="false">K497+L496</f>
        <v>-4440.81729856512</v>
      </c>
      <c r="M497" s="36" t="n">
        <f aca="false">L497+M496</f>
        <v>-4364.59048627814</v>
      </c>
    </row>
    <row r="498" customFormat="false" ht="15" hidden="false" customHeight="false" outlineLevel="0" collapsed="false">
      <c r="A498" s="9" t="s">
        <v>511</v>
      </c>
      <c r="C498" s="43" t="n">
        <f aca="false">1</f>
        <v>1</v>
      </c>
      <c r="D498" s="43" t="n">
        <f aca="false">1/(1+lv_wacc)^D452</f>
        <v>0.884955752212389</v>
      </c>
      <c r="E498" s="43" t="n">
        <f aca="false">1/(1+lv_wacc)^E452</f>
        <v>0.783146683373796</v>
      </c>
      <c r="F498" s="43" t="n">
        <f aca="false">1/(1+lv_wacc)^F452</f>
        <v>0.693050162277696</v>
      </c>
      <c r="G498" s="43" t="n">
        <f aca="false">1/(1+lv_wacc)^G452</f>
        <v>0.613318727679377</v>
      </c>
      <c r="H498" s="43" t="n">
        <f aca="false">1/(1+lv_wacc)^H452</f>
        <v>0.542759935999449</v>
      </c>
      <c r="I498" s="43" t="n">
        <f aca="false">1/(1+lv_wacc)^I452</f>
        <v>0.48031852743314</v>
      </c>
      <c r="J498" s="43" t="n">
        <f aca="false">1/(1+lv_wacc)^J452</f>
        <v>0.425060643746142</v>
      </c>
      <c r="K498" s="43" t="n">
        <f aca="false">1/(1+lv_wacc)^K452</f>
        <v>0.37615986172225</v>
      </c>
      <c r="L498" s="43" t="n">
        <f aca="false">1/(1+lv_wacc)^L452</f>
        <v>0.332884833382522</v>
      </c>
      <c r="M498" s="43" t="n">
        <f aca="false">1/(1+lv_wacc)^M452</f>
        <v>0.294588348126126</v>
      </c>
    </row>
    <row r="499" customFormat="false" ht="15" hidden="false" customHeight="false" outlineLevel="0" collapsed="false">
      <c r="A499" s="9" t="s">
        <v>512</v>
      </c>
      <c r="C499" s="46" t="n">
        <f aca="false">99</f>
        <v>99</v>
      </c>
      <c r="D499" s="46" t="n">
        <f aca="false">IF(D483&gt;=0,D452,99)</f>
        <v>99</v>
      </c>
      <c r="E499" s="46" t="n">
        <f aca="false">IF(E483&gt;=0,E452,99)</f>
        <v>99</v>
      </c>
      <c r="F499" s="46" t="n">
        <f aca="false">IF(F483&gt;=0,F452,99)</f>
        <v>99</v>
      </c>
      <c r="G499" s="46" t="n">
        <f aca="false">IF(G483&gt;=0,G452,99)</f>
        <v>99</v>
      </c>
      <c r="H499" s="46" t="n">
        <f aca="false">IF(H483&gt;=0,H452,99)</f>
        <v>99</v>
      </c>
      <c r="I499" s="46" t="n">
        <f aca="false">IF(I483&gt;=0,I452,99)</f>
        <v>99</v>
      </c>
      <c r="J499" s="46" t="n">
        <f aca="false">IF(J483&gt;=0,J452,99)</f>
        <v>7</v>
      </c>
      <c r="K499" s="46" t="n">
        <f aca="false">IF(K483&gt;=0,K452,99)</f>
        <v>8</v>
      </c>
      <c r="L499" s="46" t="n">
        <f aca="false">IF(L483&gt;=0,L452,99)</f>
        <v>9</v>
      </c>
      <c r="M499" s="46" t="n">
        <f aca="false">IF(M483&gt;=0,M452,99)</f>
        <v>10</v>
      </c>
    </row>
    <row r="500" customFormat="false" ht="15" hidden="false" customHeight="false" outlineLevel="0" collapsed="false">
      <c r="A500" s="9" t="s">
        <v>513</v>
      </c>
      <c r="C500" s="46" t="n">
        <f aca="false">99</f>
        <v>99</v>
      </c>
      <c r="D500" s="46" t="n">
        <f aca="false">IF(D483+D480&gt;=0,D452,99)</f>
        <v>99</v>
      </c>
      <c r="E500" s="46" t="n">
        <f aca="false">IF(E483+E480&gt;=0,E452,99)</f>
        <v>99</v>
      </c>
      <c r="F500" s="46" t="n">
        <f aca="false">IF(F483+F480&gt;=0,F452,99)</f>
        <v>3</v>
      </c>
      <c r="G500" s="46" t="n">
        <f aca="false">IF(G483+G480&gt;=0,G452,99)</f>
        <v>4</v>
      </c>
      <c r="H500" s="46" t="n">
        <f aca="false">IF(H483+H480&gt;=0,H452,99)</f>
        <v>5</v>
      </c>
      <c r="I500" s="46" t="n">
        <f aca="false">IF(I483+I480&gt;=0,I452,99)</f>
        <v>6</v>
      </c>
      <c r="J500" s="46" t="n">
        <f aca="false">IF(J483+J480&gt;=0,J452,99)</f>
        <v>7</v>
      </c>
      <c r="K500" s="46" t="n">
        <f aca="false">IF(K483+K480&gt;=0,K452,99)</f>
        <v>8</v>
      </c>
      <c r="L500" s="46" t="n">
        <f aca="false">IF(L483+L480&gt;=0,L452,99)</f>
        <v>9</v>
      </c>
      <c r="M500" s="46" t="n">
        <f aca="false">IF(M483+M480&gt;=0,M452,99)</f>
        <v>10</v>
      </c>
    </row>
    <row r="501" customFormat="false" ht="15" hidden="false" customHeight="false" outlineLevel="0" collapsed="false">
      <c r="A501" s="9" t="s">
        <v>514</v>
      </c>
      <c r="C501" s="46" t="n">
        <f aca="false">99</f>
        <v>99</v>
      </c>
      <c r="D501" s="46" t="n">
        <f aca="false">IF(D493&gt;=0,D452,99)</f>
        <v>99</v>
      </c>
      <c r="E501" s="46" t="n">
        <f aca="false">IF(E493&gt;=0,E452,99)</f>
        <v>99</v>
      </c>
      <c r="F501" s="46" t="n">
        <f aca="false">IF(F493&gt;=0,F452,99)</f>
        <v>99</v>
      </c>
      <c r="G501" s="46" t="n">
        <f aca="false">IF(G493&gt;=0,G452,99)</f>
        <v>99</v>
      </c>
      <c r="H501" s="46" t="n">
        <f aca="false">IF(H493&gt;=0,H452,99)</f>
        <v>99</v>
      </c>
      <c r="I501" s="46" t="n">
        <f aca="false">IF(I493&gt;=0,I452,99)</f>
        <v>99</v>
      </c>
      <c r="J501" s="46" t="n">
        <f aca="false">IF(J493&gt;=0,J452,99)</f>
        <v>7</v>
      </c>
      <c r="K501" s="46" t="n">
        <f aca="false">IF(K493&gt;=0,K452,99)</f>
        <v>8</v>
      </c>
      <c r="L501" s="46" t="n">
        <f aca="false">IF(L493&gt;=0,L452,99)</f>
        <v>9</v>
      </c>
      <c r="M501" s="46" t="n">
        <f aca="false">IF(M493&gt;=0,M452,99)</f>
        <v>10</v>
      </c>
    </row>
    <row r="502" customFormat="false" ht="15" hidden="false" customHeight="false" outlineLevel="0" collapsed="false">
      <c r="A502" s="9" t="s">
        <v>515</v>
      </c>
      <c r="C502" s="46" t="n">
        <f aca="false">99</f>
        <v>99</v>
      </c>
      <c r="D502" s="46" t="n">
        <f aca="false">IF(D495&gt;=0,D452,99)</f>
        <v>99</v>
      </c>
      <c r="E502" s="46" t="n">
        <f aca="false">IF(E495&gt;=0,E452,99)</f>
        <v>99</v>
      </c>
      <c r="F502" s="46" t="n">
        <f aca="false">IF(F495&gt;=0,F452,99)</f>
        <v>99</v>
      </c>
      <c r="G502" s="46" t="n">
        <f aca="false">IF(G495&gt;=0,G452,99)</f>
        <v>4</v>
      </c>
      <c r="H502" s="46" t="n">
        <f aca="false">IF(H495&gt;=0,H452,99)</f>
        <v>5</v>
      </c>
      <c r="I502" s="46" t="n">
        <f aca="false">IF(I495&gt;=0,I452,99)</f>
        <v>6</v>
      </c>
      <c r="J502" s="46" t="n">
        <f aca="false">IF(J495&gt;=0,J452,99)</f>
        <v>7</v>
      </c>
      <c r="K502" s="46" t="n">
        <f aca="false">IF(K495&gt;=0,K452,99)</f>
        <v>8</v>
      </c>
      <c r="L502" s="46" t="n">
        <f aca="false">IF(L495&gt;=0,L452,99)</f>
        <v>9</v>
      </c>
      <c r="M502" s="46" t="n">
        <f aca="false">IF(M495&gt;=0,M452,99)</f>
        <v>10</v>
      </c>
    </row>
    <row r="503" customFormat="false" ht="15" hidden="false" customHeight="false" outlineLevel="0" collapsed="false">
      <c r="A503" s="9" t="s">
        <v>516</v>
      </c>
      <c r="C503" s="46" t="n">
        <f aca="false">99</f>
        <v>99</v>
      </c>
      <c r="D503" s="46" t="n">
        <f aca="false">IF(D497&gt;=0,D452,99)</f>
        <v>99</v>
      </c>
      <c r="E503" s="46" t="n">
        <f aca="false">IF(E497&gt;=0,E452,99)</f>
        <v>99</v>
      </c>
      <c r="F503" s="46" t="n">
        <f aca="false">IF(F497&gt;=0,F452,99)</f>
        <v>99</v>
      </c>
      <c r="G503" s="46" t="n">
        <f aca="false">IF(G497&gt;=0,G452,99)</f>
        <v>99</v>
      </c>
      <c r="H503" s="46" t="n">
        <f aca="false">IF(H497&gt;=0,H452,99)</f>
        <v>99</v>
      </c>
      <c r="I503" s="46" t="n">
        <f aca="false">IF(I497&gt;=0,I452,99)</f>
        <v>99</v>
      </c>
      <c r="J503" s="46" t="n">
        <f aca="false">IF(J497&gt;=0,J452,99)</f>
        <v>99</v>
      </c>
      <c r="K503" s="46" t="n">
        <f aca="false">IF(K497&gt;=0,K452,99)</f>
        <v>99</v>
      </c>
      <c r="L503" s="46" t="n">
        <f aca="false">IF(L497&gt;=0,L452,99)</f>
        <v>99</v>
      </c>
      <c r="M503" s="46" t="n">
        <f aca="false">IF(M497&gt;=0,M452,99)</f>
        <v>99</v>
      </c>
    </row>
    <row r="504" customFormat="false" ht="15" hidden="false" customHeight="false" outlineLevel="0" collapsed="false">
      <c r="A504" s="4" t="s">
        <v>517</v>
      </c>
      <c r="C504" s="23" t="n">
        <f aca="false">MIN(D499:M499)</f>
        <v>7</v>
      </c>
    </row>
    <row r="505" customFormat="false" ht="15" hidden="false" customHeight="false" outlineLevel="0" collapsed="false">
      <c r="A505" s="9" t="s">
        <v>518</v>
      </c>
      <c r="C505" s="46" t="n">
        <f aca="false">MIN(D500:M500)</f>
        <v>3</v>
      </c>
    </row>
    <row r="506" customFormat="false" ht="15" hidden="false" customHeight="false" outlineLevel="0" collapsed="false">
      <c r="A506" s="4" t="s">
        <v>519</v>
      </c>
      <c r="C506" s="23" t="n">
        <f aca="false">MIN(D501:M501)</f>
        <v>7</v>
      </c>
    </row>
    <row r="507" customFormat="false" ht="15" hidden="false" customHeight="false" outlineLevel="0" collapsed="false">
      <c r="A507" s="9" t="s">
        <v>520</v>
      </c>
      <c r="C507" s="46" t="n">
        <f aca="false">MIN(D502:M502)</f>
        <v>4</v>
      </c>
    </row>
    <row r="508" customFormat="false" ht="15" hidden="false" customHeight="false" outlineLevel="0" collapsed="false">
      <c r="A508" s="9" t="s">
        <v>521</v>
      </c>
      <c r="C508" s="46" t="n">
        <f aca="false">MIN(D503:M503)</f>
        <v>99</v>
      </c>
    </row>
    <row r="509" customFormat="false" ht="15" hidden="false" customHeight="false" outlineLevel="0" collapsed="false">
      <c r="A509" s="4" t="s">
        <v>522</v>
      </c>
      <c r="C509" s="15" t="n">
        <f aca="false">M497</f>
        <v>-4364.59048627814</v>
      </c>
    </row>
    <row r="510" customFormat="false" ht="15" hidden="false" customHeight="false" outlineLevel="0" collapsed="false">
      <c r="A510" s="9" t="s">
        <v>523</v>
      </c>
      <c r="C510" s="36" t="n">
        <f aca="false">SUMPRODUCT(D465:M465,D498:M498)</f>
        <v>295.619684090277</v>
      </c>
    </row>
    <row r="511" customFormat="false" ht="15" hidden="false" customHeight="false" outlineLevel="0" collapsed="false">
      <c r="A511" s="9" t="s">
        <v>524</v>
      </c>
      <c r="C511" s="36" t="n">
        <f aca="false">M465*(1+a_tg)/(lv_wacc-a_tg)</f>
        <v>2240.78941126656</v>
      </c>
    </row>
    <row r="512" customFormat="false" ht="15" hidden="false" customHeight="false" outlineLevel="0" collapsed="false">
      <c r="A512" s="9" t="s">
        <v>314</v>
      </c>
      <c r="C512" s="36" t="n">
        <f aca="false">C511*M498</f>
        <v>660.110451163529</v>
      </c>
    </row>
    <row r="513" customFormat="false" ht="15" hidden="false" customHeight="false" outlineLevel="0" collapsed="false">
      <c r="A513" s="4" t="s">
        <v>525</v>
      </c>
      <c r="C513" s="15" t="n">
        <f aca="false">C510+C512</f>
        <v>955.730135253806</v>
      </c>
    </row>
    <row r="514" customFormat="false" ht="15" hidden="false" customHeight="false" outlineLevel="0" collapsed="false">
      <c r="A514" s="9" t="s">
        <v>526</v>
      </c>
      <c r="C514" s="32" t="n">
        <f aca="false">SUMPRODUCT(D475:M475,D498:M498)-a_recovery*M477*M498</f>
        <v>0</v>
      </c>
    </row>
    <row r="515" customFormat="false" ht="15" hidden="false" customHeight="false" outlineLevel="0" collapsed="false">
      <c r="A515" s="9" t="s">
        <v>527</v>
      </c>
      <c r="C515" s="36" t="n">
        <f aca="false">SUMPRODUCT(D474:M474,D498:M498)*(1-a_tax)</f>
        <v>0</v>
      </c>
    </row>
    <row r="516" customFormat="false" ht="15" hidden="false" customHeight="false" outlineLevel="0" collapsed="false">
      <c r="A516" s="9" t="s">
        <v>528</v>
      </c>
      <c r="C516" s="36" t="n">
        <f aca="false">C473*D498</f>
        <v>141.592920353982</v>
      </c>
    </row>
    <row r="517" customFormat="false" ht="15" hidden="false" customHeight="false" outlineLevel="0" collapsed="false">
      <c r="A517" s="4" t="s">
        <v>529</v>
      </c>
      <c r="C517" s="20" t="n">
        <f aca="false">C513+C515-C514-C516-lv_price</f>
        <v>-3185.86278510018</v>
      </c>
    </row>
    <row r="518" customFormat="false" ht="15" hidden="false" customHeight="false" outlineLevel="0" collapsed="false">
      <c r="A518" s="9" t="s">
        <v>530</v>
      </c>
      <c r="C518" s="32" t="n">
        <f aca="false">C517+SUMPRODUCT(D494:M494,D498:M498)</f>
        <v>-2811.45198525943</v>
      </c>
    </row>
    <row r="519" customFormat="false" ht="15" hidden="false" customHeight="false" outlineLevel="0" collapsed="false">
      <c r="A519" s="4" t="s">
        <v>531</v>
      </c>
      <c r="C519" s="59" t="n">
        <f aca="false">lv_price/D455</f>
        <v>18.9393939393939</v>
      </c>
    </row>
    <row r="520" customFormat="false" ht="15" hidden="false" customHeight="false" outlineLevel="0" collapsed="false">
      <c r="A520" s="9" t="s">
        <v>532</v>
      </c>
      <c r="C520" s="17" t="n">
        <f aca="false">(lv_price+C514)/D455</f>
        <v>18.9393939393939</v>
      </c>
    </row>
    <row r="521" customFormat="false" ht="15" hidden="false" customHeight="false" outlineLevel="0" collapsed="false">
      <c r="A521" s="4" t="s">
        <v>533</v>
      </c>
      <c r="C521" s="15" t="n">
        <f aca="false">(C517+C514)/SUMPRODUCT(D498:M498)</f>
        <v>-587.121237596276</v>
      </c>
    </row>
    <row r="522" customFormat="false" ht="15" hidden="false" customHeight="false" outlineLevel="0" collapsed="false">
      <c r="A522" s="4" t="s">
        <v>534</v>
      </c>
      <c r="C522" s="25" t="n">
        <f aca="false">D485</f>
        <v>5.60783710629921</v>
      </c>
    </row>
    <row r="523" customFormat="false" ht="15" hidden="false" customHeight="false" outlineLevel="0" collapsed="false">
      <c r="A523" s="9" t="s">
        <v>535</v>
      </c>
      <c r="C523" s="50" t="n">
        <f aca="false">F485</f>
        <v>6.3495250984252</v>
      </c>
    </row>
    <row r="524" customFormat="false" ht="15" hidden="false" customHeight="false" outlineLevel="0" collapsed="false">
      <c r="A524" s="4" t="s">
        <v>536</v>
      </c>
      <c r="C524" s="20" t="n">
        <f aca="false">D493</f>
        <v>-274.916</v>
      </c>
    </row>
    <row r="525" customFormat="false" ht="15" hidden="false" customHeight="false" outlineLevel="0" collapsed="false">
      <c r="A525" s="9" t="s">
        <v>537</v>
      </c>
      <c r="C525" s="32" t="n">
        <f aca="false">cf_cash-lv_mix_cash-C473</f>
        <v>6640</v>
      </c>
    </row>
    <row r="526" customFormat="false" ht="15" hidden="false" customHeight="false" outlineLevel="0" collapsed="false">
      <c r="A526" s="9" t="s">
        <v>538</v>
      </c>
      <c r="C526" s="32" t="n">
        <f aca="false">cf_debt+lv_mix_debt</f>
        <v>350</v>
      </c>
    </row>
    <row r="527" customFormat="false" ht="15" hidden="false" customHeight="false" outlineLevel="0" collapsed="false">
      <c r="A527" s="9" t="s">
        <v>539</v>
      </c>
      <c r="C527" s="34" t="n">
        <f aca="false">C526/cf_ebitda</f>
        <v>0.546875</v>
      </c>
    </row>
    <row r="528" customFormat="false" ht="15" hidden="false" customHeight="false" outlineLevel="0" collapsed="false">
      <c r="A528" s="9" t="s">
        <v>540</v>
      </c>
      <c r="C528" s="32" t="n">
        <f aca="false">C525+SUM(D496:F496)+3*cf_pat</f>
        <v>7652.11472</v>
      </c>
    </row>
    <row r="530" customFormat="false" ht="15" hidden="false" customHeight="false" outlineLevel="0" collapsed="false">
      <c r="A530" s="7" t="s">
        <v>649</v>
      </c>
      <c r="B530" s="8"/>
      <c r="C530" s="8"/>
      <c r="D530" s="8"/>
      <c r="E530" s="8"/>
      <c r="F530" s="8"/>
      <c r="G530" s="8"/>
      <c r="H530" s="8"/>
      <c r="I530" s="8"/>
      <c r="J530" s="8"/>
      <c r="K530" s="8"/>
      <c r="L530" s="8"/>
      <c r="M530" s="8"/>
      <c r="N530" s="8"/>
    </row>
    <row r="531" customFormat="false" ht="15" hidden="false" customHeight="false" outlineLevel="0" collapsed="false">
      <c r="A531" s="4" t="s">
        <v>284</v>
      </c>
      <c r="C531" s="39" t="n">
        <v>0</v>
      </c>
      <c r="D531" s="39" t="n">
        <v>1</v>
      </c>
      <c r="E531" s="39" t="n">
        <v>2</v>
      </c>
      <c r="F531" s="39" t="n">
        <v>3</v>
      </c>
      <c r="G531" s="39" t="n">
        <v>4</v>
      </c>
      <c r="H531" s="39" t="n">
        <v>5</v>
      </c>
      <c r="I531" s="39" t="n">
        <v>6</v>
      </c>
      <c r="J531" s="39" t="n">
        <v>7</v>
      </c>
      <c r="K531" s="39" t="n">
        <v>8</v>
      </c>
      <c r="L531" s="39" t="n">
        <v>9</v>
      </c>
      <c r="M531" s="39" t="n">
        <v>10</v>
      </c>
    </row>
    <row r="532" customFormat="false" ht="15" hidden="false" customHeight="false" outlineLevel="0" collapsed="false">
      <c r="A532" s="9" t="s">
        <v>285</v>
      </c>
      <c r="C532" s="40" t="n">
        <f aca="false">cf_arr</f>
        <v>220</v>
      </c>
      <c r="D532" s="36" t="n">
        <f aca="false">C532*(1+lv_g)</f>
        <v>264</v>
      </c>
      <c r="E532" s="36" t="n">
        <f aca="false">D532*(1+lv_g)</f>
        <v>316.8</v>
      </c>
      <c r="F532" s="36" t="n">
        <f aca="false">E532*(1+lv_g)</f>
        <v>380.16</v>
      </c>
      <c r="G532" s="36" t="n">
        <f aca="false">F532*(1+lv_g)</f>
        <v>456.192</v>
      </c>
      <c r="H532" s="36" t="n">
        <f aca="false">G532*(1+lv_g)</f>
        <v>547.4304</v>
      </c>
      <c r="I532" s="36" t="n">
        <f aca="false">H532*(1+lv_g)</f>
        <v>656.91648</v>
      </c>
      <c r="J532" s="36" t="n">
        <f aca="false">I532*(1+lv_g)</f>
        <v>788.299776</v>
      </c>
      <c r="K532" s="36" t="n">
        <f aca="false">J532*(1+lv_g)</f>
        <v>945.9597312</v>
      </c>
      <c r="L532" s="36" t="n">
        <f aca="false">K532*(1+lv_g)</f>
        <v>1135.15167744</v>
      </c>
      <c r="M532" s="36" t="n">
        <f aca="false">L532*(1+lv_g)</f>
        <v>1362.182012928</v>
      </c>
    </row>
    <row r="533" customFormat="false" ht="15" hidden="false" customHeight="false" outlineLevel="0" collapsed="false">
      <c r="A533" s="9" t="s">
        <v>286</v>
      </c>
      <c r="C533" s="18" t="n">
        <f aca="false">1</f>
        <v>1</v>
      </c>
      <c r="D533" s="18" t="n">
        <f aca="false">IF(D531&gt;=a_churn_year,1-Churn!$A$16,1)</f>
        <v>0.7</v>
      </c>
      <c r="E533" s="18" t="n">
        <f aca="false">IF(E531&gt;=a_churn_year,1-Churn!$A$16,1)</f>
        <v>0.7</v>
      </c>
      <c r="F533" s="18" t="n">
        <f aca="false">IF(F531&gt;=a_churn_year,1-Churn!$A$16,1)</f>
        <v>0.7</v>
      </c>
      <c r="G533" s="18" t="n">
        <f aca="false">IF(G531&gt;=a_churn_year,1-Churn!$A$16,1)</f>
        <v>0.7</v>
      </c>
      <c r="H533" s="18" t="n">
        <f aca="false">IF(H531&gt;=a_churn_year,1-Churn!$A$16,1)</f>
        <v>0.7</v>
      </c>
      <c r="I533" s="18" t="n">
        <f aca="false">IF(I531&gt;=a_churn_year,1-Churn!$A$16,1)</f>
        <v>0.7</v>
      </c>
      <c r="J533" s="18" t="n">
        <f aca="false">IF(J531&gt;=a_churn_year,1-Churn!$A$16,1)</f>
        <v>0.7</v>
      </c>
      <c r="K533" s="18" t="n">
        <f aca="false">IF(K531&gt;=a_churn_year,1-Churn!$A$16,1)</f>
        <v>0.7</v>
      </c>
      <c r="L533" s="18" t="n">
        <f aca="false">IF(L531&gt;=a_churn_year,1-Churn!$A$16,1)</f>
        <v>0.7</v>
      </c>
      <c r="M533" s="18" t="n">
        <f aca="false">IF(M531&gt;=a_churn_year,1-Churn!$A$16,1)</f>
        <v>0.7</v>
      </c>
    </row>
    <row r="534" customFormat="false" ht="15" hidden="false" customHeight="false" outlineLevel="0" collapsed="false">
      <c r="A534" s="4" t="s">
        <v>287</v>
      </c>
      <c r="C534" s="41" t="n">
        <f aca="false">C532*C533</f>
        <v>220</v>
      </c>
      <c r="D534" s="41" t="n">
        <f aca="false">D532*D533</f>
        <v>184.8</v>
      </c>
      <c r="E534" s="41" t="n">
        <f aca="false">E532*E533</f>
        <v>221.76</v>
      </c>
      <c r="F534" s="41" t="n">
        <f aca="false">F532*F533</f>
        <v>266.112</v>
      </c>
      <c r="G534" s="41" t="n">
        <f aca="false">G532*G533</f>
        <v>319.3344</v>
      </c>
      <c r="H534" s="41" t="n">
        <f aca="false">H532*H533</f>
        <v>383.20128</v>
      </c>
      <c r="I534" s="41" t="n">
        <f aca="false">I532*I533</f>
        <v>459.841536</v>
      </c>
      <c r="J534" s="41" t="n">
        <f aca="false">J532*J533</f>
        <v>551.8098432</v>
      </c>
      <c r="K534" s="41" t="n">
        <f aca="false">K532*K533</f>
        <v>662.17181184</v>
      </c>
      <c r="L534" s="41" t="n">
        <f aca="false">L532*L533</f>
        <v>794.606174208</v>
      </c>
      <c r="M534" s="41" t="n">
        <f aca="false">M532*M533</f>
        <v>953.5274090496</v>
      </c>
    </row>
    <row r="535" customFormat="false" ht="15" hidden="false" customHeight="false" outlineLevel="0" collapsed="false">
      <c r="A535" s="9" t="s">
        <v>288</v>
      </c>
      <c r="C535" s="18" t="n">
        <f aca="false">MIN(a_m0+a_mstep*C531,a_mcap)</f>
        <v>0</v>
      </c>
      <c r="D535" s="18" t="n">
        <f aca="false">MIN(a_m0+a_mstep*D531,a_mcap)</f>
        <v>0.05</v>
      </c>
      <c r="E535" s="18" t="n">
        <f aca="false">MIN(a_m0+a_mstep*E531,a_mcap)</f>
        <v>0.1</v>
      </c>
      <c r="F535" s="18" t="n">
        <f aca="false">MIN(a_m0+a_mstep*F531,a_mcap)</f>
        <v>0.15</v>
      </c>
      <c r="G535" s="18" t="n">
        <f aca="false">MIN(a_m0+a_mstep*G531,a_mcap)</f>
        <v>0.2</v>
      </c>
      <c r="H535" s="18" t="n">
        <f aca="false">MIN(a_m0+a_mstep*H531,a_mcap)</f>
        <v>0.25</v>
      </c>
      <c r="I535" s="18" t="n">
        <f aca="false">MIN(a_m0+a_mstep*I531,a_mcap)</f>
        <v>0.25</v>
      </c>
      <c r="J535" s="18" t="n">
        <f aca="false">MIN(a_m0+a_mstep*J531,a_mcap)</f>
        <v>0.25</v>
      </c>
      <c r="K535" s="18" t="n">
        <f aca="false">MIN(a_m0+a_mstep*K531,a_mcap)</f>
        <v>0.25</v>
      </c>
      <c r="L535" s="18" t="n">
        <f aca="false">MIN(a_m0+a_mstep*L531,a_mcap)</f>
        <v>0.25</v>
      </c>
      <c r="M535" s="18" t="n">
        <f aca="false">MIN(a_m0+a_mstep*M531,a_mcap)</f>
        <v>0.25</v>
      </c>
    </row>
    <row r="536" customFormat="false" ht="15" hidden="false" customHeight="false" outlineLevel="0" collapsed="false">
      <c r="A536" s="9" t="s">
        <v>289</v>
      </c>
      <c r="C536" s="36" t="n">
        <f aca="false">IF(C531=a_churn_year,a_sticky*(C532-C534)*(1-C535),0)</f>
        <v>0</v>
      </c>
      <c r="D536" s="36" t="n">
        <f aca="false">IF(D531=a_churn_year,a_sticky*(D532-D534)*(1-D535),0)</f>
        <v>37.62</v>
      </c>
      <c r="E536" s="36" t="n">
        <f aca="false">IF(E531=a_churn_year,a_sticky*(E532-E534)*(1-E535),0)</f>
        <v>0</v>
      </c>
      <c r="F536" s="36" t="n">
        <f aca="false">IF(F531=a_churn_year,a_sticky*(F532-F534)*(1-F535),0)</f>
        <v>0</v>
      </c>
      <c r="G536" s="36" t="n">
        <f aca="false">IF(G531=a_churn_year,a_sticky*(G532-G534)*(1-G535),0)</f>
        <v>0</v>
      </c>
      <c r="H536" s="36" t="n">
        <f aca="false">IF(H531=a_churn_year,a_sticky*(H532-H534)*(1-H535),0)</f>
        <v>0</v>
      </c>
      <c r="I536" s="36" t="n">
        <f aca="false">IF(I531=a_churn_year,a_sticky*(I532-I534)*(1-I535),0)</f>
        <v>0</v>
      </c>
      <c r="J536" s="36" t="n">
        <f aca="false">IF(J531=a_churn_year,a_sticky*(J532-J534)*(1-J535),0)</f>
        <v>0</v>
      </c>
      <c r="K536" s="36" t="n">
        <f aca="false">IF(K531=a_churn_year,a_sticky*(K532-K534)*(1-K535),0)</f>
        <v>0</v>
      </c>
      <c r="L536" s="36" t="n">
        <f aca="false">IF(L531=a_churn_year,a_sticky*(L532-L534)*(1-L535),0)</f>
        <v>0</v>
      </c>
      <c r="M536" s="36" t="n">
        <f aca="false">IF(M531=a_churn_year,a_sticky*(M532-M534)*(1-M535),0)</f>
        <v>0</v>
      </c>
    </row>
    <row r="537" customFormat="false" ht="15" hidden="false" customHeight="false" outlineLevel="0" collapsed="false">
      <c r="A537" s="4" t="s">
        <v>290</v>
      </c>
      <c r="C537" s="41" t="n">
        <f aca="false">C534*C535-C536</f>
        <v>0</v>
      </c>
      <c r="D537" s="41" t="n">
        <f aca="false">D534*D535-D536</f>
        <v>-28.38</v>
      </c>
      <c r="E537" s="41" t="n">
        <f aca="false">E534*E535-E536</f>
        <v>22.176</v>
      </c>
      <c r="F537" s="41" t="n">
        <f aca="false">F534*F535-F536</f>
        <v>39.9168</v>
      </c>
      <c r="G537" s="41" t="n">
        <f aca="false">G534*G535-G536</f>
        <v>63.86688</v>
      </c>
      <c r="H537" s="41" t="n">
        <f aca="false">H534*H535-H536</f>
        <v>95.80032</v>
      </c>
      <c r="I537" s="41" t="n">
        <f aca="false">I534*I535-I536</f>
        <v>114.960384</v>
      </c>
      <c r="J537" s="41" t="n">
        <f aca="false">J534*J535-J536</f>
        <v>137.9524608</v>
      </c>
      <c r="K537" s="41" t="n">
        <f aca="false">K534*K535-K536</f>
        <v>165.54295296</v>
      </c>
      <c r="L537" s="41" t="n">
        <f aca="false">L534*L535-L536</f>
        <v>198.651543552</v>
      </c>
      <c r="M537" s="41" t="n">
        <f aca="false">M534*M535-M536</f>
        <v>238.3818522624</v>
      </c>
    </row>
    <row r="538" customFormat="false" ht="15" hidden="false" customHeight="false" outlineLevel="0" collapsed="false">
      <c r="A538" s="9" t="s">
        <v>291</v>
      </c>
      <c r="C538" s="36" t="n">
        <f aca="false">C534*a_da</f>
        <v>6.6</v>
      </c>
      <c r="D538" s="36" t="n">
        <f aca="false">D534*a_da</f>
        <v>5.544</v>
      </c>
      <c r="E538" s="36" t="n">
        <f aca="false">E534*a_da</f>
        <v>6.6528</v>
      </c>
      <c r="F538" s="36" t="n">
        <f aca="false">F534*a_da</f>
        <v>7.98336</v>
      </c>
      <c r="G538" s="36" t="n">
        <f aca="false">G534*a_da</f>
        <v>9.580032</v>
      </c>
      <c r="H538" s="36" t="n">
        <f aca="false">H534*a_da</f>
        <v>11.4960384</v>
      </c>
      <c r="I538" s="36" t="n">
        <f aca="false">I534*a_da</f>
        <v>13.79524608</v>
      </c>
      <c r="J538" s="36" t="n">
        <f aca="false">J534*a_da</f>
        <v>16.554295296</v>
      </c>
      <c r="K538" s="36" t="n">
        <f aca="false">K534*a_da</f>
        <v>19.8651543552</v>
      </c>
      <c r="L538" s="36" t="n">
        <f aca="false">L534*a_da</f>
        <v>23.83818522624</v>
      </c>
      <c r="M538" s="36" t="n">
        <f aca="false">M534*a_da</f>
        <v>28.605822271488</v>
      </c>
    </row>
    <row r="539" customFormat="false" ht="15" hidden="false" customHeight="false" outlineLevel="0" collapsed="false">
      <c r="A539" s="9" t="s">
        <v>292</v>
      </c>
      <c r="C539" s="36" t="n">
        <f aca="false">C537-C538</f>
        <v>-6.6</v>
      </c>
      <c r="D539" s="36" t="n">
        <f aca="false">D537-D538</f>
        <v>-33.924</v>
      </c>
      <c r="E539" s="36" t="n">
        <f aca="false">E537-E538</f>
        <v>15.5232</v>
      </c>
      <c r="F539" s="36" t="n">
        <f aca="false">F537-F538</f>
        <v>31.93344</v>
      </c>
      <c r="G539" s="36" t="n">
        <f aca="false">G537-G538</f>
        <v>54.286848</v>
      </c>
      <c r="H539" s="36" t="n">
        <f aca="false">H537-H538</f>
        <v>84.3042816</v>
      </c>
      <c r="I539" s="36" t="n">
        <f aca="false">I537-I538</f>
        <v>101.16513792</v>
      </c>
      <c r="J539" s="36" t="n">
        <f aca="false">J537-J538</f>
        <v>121.398165504</v>
      </c>
      <c r="K539" s="36" t="n">
        <f aca="false">K537-K538</f>
        <v>145.6777986048</v>
      </c>
      <c r="L539" s="36" t="n">
        <f aca="false">L537-L538</f>
        <v>174.81335832576</v>
      </c>
      <c r="M539" s="36" t="n">
        <f aca="false">M537-M538</f>
        <v>209.776029990912</v>
      </c>
    </row>
    <row r="540" customFormat="false" ht="15" hidden="false" customHeight="false" outlineLevel="0" collapsed="false">
      <c r="A540" s="9" t="s">
        <v>293</v>
      </c>
      <c r="C540" s="36" t="n">
        <f aca="false">MAX(0,C539)*a_tax</f>
        <v>0</v>
      </c>
      <c r="D540" s="36" t="n">
        <f aca="false">MAX(0,D539)*a_tax</f>
        <v>0</v>
      </c>
      <c r="E540" s="36" t="n">
        <f aca="false">MAX(0,E539)*a_tax</f>
        <v>3.8808</v>
      </c>
      <c r="F540" s="36" t="n">
        <f aca="false">MAX(0,F539)*a_tax</f>
        <v>7.98336</v>
      </c>
      <c r="G540" s="36" t="n">
        <f aca="false">MAX(0,G539)*a_tax</f>
        <v>13.571712</v>
      </c>
      <c r="H540" s="36" t="n">
        <f aca="false">MAX(0,H539)*a_tax</f>
        <v>21.0760704</v>
      </c>
      <c r="I540" s="36" t="n">
        <f aca="false">MAX(0,I539)*a_tax</f>
        <v>25.29128448</v>
      </c>
      <c r="J540" s="36" t="n">
        <f aca="false">MAX(0,J539)*a_tax</f>
        <v>30.349541376</v>
      </c>
      <c r="K540" s="36" t="n">
        <f aca="false">MAX(0,K539)*a_tax</f>
        <v>36.4194496512</v>
      </c>
      <c r="L540" s="36" t="n">
        <f aca="false">MAX(0,L539)*a_tax</f>
        <v>43.70333958144</v>
      </c>
      <c r="M540" s="36" t="n">
        <f aca="false">MAX(0,M539)*a_tax</f>
        <v>52.444007497728</v>
      </c>
    </row>
    <row r="541" customFormat="false" ht="15" hidden="false" customHeight="false" outlineLevel="0" collapsed="false">
      <c r="A541" s="4" t="s">
        <v>294</v>
      </c>
      <c r="C541" s="42" t="n">
        <f aca="false">cf_lim_pat</f>
        <v>0</v>
      </c>
      <c r="D541" s="41" t="n">
        <f aca="false">D539-D540</f>
        <v>-33.924</v>
      </c>
      <c r="E541" s="41" t="n">
        <f aca="false">E539-E540</f>
        <v>11.6424</v>
      </c>
      <c r="F541" s="41" t="n">
        <f aca="false">F539-F540</f>
        <v>23.95008</v>
      </c>
      <c r="G541" s="41" t="n">
        <f aca="false">G539-G540</f>
        <v>40.715136</v>
      </c>
      <c r="H541" s="41" t="n">
        <f aca="false">H539-H540</f>
        <v>63.2282112</v>
      </c>
      <c r="I541" s="41" t="n">
        <f aca="false">I539-I540</f>
        <v>75.87385344</v>
      </c>
      <c r="J541" s="41" t="n">
        <f aca="false">J539-J540</f>
        <v>91.048624128</v>
      </c>
      <c r="K541" s="41" t="n">
        <f aca="false">K539-K540</f>
        <v>109.2583489536</v>
      </c>
      <c r="L541" s="41" t="n">
        <f aca="false">L539-L540</f>
        <v>131.11001874432</v>
      </c>
      <c r="M541" s="41" t="n">
        <f aca="false">M539-M540</f>
        <v>157.332022493184</v>
      </c>
    </row>
    <row r="542" customFormat="false" ht="15" hidden="false" customHeight="false" outlineLevel="0" collapsed="false">
      <c r="A542" s="9" t="s">
        <v>295</v>
      </c>
      <c r="C542" s="36" t="n">
        <f aca="false">C534*a_capex</f>
        <v>6.6</v>
      </c>
      <c r="D542" s="36" t="n">
        <f aca="false">D534*a_capex</f>
        <v>5.544</v>
      </c>
      <c r="E542" s="36" t="n">
        <f aca="false">E534*a_capex</f>
        <v>6.6528</v>
      </c>
      <c r="F542" s="36" t="n">
        <f aca="false">F534*a_capex</f>
        <v>7.98336</v>
      </c>
      <c r="G542" s="36" t="n">
        <f aca="false">G534*a_capex</f>
        <v>9.580032</v>
      </c>
      <c r="H542" s="36" t="n">
        <f aca="false">H534*a_capex</f>
        <v>11.4960384</v>
      </c>
      <c r="I542" s="36" t="n">
        <f aca="false">I534*a_capex</f>
        <v>13.79524608</v>
      </c>
      <c r="J542" s="36" t="n">
        <f aca="false">J534*a_capex</f>
        <v>16.554295296</v>
      </c>
      <c r="K542" s="36" t="n">
        <f aca="false">K534*a_capex</f>
        <v>19.8651543552</v>
      </c>
      <c r="L542" s="36" t="n">
        <f aca="false">L534*a_capex</f>
        <v>23.83818522624</v>
      </c>
      <c r="M542" s="36" t="n">
        <f aca="false">M534*a_capex</f>
        <v>28.605822271488</v>
      </c>
    </row>
    <row r="543" customFormat="false" ht="15" hidden="false" customHeight="false" outlineLevel="0" collapsed="false">
      <c r="A543" s="9" t="s">
        <v>296</v>
      </c>
      <c r="C543" s="36" t="n">
        <f aca="false">0</f>
        <v>0</v>
      </c>
      <c r="D543" s="36" t="n">
        <f aca="false">a_wc*(D534-C534)</f>
        <v>-1.76</v>
      </c>
      <c r="E543" s="36" t="n">
        <f aca="false">a_wc*(E534-D534)</f>
        <v>1.848</v>
      </c>
      <c r="F543" s="36" t="n">
        <f aca="false">a_wc*(F534-E534)</f>
        <v>2.2176</v>
      </c>
      <c r="G543" s="36" t="n">
        <f aca="false">a_wc*(G534-F534)</f>
        <v>2.66112</v>
      </c>
      <c r="H543" s="36" t="n">
        <f aca="false">a_wc*(H534-G534)</f>
        <v>3.193344</v>
      </c>
      <c r="I543" s="36" t="n">
        <f aca="false">a_wc*(I534-H534)</f>
        <v>3.8320128</v>
      </c>
      <c r="J543" s="36" t="n">
        <f aca="false">a_wc*(J534-I534)</f>
        <v>4.59841536</v>
      </c>
      <c r="K543" s="36" t="n">
        <f aca="false">a_wc*(K534-J534)</f>
        <v>5.51809843199999</v>
      </c>
      <c r="L543" s="36" t="n">
        <f aca="false">a_wc*(L534-K534)</f>
        <v>6.6217181184</v>
      </c>
      <c r="M543" s="36" t="n">
        <f aca="false">a_wc*(M534-L534)</f>
        <v>7.94606174208</v>
      </c>
    </row>
    <row r="544" customFormat="false" ht="15" hidden="false" customHeight="false" outlineLevel="0" collapsed="false">
      <c r="A544" s="4" t="s">
        <v>297</v>
      </c>
      <c r="C544" s="36" t="n">
        <f aca="false">0</f>
        <v>0</v>
      </c>
      <c r="D544" s="41" t="n">
        <f aca="false">D541+D538-D542-D543</f>
        <v>-32.164</v>
      </c>
      <c r="E544" s="41" t="n">
        <f aca="false">E541+E538-E542-E543</f>
        <v>9.7944</v>
      </c>
      <c r="F544" s="41" t="n">
        <f aca="false">F541+F538-F542-F543</f>
        <v>21.73248</v>
      </c>
      <c r="G544" s="41" t="n">
        <f aca="false">G541+G538-G542-G543</f>
        <v>38.054016</v>
      </c>
      <c r="H544" s="41" t="n">
        <f aca="false">H541+H538-H542-H543</f>
        <v>60.0348672</v>
      </c>
      <c r="I544" s="41" t="n">
        <f aca="false">I541+I538-I542-I543</f>
        <v>72.04184064</v>
      </c>
      <c r="J544" s="41" t="n">
        <f aca="false">J541+J538-J542-J543</f>
        <v>86.450208768</v>
      </c>
      <c r="K544" s="41" t="n">
        <f aca="false">K541+K538-K542-K543</f>
        <v>103.7402505216</v>
      </c>
      <c r="L544" s="41" t="n">
        <f aca="false">L541+L538-L542-L543</f>
        <v>124.48830062592</v>
      </c>
      <c r="M544" s="41" t="n">
        <f aca="false">M541+M538-M542-M543</f>
        <v>149.385960751104</v>
      </c>
    </row>
    <row r="546" customFormat="false" ht="15" hidden="false" customHeight="false" outlineLevel="0" collapsed="false">
      <c r="A546" s="7" t="s">
        <v>650</v>
      </c>
      <c r="B546" s="8"/>
      <c r="C546" s="8"/>
      <c r="D546" s="8"/>
      <c r="E546" s="8"/>
      <c r="F546" s="8"/>
      <c r="G546" s="8"/>
      <c r="H546" s="8"/>
      <c r="I546" s="8"/>
      <c r="J546" s="8"/>
      <c r="K546" s="8"/>
      <c r="L546" s="8"/>
      <c r="M546" s="8"/>
      <c r="N546" s="8"/>
    </row>
    <row r="547" customFormat="false" ht="15" hidden="false" customHeight="false" outlineLevel="0" collapsed="false">
      <c r="A547" s="9" t="s">
        <v>482</v>
      </c>
      <c r="C547" s="35" t="n">
        <f aca="false">lv_mix_eq/(c_price*(1-a_issue_disc))</f>
        <v>1.024</v>
      </c>
    </row>
    <row r="548" customFormat="false" ht="15" hidden="false" customHeight="false" outlineLevel="0" collapsed="false">
      <c r="A548" s="9" t="s">
        <v>449</v>
      </c>
      <c r="C548" s="35" t="n">
        <f aca="false">cf_shares+C547</f>
        <v>65.024</v>
      </c>
    </row>
    <row r="549" customFormat="false" ht="15" hidden="false" customHeight="false" outlineLevel="0" collapsed="false">
      <c r="A549" s="9" t="s">
        <v>483</v>
      </c>
      <c r="C549" s="36" t="n">
        <f aca="false">lv_mix_cash*a_yield*(1-a_tax)+lv_mix_debt*a_kd*(1-a_tax)</f>
        <v>94.5</v>
      </c>
    </row>
    <row r="550" customFormat="false" ht="15" hidden="false" customHeight="false" outlineLevel="0" collapsed="false">
      <c r="A550" s="9" t="s">
        <v>484</v>
      </c>
      <c r="C550" s="36" t="n">
        <f aca="false">lv_price*a_ppa_share/a_ppa_life*(1-a_tax)</f>
        <v>93.75</v>
      </c>
    </row>
    <row r="551" customFormat="false" ht="15" hidden="false" customHeight="false" outlineLevel="0" collapsed="false">
      <c r="A551" s="9" t="s">
        <v>485</v>
      </c>
      <c r="C551" s="36" t="n">
        <f aca="false">a_ppa_on*C550</f>
        <v>0</v>
      </c>
    </row>
    <row r="552" customFormat="false" ht="15" hidden="false" customHeight="false" outlineLevel="0" collapsed="false">
      <c r="A552" s="9" t="s">
        <v>486</v>
      </c>
      <c r="C552" s="36" t="n">
        <f aca="false">lv_price*a_fees_pct+a_integ_full</f>
        <v>160</v>
      </c>
    </row>
    <row r="553" customFormat="false" ht="15" hidden="false" customHeight="false" outlineLevel="0" collapsed="false">
      <c r="A553" s="9" t="s">
        <v>487</v>
      </c>
      <c r="C553" s="36" t="n">
        <f aca="false">0</f>
        <v>0</v>
      </c>
      <c r="D553" s="36" t="n">
        <f aca="false">a_syn_on*(a_syn_partner_rev_y3+a_syn_xsell_y3)*a_mcap*IF(D531=1,a_syn_ramp1,IF(D531=2,a_syn_ramp2,1))+a_syn_on*IF(D531&gt;=2,a_syn_cost,0)</f>
        <v>0</v>
      </c>
      <c r="E553" s="36" t="n">
        <f aca="false">a_syn_on*(a_syn_partner_rev_y3+a_syn_xsell_y3)*a_mcap*IF(E531=1,a_syn_ramp1,IF(E531=2,a_syn_ramp2,1))+a_syn_on*IF(E531&gt;=2,a_syn_cost,0)</f>
        <v>0</v>
      </c>
      <c r="F553" s="36" t="n">
        <f aca="false">a_syn_on*(a_syn_partner_rev_y3+a_syn_xsell_y3)*a_mcap*IF(F531=1,a_syn_ramp1,IF(F531=2,a_syn_ramp2,1))+a_syn_on*IF(F531&gt;=2,a_syn_cost,0)</f>
        <v>0</v>
      </c>
      <c r="G553" s="36" t="n">
        <f aca="false">a_syn_on*(a_syn_partner_rev_y3+a_syn_xsell_y3)*a_mcap*IF(G531=1,a_syn_ramp1,IF(G531=2,a_syn_ramp2,1))+a_syn_on*IF(G531&gt;=2,a_syn_cost,0)</f>
        <v>0</v>
      </c>
      <c r="H553" s="36" t="n">
        <f aca="false">a_syn_on*(a_syn_partner_rev_y3+a_syn_xsell_y3)*a_mcap*IF(H531=1,a_syn_ramp1,IF(H531=2,a_syn_ramp2,1))+a_syn_on*IF(H531&gt;=2,a_syn_cost,0)</f>
        <v>0</v>
      </c>
      <c r="I553" s="36" t="n">
        <f aca="false">a_syn_on*(a_syn_partner_rev_y3+a_syn_xsell_y3)*a_mcap*IF(I531=1,a_syn_ramp1,IF(I531=2,a_syn_ramp2,1))+a_syn_on*IF(I531&gt;=2,a_syn_cost,0)</f>
        <v>0</v>
      </c>
      <c r="J553" s="36" t="n">
        <f aca="false">a_syn_on*(a_syn_partner_rev_y3+a_syn_xsell_y3)*a_mcap*IF(J531=1,a_syn_ramp1,IF(J531=2,a_syn_ramp2,1))+a_syn_on*IF(J531&gt;=2,a_syn_cost,0)</f>
        <v>0</v>
      </c>
      <c r="K553" s="36" t="n">
        <f aca="false">a_syn_on*(a_syn_partner_rev_y3+a_syn_xsell_y3)*a_mcap*IF(K531=1,a_syn_ramp1,IF(K531=2,a_syn_ramp2,1))+a_syn_on*IF(K531&gt;=2,a_syn_cost,0)</f>
        <v>0</v>
      </c>
      <c r="L553" s="36" t="n">
        <f aca="false">a_syn_on*(a_syn_partner_rev_y3+a_syn_xsell_y3)*a_mcap*IF(L531=1,a_syn_ramp1,IF(L531=2,a_syn_ramp2,1))+a_syn_on*IF(L531&gt;=2,a_syn_cost,0)</f>
        <v>0</v>
      </c>
      <c r="M553" s="36" t="n">
        <f aca="false">a_syn_on*(a_syn_partner_rev_y3+a_syn_xsell_y3)*a_mcap*IF(M531=1,a_syn_ramp1,IF(M531=2,a_syn_ramp2,1))+a_syn_on*IF(M531&gt;=2,a_syn_cost,0)</f>
        <v>0</v>
      </c>
    </row>
    <row r="554" customFormat="false" ht="15" hidden="false" customHeight="false" outlineLevel="0" collapsed="false">
      <c r="A554" s="9" t="s">
        <v>488</v>
      </c>
      <c r="C554" s="36" t="n">
        <f aca="false">0</f>
        <v>0</v>
      </c>
      <c r="D554" s="36" t="n">
        <f aca="false">CHOOSE(lv_drag_mode,lv_drag,lv_drag*D534/cf_arr,lv_drag*(1-a_tax))</f>
        <v>750</v>
      </c>
      <c r="E554" s="36" t="n">
        <f aca="false">CHOOSE(lv_drag_mode,lv_drag,lv_drag*E534/cf_arr,lv_drag*(1-a_tax))</f>
        <v>750</v>
      </c>
      <c r="F554" s="36" t="n">
        <f aca="false">CHOOSE(lv_drag_mode,lv_drag,lv_drag*F534/cf_arr,lv_drag*(1-a_tax))</f>
        <v>750</v>
      </c>
      <c r="G554" s="36" t="n">
        <f aca="false">CHOOSE(lv_drag_mode,lv_drag,lv_drag*G534/cf_arr,lv_drag*(1-a_tax))</f>
        <v>750</v>
      </c>
      <c r="H554" s="36" t="n">
        <f aca="false">CHOOSE(lv_drag_mode,lv_drag,lv_drag*H534/cf_arr,lv_drag*(1-a_tax))</f>
        <v>750</v>
      </c>
      <c r="I554" s="36" t="n">
        <f aca="false">CHOOSE(lv_drag_mode,lv_drag,lv_drag*I534/cf_arr,lv_drag*(1-a_tax))</f>
        <v>750</v>
      </c>
      <c r="J554" s="36" t="n">
        <f aca="false">CHOOSE(lv_drag_mode,lv_drag,lv_drag*J534/cf_arr,lv_drag*(1-a_tax))</f>
        <v>750</v>
      </c>
      <c r="K554" s="36" t="n">
        <f aca="false">CHOOSE(lv_drag_mode,lv_drag,lv_drag*K534/cf_arr,lv_drag*(1-a_tax))</f>
        <v>750</v>
      </c>
      <c r="L554" s="36" t="n">
        <f aca="false">CHOOSE(lv_drag_mode,lv_drag,lv_drag*L534/cf_arr,lv_drag*(1-a_tax))</f>
        <v>750</v>
      </c>
      <c r="M554" s="36" t="n">
        <f aca="false">CHOOSE(lv_drag_mode,lv_drag,lv_drag*M534/cf_arr,lv_drag*(1-a_tax))</f>
        <v>750</v>
      </c>
    </row>
    <row r="555" customFormat="false" ht="15" hidden="false" customHeight="false" outlineLevel="0" collapsed="false">
      <c r="A555" s="9" t="s">
        <v>489</v>
      </c>
      <c r="C555" s="36" t="n">
        <f aca="false">0</f>
        <v>0</v>
      </c>
      <c r="D555" s="36" t="n">
        <f aca="false">IF(lv_drag_mode=3,lv_drag*(1-a_tax),0)</f>
        <v>0</v>
      </c>
      <c r="E555" s="36" t="n">
        <f aca="false">IF(lv_drag_mode=3,lv_drag*(1-a_tax),0)</f>
        <v>0</v>
      </c>
      <c r="F555" s="36" t="n">
        <f aca="false">IF(lv_drag_mode=3,lv_drag*(1-a_tax),0)</f>
        <v>0</v>
      </c>
      <c r="G555" s="36" t="n">
        <f aca="false">IF(lv_drag_mode=3,lv_drag*(1-a_tax),0)</f>
        <v>0</v>
      </c>
      <c r="H555" s="36" t="n">
        <f aca="false">IF(lv_drag_mode=3,lv_drag*(1-a_tax),0)</f>
        <v>0</v>
      </c>
      <c r="I555" s="36" t="n">
        <f aca="false">IF(lv_drag_mode=3,lv_drag*(1-a_tax),0)</f>
        <v>0</v>
      </c>
      <c r="J555" s="36" t="n">
        <f aca="false">IF(lv_drag_mode=3,lv_drag*(1-a_tax),0)</f>
        <v>0</v>
      </c>
      <c r="K555" s="36" t="n">
        <f aca="false">IF(lv_drag_mode=3,lv_drag*(1-a_tax),0)</f>
        <v>0</v>
      </c>
      <c r="L555" s="36" t="n">
        <f aca="false">IF(lv_drag_mode=3,lv_drag*(1-a_tax),0)</f>
        <v>0</v>
      </c>
      <c r="M555" s="36" t="n">
        <f aca="false">IF(lv_drag_mode=3,lv_drag*(1-a_tax),0)</f>
        <v>0</v>
      </c>
    </row>
    <row r="556" customFormat="false" ht="15" hidden="false" customHeight="false" outlineLevel="0" collapsed="false">
      <c r="A556" s="9" t="s">
        <v>490</v>
      </c>
      <c r="C556" s="36" t="n">
        <f aca="false">0</f>
        <v>0</v>
      </c>
      <c r="D556" s="36" t="n">
        <f aca="false">IF(lv_drag_mode=3,0,C556+D554)</f>
        <v>750</v>
      </c>
      <c r="E556" s="36" t="n">
        <f aca="false">IF(lv_drag_mode=3,0,D556+E554)</f>
        <v>1500</v>
      </c>
      <c r="F556" s="36" t="n">
        <f aca="false">IF(lv_drag_mode=3,0,E556+F554)</f>
        <v>2250</v>
      </c>
      <c r="G556" s="36" t="n">
        <f aca="false">IF(lv_drag_mode=3,0,F556+G554)</f>
        <v>3000</v>
      </c>
      <c r="H556" s="36" t="n">
        <f aca="false">IF(lv_drag_mode=3,0,G556+H554)</f>
        <v>3750</v>
      </c>
      <c r="I556" s="36" t="n">
        <f aca="false">IF(lv_drag_mode=3,0,H556+I554)</f>
        <v>4500</v>
      </c>
      <c r="J556" s="36" t="n">
        <f aca="false">IF(lv_drag_mode=3,0,I556+J554)</f>
        <v>5250</v>
      </c>
      <c r="K556" s="36" t="n">
        <f aca="false">IF(lv_drag_mode=3,0,J556+K554)</f>
        <v>6000</v>
      </c>
      <c r="L556" s="36" t="n">
        <f aca="false">IF(lv_drag_mode=3,0,K556+L554)</f>
        <v>6750</v>
      </c>
      <c r="M556" s="36" t="n">
        <f aca="false">IF(lv_drag_mode=3,0,L556+M554)</f>
        <v>7500</v>
      </c>
    </row>
    <row r="557" customFormat="false" ht="15" hidden="false" customHeight="false" outlineLevel="0" collapsed="false">
      <c r="A557" s="9" t="s">
        <v>491</v>
      </c>
      <c r="C557" s="36" t="n">
        <f aca="false">0</f>
        <v>0</v>
      </c>
      <c r="D557" s="36" t="n">
        <f aca="false">C556*a_yield*(1-a_tax)</f>
        <v>0</v>
      </c>
      <c r="E557" s="36" t="n">
        <f aca="false">D556*a_yield*(1-a_tax)</f>
        <v>33.75</v>
      </c>
      <c r="F557" s="36" t="n">
        <f aca="false">E556*a_yield*(1-a_tax)</f>
        <v>67.5</v>
      </c>
      <c r="G557" s="36" t="n">
        <f aca="false">F556*a_yield*(1-a_tax)</f>
        <v>101.25</v>
      </c>
      <c r="H557" s="36" t="n">
        <f aca="false">G556*a_yield*(1-a_tax)</f>
        <v>135</v>
      </c>
      <c r="I557" s="36" t="n">
        <f aca="false">H556*a_yield*(1-a_tax)</f>
        <v>168.75</v>
      </c>
      <c r="J557" s="36" t="n">
        <f aca="false">I556*a_yield*(1-a_tax)</f>
        <v>202.5</v>
      </c>
      <c r="K557" s="36" t="n">
        <f aca="false">J556*a_yield*(1-a_tax)</f>
        <v>236.25</v>
      </c>
      <c r="L557" s="36" t="n">
        <f aca="false">K556*a_yield*(1-a_tax)</f>
        <v>270</v>
      </c>
      <c r="M557" s="36" t="n">
        <f aca="false">L556*a_yield*(1-a_tax)</f>
        <v>303.75</v>
      </c>
    </row>
    <row r="558" customFormat="false" ht="15" hidden="false" customHeight="false" outlineLevel="0" collapsed="false">
      <c r="A558" s="9" t="s">
        <v>492</v>
      </c>
      <c r="C558" s="36" t="n">
        <f aca="false">cf_pat</f>
        <v>480</v>
      </c>
      <c r="D558" s="36" t="n">
        <f aca="false">cf_pat*(1+a_pat_growth)^D531</f>
        <v>480</v>
      </c>
      <c r="E558" s="36" t="n">
        <f aca="false">cf_pat*(1+a_pat_growth)^E531</f>
        <v>480</v>
      </c>
      <c r="F558" s="36" t="n">
        <f aca="false">cf_pat*(1+a_pat_growth)^F531</f>
        <v>480</v>
      </c>
      <c r="G558" s="36" t="n">
        <f aca="false">cf_pat*(1+a_pat_growth)^G531</f>
        <v>480</v>
      </c>
      <c r="H558" s="36" t="n">
        <f aca="false">cf_pat*(1+a_pat_growth)^H531</f>
        <v>480</v>
      </c>
      <c r="I558" s="36" t="n">
        <f aca="false">cf_pat*(1+a_pat_growth)^I531</f>
        <v>480</v>
      </c>
      <c r="J558" s="36" t="n">
        <f aca="false">cf_pat*(1+a_pat_growth)^J531</f>
        <v>480</v>
      </c>
      <c r="K558" s="36" t="n">
        <f aca="false">cf_pat*(1+a_pat_growth)^K531</f>
        <v>480</v>
      </c>
      <c r="L558" s="36" t="n">
        <f aca="false">cf_pat*(1+a_pat_growth)^L531</f>
        <v>480</v>
      </c>
      <c r="M558" s="36" t="n">
        <f aca="false">cf_pat*(1+a_pat_growth)^M531</f>
        <v>480</v>
      </c>
    </row>
    <row r="559" customFormat="false" ht="15" hidden="false" customHeight="false" outlineLevel="0" collapsed="false">
      <c r="A559" s="9" t="s">
        <v>493</v>
      </c>
      <c r="C559" s="36" t="n">
        <f aca="false">0</f>
        <v>0</v>
      </c>
      <c r="D559" s="36" t="n">
        <f aca="false">cf_mdr*a_mdr_flow*(1-a_tax)</f>
        <v>69</v>
      </c>
      <c r="E559" s="36" t="n">
        <f aca="false">cf_mdr*a_mdr_flow*(1-a_tax)</f>
        <v>69</v>
      </c>
      <c r="F559" s="36" t="n">
        <f aca="false">cf_mdr*a_mdr_flow*(1-a_tax)</f>
        <v>69</v>
      </c>
      <c r="G559" s="36" t="n">
        <f aca="false">cf_mdr*a_mdr_flow*(1-a_tax)</f>
        <v>69</v>
      </c>
      <c r="H559" s="36" t="n">
        <f aca="false">cf_mdr*a_mdr_flow*(1-a_tax)</f>
        <v>69</v>
      </c>
      <c r="I559" s="36" t="n">
        <f aca="false">cf_mdr*a_mdr_flow*(1-a_tax)</f>
        <v>69</v>
      </c>
      <c r="J559" s="36" t="n">
        <f aca="false">cf_mdr*a_mdr_flow*(1-a_tax)</f>
        <v>69</v>
      </c>
      <c r="K559" s="36" t="n">
        <f aca="false">cf_mdr*a_mdr_flow*(1-a_tax)</f>
        <v>69</v>
      </c>
      <c r="L559" s="36" t="n">
        <f aca="false">cf_mdr*a_mdr_flow*(1-a_tax)</f>
        <v>69</v>
      </c>
      <c r="M559" s="36" t="n">
        <f aca="false">cf_mdr*a_mdr_flow*(1-a_tax)</f>
        <v>69</v>
      </c>
    </row>
    <row r="560" customFormat="false" ht="15" hidden="false" customHeight="false" outlineLevel="0" collapsed="false">
      <c r="A560" s="9" t="s">
        <v>494</v>
      </c>
      <c r="C560" s="50" t="n">
        <f aca="false">cf_eps</f>
        <v>7.5</v>
      </c>
      <c r="D560" s="50" t="n">
        <f aca="false">D558/cf_shares</f>
        <v>7.5</v>
      </c>
      <c r="E560" s="50" t="n">
        <f aca="false">E558/cf_shares</f>
        <v>7.5</v>
      </c>
      <c r="F560" s="50" t="n">
        <f aca="false">F558/cf_shares</f>
        <v>7.5</v>
      </c>
      <c r="G560" s="50" t="n">
        <f aca="false">G558/cf_shares</f>
        <v>7.5</v>
      </c>
      <c r="H560" s="50" t="n">
        <f aca="false">H558/cf_shares</f>
        <v>7.5</v>
      </c>
      <c r="I560" s="50" t="n">
        <f aca="false">I558/cf_shares</f>
        <v>7.5</v>
      </c>
      <c r="J560" s="50" t="n">
        <f aca="false">J558/cf_shares</f>
        <v>7.5</v>
      </c>
      <c r="K560" s="50" t="n">
        <f aca="false">K558/cf_shares</f>
        <v>7.5</v>
      </c>
      <c r="L560" s="50" t="n">
        <f aca="false">L558/cf_shares</f>
        <v>7.5</v>
      </c>
      <c r="M560" s="50" t="n">
        <f aca="false">M558/cf_shares</f>
        <v>7.5</v>
      </c>
    </row>
    <row r="561" customFormat="false" ht="15" hidden="false" customHeight="false" outlineLevel="0" collapsed="false">
      <c r="A561" s="9" t="s">
        <v>495</v>
      </c>
      <c r="C561" s="50" t="n">
        <f aca="false">cf_eps</f>
        <v>7.5</v>
      </c>
      <c r="D561" s="50" t="n">
        <f aca="false">(D558+D559)/cf_shares</f>
        <v>8.578125</v>
      </c>
      <c r="E561" s="50" t="n">
        <f aca="false">(E558+E559)/cf_shares</f>
        <v>8.578125</v>
      </c>
      <c r="F561" s="50" t="n">
        <f aca="false">(F558+F559)/cf_shares</f>
        <v>8.578125</v>
      </c>
      <c r="G561" s="50" t="n">
        <f aca="false">(G558+G559)/cf_shares</f>
        <v>8.578125</v>
      </c>
      <c r="H561" s="50" t="n">
        <f aca="false">(H558+H559)/cf_shares</f>
        <v>8.578125</v>
      </c>
      <c r="I561" s="50" t="n">
        <f aca="false">(I558+I559)/cf_shares</f>
        <v>8.578125</v>
      </c>
      <c r="J561" s="50" t="n">
        <f aca="false">(J558+J559)/cf_shares</f>
        <v>8.578125</v>
      </c>
      <c r="K561" s="50" t="n">
        <f aca="false">(K558+K559)/cf_shares</f>
        <v>8.578125</v>
      </c>
      <c r="L561" s="50" t="n">
        <f aca="false">(L558+L559)/cf_shares</f>
        <v>8.578125</v>
      </c>
      <c r="M561" s="50" t="n">
        <f aca="false">(M558+M559)/cf_shares</f>
        <v>8.578125</v>
      </c>
    </row>
    <row r="562" customFormat="false" ht="15" hidden="false" customHeight="false" outlineLevel="0" collapsed="false">
      <c r="A562" s="4" t="s">
        <v>496</v>
      </c>
      <c r="C562" s="41" t="n">
        <f aca="false">-C549-C551</f>
        <v>-94.5</v>
      </c>
      <c r="D562" s="41" t="n">
        <f aca="false">D541+D553*(1-a_tax)-C549-C551-D555-D557</f>
        <v>-128.424</v>
      </c>
      <c r="E562" s="41" t="n">
        <f aca="false">E541+E553*(1-a_tax)-C549-C551-E555-E557</f>
        <v>-116.6076</v>
      </c>
      <c r="F562" s="41" t="n">
        <f aca="false">F541+F553*(1-a_tax)-C549-C551-F555-F557</f>
        <v>-138.04992</v>
      </c>
      <c r="G562" s="41" t="n">
        <f aca="false">G541+G553*(1-a_tax)-C549-C551-G555-G557</f>
        <v>-155.034864</v>
      </c>
      <c r="H562" s="41" t="n">
        <f aca="false">H541+H553*(1-a_tax)-C549-C551-H555-H557</f>
        <v>-166.2717888</v>
      </c>
      <c r="I562" s="41" t="n">
        <f aca="false">I541+I553*(1-a_tax)-C549-C551-I555-I557</f>
        <v>-187.37614656</v>
      </c>
      <c r="J562" s="41" t="n">
        <f aca="false">J541+J553*(1-a_tax)-C549-C551-J555-J557</f>
        <v>-205.951375872</v>
      </c>
      <c r="K562" s="41" t="n">
        <f aca="false">K541+K553*(1-a_tax)-C549-C551-K555-K557</f>
        <v>-221.4916510464</v>
      </c>
      <c r="L562" s="41" t="n">
        <f aca="false">L541+L553*(1-a_tax)-C549-C551-L555-L557</f>
        <v>-233.38998125568</v>
      </c>
      <c r="M562" s="41" t="n">
        <f aca="false">M541+M553*(1-a_tax)-C549-C551-M555-M557</f>
        <v>-240.917977506816</v>
      </c>
    </row>
    <row r="563" customFormat="false" ht="15" hidden="false" customHeight="false" outlineLevel="0" collapsed="false">
      <c r="A563" s="9" t="s">
        <v>497</v>
      </c>
      <c r="C563" s="36" t="n">
        <f aca="false">C558+C562</f>
        <v>385.5</v>
      </c>
      <c r="D563" s="36" t="n">
        <f aca="false">D558+D562</f>
        <v>351.576</v>
      </c>
      <c r="E563" s="36" t="n">
        <f aca="false">E558+E562</f>
        <v>363.3924</v>
      </c>
      <c r="F563" s="36" t="n">
        <f aca="false">F558+F562</f>
        <v>341.95008</v>
      </c>
      <c r="G563" s="36" t="n">
        <f aca="false">G558+G562</f>
        <v>324.965136</v>
      </c>
      <c r="H563" s="36" t="n">
        <f aca="false">H558+H562</f>
        <v>313.7282112</v>
      </c>
      <c r="I563" s="36" t="n">
        <f aca="false">I558+I562</f>
        <v>292.62385344</v>
      </c>
      <c r="J563" s="36" t="n">
        <f aca="false">J558+J562</f>
        <v>274.048624128</v>
      </c>
      <c r="K563" s="36" t="n">
        <f aca="false">K558+K562</f>
        <v>258.5083489536</v>
      </c>
      <c r="L563" s="36" t="n">
        <f aca="false">L558+L562</f>
        <v>246.61001874432</v>
      </c>
      <c r="M563" s="36" t="n">
        <f aca="false">M558+M562</f>
        <v>239.082022493184</v>
      </c>
    </row>
    <row r="564" customFormat="false" ht="15" hidden="false" customHeight="false" outlineLevel="0" collapsed="false">
      <c r="A564" s="4" t="s">
        <v>498</v>
      </c>
      <c r="C564" s="48" t="n">
        <f aca="false">C563/C548</f>
        <v>5.92858021653543</v>
      </c>
      <c r="D564" s="48" t="n">
        <f aca="false">D563/C548</f>
        <v>5.40686515748032</v>
      </c>
      <c r="E564" s="48" t="n">
        <f aca="false">E563/C548</f>
        <v>5.58858882874016</v>
      </c>
      <c r="F564" s="48" t="n">
        <f aca="false">F563/C548</f>
        <v>5.25882874015748</v>
      </c>
      <c r="G564" s="48" t="n">
        <f aca="false">G563/C548</f>
        <v>4.99761835629921</v>
      </c>
      <c r="H564" s="48" t="n">
        <f aca="false">H563/C548</f>
        <v>4.82480639763779</v>
      </c>
      <c r="I564" s="48" t="n">
        <f aca="false">I563/C548</f>
        <v>4.50024380905512</v>
      </c>
      <c r="J564" s="48" t="n">
        <f aca="false">J563/C548</f>
        <v>4.21457652755906</v>
      </c>
      <c r="K564" s="48" t="n">
        <f aca="false">K563/C548</f>
        <v>3.97558361456693</v>
      </c>
      <c r="L564" s="48" t="n">
        <f aca="false">L563/C548</f>
        <v>3.79259994377953</v>
      </c>
      <c r="M564" s="48" t="n">
        <f aca="false">M563/C548</f>
        <v>3.67682736363779</v>
      </c>
    </row>
    <row r="565" customFormat="false" ht="15" hidden="false" customHeight="false" outlineLevel="0" collapsed="false">
      <c r="A565" s="4" t="s">
        <v>499</v>
      </c>
      <c r="C565" s="14" t="n">
        <f aca="false">C564/cf_eps-1</f>
        <v>-0.209522637795276</v>
      </c>
      <c r="D565" s="14" t="n">
        <f aca="false">D564/cf_eps-1</f>
        <v>-0.279084645669291</v>
      </c>
      <c r="E565" s="14" t="n">
        <f aca="false">E564/cf_eps-1</f>
        <v>-0.254854822834646</v>
      </c>
      <c r="F565" s="14" t="n">
        <f aca="false">F564/cf_eps-1</f>
        <v>-0.298822834645669</v>
      </c>
      <c r="G565" s="14" t="n">
        <f aca="false">G564/cf_eps-1</f>
        <v>-0.333650885826772</v>
      </c>
      <c r="H565" s="14" t="n">
        <f aca="false">H564/cf_eps-1</f>
        <v>-0.356692480314961</v>
      </c>
      <c r="I565" s="14" t="n">
        <f aca="false">I564/cf_eps-1</f>
        <v>-0.399967492125984</v>
      </c>
      <c r="J565" s="14" t="n">
        <f aca="false">J564/cf_eps-1</f>
        <v>-0.438056462992126</v>
      </c>
      <c r="K565" s="14" t="n">
        <f aca="false">K564/cf_eps-1</f>
        <v>-0.46992218472441</v>
      </c>
      <c r="L565" s="14" t="n">
        <f aca="false">L564/cf_eps-1</f>
        <v>-0.494320007496063</v>
      </c>
      <c r="M565" s="14" t="n">
        <f aca="false">M564/cf_eps-1</f>
        <v>-0.509756351514961</v>
      </c>
    </row>
    <row r="566" customFormat="false" ht="15" hidden="false" customHeight="false" outlineLevel="0" collapsed="false">
      <c r="A566" s="9" t="s">
        <v>500</v>
      </c>
      <c r="C566" s="50" t="n">
        <f aca="false">C564</f>
        <v>5.92858021653543</v>
      </c>
      <c r="D566" s="50" t="n">
        <f aca="false">(D563+D559)/C548</f>
        <v>6.46801181102362</v>
      </c>
      <c r="E566" s="50" t="n">
        <f aca="false">(E563+E559)/C548</f>
        <v>6.64973548228346</v>
      </c>
      <c r="F566" s="50" t="n">
        <f aca="false">(F563+F559)/C548</f>
        <v>6.31997539370079</v>
      </c>
      <c r="G566" s="50" t="n">
        <f aca="false">(G563+G559)/C548</f>
        <v>6.05876500984252</v>
      </c>
      <c r="H566" s="50" t="n">
        <f aca="false">(H563+H559)/C548</f>
        <v>5.8859530511811</v>
      </c>
      <c r="I566" s="50" t="n">
        <f aca="false">(I563+I559)/C548</f>
        <v>5.56139046259843</v>
      </c>
      <c r="J566" s="50" t="n">
        <f aca="false">(J563+J559)/C548</f>
        <v>5.27572318110236</v>
      </c>
      <c r="K566" s="50" t="n">
        <f aca="false">(K563+K559)/C548</f>
        <v>5.03673026811024</v>
      </c>
      <c r="L566" s="50" t="n">
        <f aca="false">(L563+L559)/C548</f>
        <v>4.85374659732283</v>
      </c>
      <c r="M566" s="50" t="n">
        <f aca="false">(M563+M559)/C548</f>
        <v>4.7379740171811</v>
      </c>
    </row>
    <row r="567" customFormat="false" ht="15" hidden="false" customHeight="false" outlineLevel="0" collapsed="false">
      <c r="A567" s="9" t="s">
        <v>501</v>
      </c>
      <c r="C567" s="18" t="n">
        <f aca="false">C565</f>
        <v>-0.209522637795276</v>
      </c>
      <c r="D567" s="18" t="n">
        <f aca="false">D566/D561-1</f>
        <v>-0.245987694161181</v>
      </c>
      <c r="E567" s="18" t="n">
        <f aca="false">E566/E561-1</f>
        <v>-0.224803149606299</v>
      </c>
      <c r="F567" s="18" t="n">
        <f aca="false">F566/F561-1</f>
        <v>-0.263245127145992</v>
      </c>
      <c r="G567" s="18" t="n">
        <f aca="false">G566/G561-1</f>
        <v>-0.293695882277011</v>
      </c>
      <c r="H567" s="18" t="n">
        <f aca="false">H566/H561-1</f>
        <v>-0.313841538660127</v>
      </c>
      <c r="I567" s="18" t="n">
        <f aca="false">I566/I561-1</f>
        <v>-0.351677614560475</v>
      </c>
      <c r="J567" s="18" t="n">
        <f aca="false">J566/J561-1</f>
        <v>-0.384979447011746</v>
      </c>
      <c r="K567" s="18" t="n">
        <f aca="false">K566/K561-1</f>
        <v>-0.412840187324126</v>
      </c>
      <c r="L567" s="18" t="n">
        <f aca="false">L566/L561-1</f>
        <v>-0.434171617069834</v>
      </c>
      <c r="M567" s="18" t="n">
        <f aca="false">M566/M561-1</f>
        <v>-0.447667874135536</v>
      </c>
    </row>
    <row r="568" customFormat="false" ht="15" hidden="false" customHeight="false" outlineLevel="0" collapsed="false">
      <c r="A568" s="9" t="s">
        <v>502</v>
      </c>
      <c r="C568" s="50" t="n">
        <f aca="false">(C563+C551)/C548</f>
        <v>5.92858021653543</v>
      </c>
      <c r="D568" s="50" t="n">
        <f aca="false">(D563+C551)/C548</f>
        <v>5.40686515748032</v>
      </c>
      <c r="E568" s="50" t="n">
        <f aca="false">(E563+C551)/C548</f>
        <v>5.58858882874016</v>
      </c>
      <c r="F568" s="50" t="n">
        <f aca="false">(F563+C551)/C548</f>
        <v>5.25882874015748</v>
      </c>
      <c r="G568" s="50" t="n">
        <f aca="false">(G563+C551)/C548</f>
        <v>4.99761835629921</v>
      </c>
      <c r="H568" s="50" t="n">
        <f aca="false">(H563+C551)/C548</f>
        <v>4.82480639763779</v>
      </c>
      <c r="I568" s="50" t="n">
        <f aca="false">(I563+C551)/C548</f>
        <v>4.50024380905512</v>
      </c>
      <c r="J568" s="50" t="n">
        <f aca="false">(J563+C551)/C548</f>
        <v>4.21457652755906</v>
      </c>
      <c r="K568" s="50" t="n">
        <f aca="false">(K563+C551)/C548</f>
        <v>3.97558361456693</v>
      </c>
      <c r="L568" s="50" t="n">
        <f aca="false">(L563+C551)/C548</f>
        <v>3.79259994377953</v>
      </c>
      <c r="M568" s="50" t="n">
        <f aca="false">(M563+C551)/C548</f>
        <v>3.67682736363779</v>
      </c>
    </row>
    <row r="569" customFormat="false" ht="15" hidden="false" customHeight="false" outlineLevel="0" collapsed="false">
      <c r="A569" s="9" t="s">
        <v>503</v>
      </c>
      <c r="C569" s="50" t="n">
        <f aca="false">(C563-C550+C551)/C548</f>
        <v>4.48680487204724</v>
      </c>
      <c r="D569" s="50" t="n">
        <f aca="false">(D563-C550+C551)/C548</f>
        <v>3.96508981299213</v>
      </c>
      <c r="E569" s="50" t="n">
        <f aca="false">(E563-C550+C551)/C548</f>
        <v>4.14681348425197</v>
      </c>
      <c r="F569" s="50" t="n">
        <f aca="false">(F563-C550+C551)/C548</f>
        <v>3.81705339566929</v>
      </c>
      <c r="G569" s="50" t="n">
        <f aca="false">(G563-C550+C551)/C548</f>
        <v>3.55584301181102</v>
      </c>
      <c r="H569" s="50" t="n">
        <f aca="false">(H563-C550+C551)/C548</f>
        <v>3.38303105314961</v>
      </c>
      <c r="I569" s="50" t="n">
        <f aca="false">(I563-C550+C551)/C548</f>
        <v>3.05846846456693</v>
      </c>
      <c r="J569" s="50" t="n">
        <f aca="false">(J563-C550+C551)/C548</f>
        <v>2.77280118307087</v>
      </c>
      <c r="K569" s="50" t="n">
        <f aca="false">(K563-C550+C551)/C548</f>
        <v>2.53380827007874</v>
      </c>
      <c r="L569" s="50" t="n">
        <f aca="false">(L563-C550+C551)/C548</f>
        <v>2.35082459929134</v>
      </c>
      <c r="M569" s="50" t="n">
        <f aca="false">(M563-C550+C551)/C548</f>
        <v>2.23505201914961</v>
      </c>
    </row>
    <row r="570" customFormat="false" ht="15" hidden="false" customHeight="false" outlineLevel="0" collapsed="false">
      <c r="A570" s="9" t="s">
        <v>504</v>
      </c>
      <c r="C570" s="50" t="n">
        <f aca="false">C558/C548</f>
        <v>7.38188976377953</v>
      </c>
      <c r="D570" s="50" t="n">
        <f aca="false">D558/C548</f>
        <v>7.38188976377953</v>
      </c>
      <c r="E570" s="50" t="n">
        <f aca="false">E558/C548</f>
        <v>7.38188976377953</v>
      </c>
      <c r="F570" s="50" t="n">
        <f aca="false">F558/C548</f>
        <v>7.38188976377953</v>
      </c>
      <c r="G570" s="50" t="n">
        <f aca="false">G558/C548</f>
        <v>7.38188976377953</v>
      </c>
      <c r="H570" s="50" t="n">
        <f aca="false">H558/C548</f>
        <v>7.38188976377953</v>
      </c>
      <c r="I570" s="50" t="n">
        <f aca="false">I558/C548</f>
        <v>7.38188976377953</v>
      </c>
      <c r="J570" s="50" t="n">
        <f aca="false">J558/C548</f>
        <v>7.38188976377953</v>
      </c>
      <c r="K570" s="50" t="n">
        <f aca="false">K558/C548</f>
        <v>7.38188976377953</v>
      </c>
      <c r="L570" s="50" t="n">
        <f aca="false">L558/C548</f>
        <v>7.38188976377953</v>
      </c>
      <c r="M570" s="50" t="n">
        <f aca="false">M558/C548</f>
        <v>7.38188976377953</v>
      </c>
    </row>
    <row r="571" customFormat="false" ht="15" hidden="false" customHeight="false" outlineLevel="0" collapsed="false">
      <c r="A571" s="9" t="s">
        <v>505</v>
      </c>
      <c r="D571" s="36" t="n">
        <f aca="false">D544+D553*(1-a_tax)-D554-IF(D531=1,C552,0)</f>
        <v>-942.164</v>
      </c>
      <c r="E571" s="36" t="n">
        <f aca="false">E544+E553*(1-a_tax)-E554-IF(E531=1,C552,0)</f>
        <v>-740.2056</v>
      </c>
      <c r="F571" s="36" t="n">
        <f aca="false">F544+F553*(1-a_tax)-F554-IF(F531=1,C552,0)</f>
        <v>-728.26752</v>
      </c>
      <c r="G571" s="36" t="n">
        <f aca="false">G544+G553*(1-a_tax)-G554-IF(G531=1,C552,0)</f>
        <v>-711.945984</v>
      </c>
      <c r="H571" s="36" t="n">
        <f aca="false">H544+H553*(1-a_tax)-H554-IF(H531=1,C552,0)</f>
        <v>-689.9651328</v>
      </c>
      <c r="I571" s="36" t="n">
        <f aca="false">I544+I553*(1-a_tax)-I554-IF(I531=1,C552,0)</f>
        <v>-677.95815936</v>
      </c>
      <c r="J571" s="36" t="n">
        <f aca="false">J544+J553*(1-a_tax)-J554-IF(J531=1,C552,0)</f>
        <v>-663.549791232</v>
      </c>
      <c r="K571" s="36" t="n">
        <f aca="false">K544+K553*(1-a_tax)-K554-IF(K531=1,C552,0)</f>
        <v>-646.2597494784</v>
      </c>
      <c r="L571" s="36" t="n">
        <f aca="false">L544+L553*(1-a_tax)-L554-IF(L531=1,C552,0)</f>
        <v>-625.51169937408</v>
      </c>
      <c r="M571" s="36" t="n">
        <f aca="false">M544+M553*(1-a_tax)-M554-IF(M531=1,C552,0)</f>
        <v>-600.614039248896</v>
      </c>
    </row>
    <row r="572" customFormat="false" ht="15" hidden="false" customHeight="false" outlineLevel="0" collapsed="false">
      <c r="A572" s="4" t="s">
        <v>506</v>
      </c>
      <c r="D572" s="41" t="n">
        <f aca="false">D571-C549</f>
        <v>-1036.664</v>
      </c>
      <c r="E572" s="41" t="n">
        <f aca="false">E571-C549</f>
        <v>-834.7056</v>
      </c>
      <c r="F572" s="41" t="n">
        <f aca="false">F571-C549</f>
        <v>-822.76752</v>
      </c>
      <c r="G572" s="41" t="n">
        <f aca="false">G571-C549</f>
        <v>-806.445984</v>
      </c>
      <c r="H572" s="41" t="n">
        <f aca="false">H571-C549</f>
        <v>-784.4651328</v>
      </c>
      <c r="I572" s="41" t="n">
        <f aca="false">I571-C549</f>
        <v>-772.45815936</v>
      </c>
      <c r="J572" s="41" t="n">
        <f aca="false">J571-C549</f>
        <v>-758.049791232</v>
      </c>
      <c r="K572" s="41" t="n">
        <f aca="false">K571-C549</f>
        <v>-740.7597494784</v>
      </c>
      <c r="L572" s="41" t="n">
        <f aca="false">L571-C549</f>
        <v>-720.01169937408</v>
      </c>
      <c r="M572" s="41" t="n">
        <f aca="false">M571-C549</f>
        <v>-695.114039248896</v>
      </c>
    </row>
    <row r="573" customFormat="false" ht="15" hidden="false" customHeight="false" outlineLevel="0" collapsed="false">
      <c r="A573" s="9" t="s">
        <v>507</v>
      </c>
      <c r="C573" s="36" t="n">
        <f aca="false">0</f>
        <v>0</v>
      </c>
      <c r="D573" s="36" t="n">
        <f aca="false">D559</f>
        <v>69</v>
      </c>
      <c r="E573" s="36" t="n">
        <f aca="false">E559</f>
        <v>69</v>
      </c>
      <c r="F573" s="36" t="n">
        <f aca="false">F559</f>
        <v>69</v>
      </c>
      <c r="G573" s="36" t="n">
        <f aca="false">G559</f>
        <v>69</v>
      </c>
      <c r="H573" s="36" t="n">
        <f aca="false">H559</f>
        <v>69</v>
      </c>
      <c r="I573" s="36" t="n">
        <f aca="false">I559</f>
        <v>69</v>
      </c>
      <c r="J573" s="36" t="n">
        <f aca="false">J559</f>
        <v>69</v>
      </c>
      <c r="K573" s="36" t="n">
        <f aca="false">K559</f>
        <v>69</v>
      </c>
      <c r="L573" s="36" t="n">
        <f aca="false">L559</f>
        <v>69</v>
      </c>
      <c r="M573" s="36" t="n">
        <f aca="false">M559</f>
        <v>69</v>
      </c>
    </row>
    <row r="574" customFormat="false" ht="15" hidden="false" customHeight="false" outlineLevel="0" collapsed="false">
      <c r="A574" s="9" t="s">
        <v>508</v>
      </c>
      <c r="D574" s="36" t="n">
        <f aca="false">D572+D573</f>
        <v>-967.664</v>
      </c>
      <c r="E574" s="36" t="n">
        <f aca="false">E572+E573</f>
        <v>-765.7056</v>
      </c>
      <c r="F574" s="36" t="n">
        <f aca="false">F572+F573</f>
        <v>-753.76752</v>
      </c>
      <c r="G574" s="36" t="n">
        <f aca="false">G572+G573</f>
        <v>-737.445984</v>
      </c>
      <c r="H574" s="36" t="n">
        <f aca="false">H572+H573</f>
        <v>-715.4651328</v>
      </c>
      <c r="I574" s="36" t="n">
        <f aca="false">I572+I573</f>
        <v>-703.45815936</v>
      </c>
      <c r="J574" s="36" t="n">
        <f aca="false">J572+J573</f>
        <v>-689.049791232</v>
      </c>
      <c r="K574" s="36" t="n">
        <f aca="false">K572+K573</f>
        <v>-671.7597494784</v>
      </c>
      <c r="L574" s="36" t="n">
        <f aca="false">L572+L573</f>
        <v>-651.01169937408</v>
      </c>
      <c r="M574" s="36" t="n">
        <f aca="false">M572+M573</f>
        <v>-626.114039248896</v>
      </c>
    </row>
    <row r="575" customFormat="false" ht="15" hidden="false" customHeight="false" outlineLevel="0" collapsed="false">
      <c r="A575" s="9" t="s">
        <v>509</v>
      </c>
      <c r="D575" s="36" t="n">
        <f aca="false">IF(lv_mdr_in_deal=1,D574,D572)</f>
        <v>-1036.664</v>
      </c>
      <c r="E575" s="36" t="n">
        <f aca="false">IF(lv_mdr_in_deal=1,E574,E572)</f>
        <v>-834.7056</v>
      </c>
      <c r="F575" s="36" t="n">
        <f aca="false">IF(lv_mdr_in_deal=1,F574,F572)</f>
        <v>-822.76752</v>
      </c>
      <c r="G575" s="36" t="n">
        <f aca="false">IF(lv_mdr_in_deal=1,G574,G572)</f>
        <v>-806.445984</v>
      </c>
      <c r="H575" s="36" t="n">
        <f aca="false">IF(lv_mdr_in_deal=1,H574,H572)</f>
        <v>-784.4651328</v>
      </c>
      <c r="I575" s="36" t="n">
        <f aca="false">IF(lv_mdr_in_deal=1,I574,I572)</f>
        <v>-772.45815936</v>
      </c>
      <c r="J575" s="36" t="n">
        <f aca="false">IF(lv_mdr_in_deal=1,J574,J572)</f>
        <v>-758.049791232</v>
      </c>
      <c r="K575" s="36" t="n">
        <f aca="false">IF(lv_mdr_in_deal=1,K574,K572)</f>
        <v>-740.7597494784</v>
      </c>
      <c r="L575" s="36" t="n">
        <f aca="false">IF(lv_mdr_in_deal=1,L574,L572)</f>
        <v>-720.01169937408</v>
      </c>
      <c r="M575" s="36" t="n">
        <f aca="false">IF(lv_mdr_in_deal=1,M574,M572)</f>
        <v>-695.114039248896</v>
      </c>
    </row>
    <row r="576" customFormat="false" ht="15" hidden="false" customHeight="false" outlineLevel="0" collapsed="false">
      <c r="A576" s="9" t="s">
        <v>510</v>
      </c>
      <c r="C576" s="36" t="n">
        <f aca="false">-lv_price</f>
        <v>-4000</v>
      </c>
      <c r="D576" s="36" t="n">
        <f aca="false">C576+D575</f>
        <v>-5036.664</v>
      </c>
      <c r="E576" s="36" t="n">
        <f aca="false">D576+E575</f>
        <v>-5871.3696</v>
      </c>
      <c r="F576" s="36" t="n">
        <f aca="false">E576+F575</f>
        <v>-6694.13712</v>
      </c>
      <c r="G576" s="36" t="n">
        <f aca="false">F576+G575</f>
        <v>-7500.583104</v>
      </c>
      <c r="H576" s="36" t="n">
        <f aca="false">G576+H575</f>
        <v>-8285.0482368</v>
      </c>
      <c r="I576" s="36" t="n">
        <f aca="false">H576+I575</f>
        <v>-9057.50639616</v>
      </c>
      <c r="J576" s="36" t="n">
        <f aca="false">I576+J575</f>
        <v>-9815.556187392</v>
      </c>
      <c r="K576" s="36" t="n">
        <f aca="false">J576+K575</f>
        <v>-10556.3159368704</v>
      </c>
      <c r="L576" s="36" t="n">
        <f aca="false">K576+L575</f>
        <v>-11276.3276362445</v>
      </c>
      <c r="M576" s="36" t="n">
        <f aca="false">L576+M575</f>
        <v>-11971.4416754934</v>
      </c>
    </row>
    <row r="577" customFormat="false" ht="15" hidden="false" customHeight="false" outlineLevel="0" collapsed="false">
      <c r="A577" s="9" t="s">
        <v>511</v>
      </c>
      <c r="C577" s="43" t="n">
        <f aca="false">1</f>
        <v>1</v>
      </c>
      <c r="D577" s="43" t="n">
        <f aca="false">1/(1+lv_wacc)^D531</f>
        <v>0.884955752212389</v>
      </c>
      <c r="E577" s="43" t="n">
        <f aca="false">1/(1+lv_wacc)^E531</f>
        <v>0.783146683373796</v>
      </c>
      <c r="F577" s="43" t="n">
        <f aca="false">1/(1+lv_wacc)^F531</f>
        <v>0.693050162277696</v>
      </c>
      <c r="G577" s="43" t="n">
        <f aca="false">1/(1+lv_wacc)^G531</f>
        <v>0.613318727679377</v>
      </c>
      <c r="H577" s="43" t="n">
        <f aca="false">1/(1+lv_wacc)^H531</f>
        <v>0.542759935999449</v>
      </c>
      <c r="I577" s="43" t="n">
        <f aca="false">1/(1+lv_wacc)^I531</f>
        <v>0.48031852743314</v>
      </c>
      <c r="J577" s="43" t="n">
        <f aca="false">1/(1+lv_wacc)^J531</f>
        <v>0.425060643746142</v>
      </c>
      <c r="K577" s="43" t="n">
        <f aca="false">1/(1+lv_wacc)^K531</f>
        <v>0.37615986172225</v>
      </c>
      <c r="L577" s="43" t="n">
        <f aca="false">1/(1+lv_wacc)^L531</f>
        <v>0.332884833382522</v>
      </c>
      <c r="M577" s="43" t="n">
        <f aca="false">1/(1+lv_wacc)^M531</f>
        <v>0.294588348126126</v>
      </c>
    </row>
    <row r="578" customFormat="false" ht="15" hidden="false" customHeight="false" outlineLevel="0" collapsed="false">
      <c r="A578" s="9" t="s">
        <v>512</v>
      </c>
      <c r="C578" s="46" t="n">
        <f aca="false">99</f>
        <v>99</v>
      </c>
      <c r="D578" s="46" t="n">
        <f aca="false">IF(D562&gt;=0,D531,99)</f>
        <v>99</v>
      </c>
      <c r="E578" s="46" t="n">
        <f aca="false">IF(E562&gt;=0,E531,99)</f>
        <v>99</v>
      </c>
      <c r="F578" s="46" t="n">
        <f aca="false">IF(F562&gt;=0,F531,99)</f>
        <v>99</v>
      </c>
      <c r="G578" s="46" t="n">
        <f aca="false">IF(G562&gt;=0,G531,99)</f>
        <v>99</v>
      </c>
      <c r="H578" s="46" t="n">
        <f aca="false">IF(H562&gt;=0,H531,99)</f>
        <v>99</v>
      </c>
      <c r="I578" s="46" t="n">
        <f aca="false">IF(I562&gt;=0,I531,99)</f>
        <v>99</v>
      </c>
      <c r="J578" s="46" t="n">
        <f aca="false">IF(J562&gt;=0,J531,99)</f>
        <v>99</v>
      </c>
      <c r="K578" s="46" t="n">
        <f aca="false">IF(K562&gt;=0,K531,99)</f>
        <v>99</v>
      </c>
      <c r="L578" s="46" t="n">
        <f aca="false">IF(L562&gt;=0,L531,99)</f>
        <v>99</v>
      </c>
      <c r="M578" s="46" t="n">
        <f aca="false">IF(M562&gt;=0,M531,99)</f>
        <v>99</v>
      </c>
    </row>
    <row r="579" customFormat="false" ht="15" hidden="false" customHeight="false" outlineLevel="0" collapsed="false">
      <c r="A579" s="9" t="s">
        <v>513</v>
      </c>
      <c r="C579" s="46" t="n">
        <f aca="false">99</f>
        <v>99</v>
      </c>
      <c r="D579" s="46" t="n">
        <f aca="false">IF(D562+D559&gt;=0,D531,99)</f>
        <v>99</v>
      </c>
      <c r="E579" s="46" t="n">
        <f aca="false">IF(E562+E559&gt;=0,E531,99)</f>
        <v>99</v>
      </c>
      <c r="F579" s="46" t="n">
        <f aca="false">IF(F562+F559&gt;=0,F531,99)</f>
        <v>99</v>
      </c>
      <c r="G579" s="46" t="n">
        <f aca="false">IF(G562+G559&gt;=0,G531,99)</f>
        <v>99</v>
      </c>
      <c r="H579" s="46" t="n">
        <f aca="false">IF(H562+H559&gt;=0,H531,99)</f>
        <v>99</v>
      </c>
      <c r="I579" s="46" t="n">
        <f aca="false">IF(I562+I559&gt;=0,I531,99)</f>
        <v>99</v>
      </c>
      <c r="J579" s="46" t="n">
        <f aca="false">IF(J562+J559&gt;=0,J531,99)</f>
        <v>99</v>
      </c>
      <c r="K579" s="46" t="n">
        <f aca="false">IF(K562+K559&gt;=0,K531,99)</f>
        <v>99</v>
      </c>
      <c r="L579" s="46" t="n">
        <f aca="false">IF(L562+L559&gt;=0,L531,99)</f>
        <v>99</v>
      </c>
      <c r="M579" s="46" t="n">
        <f aca="false">IF(M562+M559&gt;=0,M531,99)</f>
        <v>99</v>
      </c>
    </row>
    <row r="580" customFormat="false" ht="15" hidden="false" customHeight="false" outlineLevel="0" collapsed="false">
      <c r="A580" s="9" t="s">
        <v>514</v>
      </c>
      <c r="C580" s="46" t="n">
        <f aca="false">99</f>
        <v>99</v>
      </c>
      <c r="D580" s="46" t="n">
        <f aca="false">IF(D572&gt;=0,D531,99)</f>
        <v>99</v>
      </c>
      <c r="E580" s="46" t="n">
        <f aca="false">IF(E572&gt;=0,E531,99)</f>
        <v>99</v>
      </c>
      <c r="F580" s="46" t="n">
        <f aca="false">IF(F572&gt;=0,F531,99)</f>
        <v>99</v>
      </c>
      <c r="G580" s="46" t="n">
        <f aca="false">IF(G572&gt;=0,G531,99)</f>
        <v>99</v>
      </c>
      <c r="H580" s="46" t="n">
        <f aca="false">IF(H572&gt;=0,H531,99)</f>
        <v>99</v>
      </c>
      <c r="I580" s="46" t="n">
        <f aca="false">IF(I572&gt;=0,I531,99)</f>
        <v>99</v>
      </c>
      <c r="J580" s="46" t="n">
        <f aca="false">IF(J572&gt;=0,J531,99)</f>
        <v>99</v>
      </c>
      <c r="K580" s="46" t="n">
        <f aca="false">IF(K572&gt;=0,K531,99)</f>
        <v>99</v>
      </c>
      <c r="L580" s="46" t="n">
        <f aca="false">IF(L572&gt;=0,L531,99)</f>
        <v>99</v>
      </c>
      <c r="M580" s="46" t="n">
        <f aca="false">IF(M572&gt;=0,M531,99)</f>
        <v>99</v>
      </c>
    </row>
    <row r="581" customFormat="false" ht="15" hidden="false" customHeight="false" outlineLevel="0" collapsed="false">
      <c r="A581" s="9" t="s">
        <v>515</v>
      </c>
      <c r="C581" s="46" t="n">
        <f aca="false">99</f>
        <v>99</v>
      </c>
      <c r="D581" s="46" t="n">
        <f aca="false">IF(D574&gt;=0,D531,99)</f>
        <v>99</v>
      </c>
      <c r="E581" s="46" t="n">
        <f aca="false">IF(E574&gt;=0,E531,99)</f>
        <v>99</v>
      </c>
      <c r="F581" s="46" t="n">
        <f aca="false">IF(F574&gt;=0,F531,99)</f>
        <v>99</v>
      </c>
      <c r="G581" s="46" t="n">
        <f aca="false">IF(G574&gt;=0,G531,99)</f>
        <v>99</v>
      </c>
      <c r="H581" s="46" t="n">
        <f aca="false">IF(H574&gt;=0,H531,99)</f>
        <v>99</v>
      </c>
      <c r="I581" s="46" t="n">
        <f aca="false">IF(I574&gt;=0,I531,99)</f>
        <v>99</v>
      </c>
      <c r="J581" s="46" t="n">
        <f aca="false">IF(J574&gt;=0,J531,99)</f>
        <v>99</v>
      </c>
      <c r="K581" s="46" t="n">
        <f aca="false">IF(K574&gt;=0,K531,99)</f>
        <v>99</v>
      </c>
      <c r="L581" s="46" t="n">
        <f aca="false">IF(L574&gt;=0,L531,99)</f>
        <v>99</v>
      </c>
      <c r="M581" s="46" t="n">
        <f aca="false">IF(M574&gt;=0,M531,99)</f>
        <v>99</v>
      </c>
    </row>
    <row r="582" customFormat="false" ht="15" hidden="false" customHeight="false" outlineLevel="0" collapsed="false">
      <c r="A582" s="9" t="s">
        <v>516</v>
      </c>
      <c r="C582" s="46" t="n">
        <f aca="false">99</f>
        <v>99</v>
      </c>
      <c r="D582" s="46" t="n">
        <f aca="false">IF(D576&gt;=0,D531,99)</f>
        <v>99</v>
      </c>
      <c r="E582" s="46" t="n">
        <f aca="false">IF(E576&gt;=0,E531,99)</f>
        <v>99</v>
      </c>
      <c r="F582" s="46" t="n">
        <f aca="false">IF(F576&gt;=0,F531,99)</f>
        <v>99</v>
      </c>
      <c r="G582" s="46" t="n">
        <f aca="false">IF(G576&gt;=0,G531,99)</f>
        <v>99</v>
      </c>
      <c r="H582" s="46" t="n">
        <f aca="false">IF(H576&gt;=0,H531,99)</f>
        <v>99</v>
      </c>
      <c r="I582" s="46" t="n">
        <f aca="false">IF(I576&gt;=0,I531,99)</f>
        <v>99</v>
      </c>
      <c r="J582" s="46" t="n">
        <f aca="false">IF(J576&gt;=0,J531,99)</f>
        <v>99</v>
      </c>
      <c r="K582" s="46" t="n">
        <f aca="false">IF(K576&gt;=0,K531,99)</f>
        <v>99</v>
      </c>
      <c r="L582" s="46" t="n">
        <f aca="false">IF(L576&gt;=0,L531,99)</f>
        <v>99</v>
      </c>
      <c r="M582" s="46" t="n">
        <f aca="false">IF(M576&gt;=0,M531,99)</f>
        <v>99</v>
      </c>
    </row>
    <row r="583" customFormat="false" ht="15" hidden="false" customHeight="false" outlineLevel="0" collapsed="false">
      <c r="A583" s="4" t="s">
        <v>517</v>
      </c>
      <c r="C583" s="23" t="n">
        <f aca="false">MIN(D578:M578)</f>
        <v>99</v>
      </c>
    </row>
    <row r="584" customFormat="false" ht="15" hidden="false" customHeight="false" outlineLevel="0" collapsed="false">
      <c r="A584" s="9" t="s">
        <v>518</v>
      </c>
      <c r="C584" s="46" t="n">
        <f aca="false">MIN(D579:M579)</f>
        <v>99</v>
      </c>
    </row>
    <row r="585" customFormat="false" ht="15" hidden="false" customHeight="false" outlineLevel="0" collapsed="false">
      <c r="A585" s="4" t="s">
        <v>519</v>
      </c>
      <c r="C585" s="23" t="n">
        <f aca="false">MIN(D580:M580)</f>
        <v>99</v>
      </c>
    </row>
    <row r="586" customFormat="false" ht="15" hidden="false" customHeight="false" outlineLevel="0" collapsed="false">
      <c r="A586" s="9" t="s">
        <v>520</v>
      </c>
      <c r="C586" s="46" t="n">
        <f aca="false">MIN(D581:M581)</f>
        <v>99</v>
      </c>
    </row>
    <row r="587" customFormat="false" ht="15" hidden="false" customHeight="false" outlineLevel="0" collapsed="false">
      <c r="A587" s="9" t="s">
        <v>521</v>
      </c>
      <c r="C587" s="46" t="n">
        <f aca="false">MIN(D582:M582)</f>
        <v>99</v>
      </c>
    </row>
    <row r="588" customFormat="false" ht="15" hidden="false" customHeight="false" outlineLevel="0" collapsed="false">
      <c r="A588" s="4" t="s">
        <v>522</v>
      </c>
      <c r="C588" s="15" t="n">
        <f aca="false">M576</f>
        <v>-11971.4416754934</v>
      </c>
    </row>
    <row r="589" customFormat="false" ht="15" hidden="false" customHeight="false" outlineLevel="0" collapsed="false">
      <c r="A589" s="9" t="s">
        <v>523</v>
      </c>
      <c r="C589" s="36" t="n">
        <f aca="false">SUMPRODUCT(D544:M544,D577:M577)</f>
        <v>246.012356322355</v>
      </c>
    </row>
    <row r="590" customFormat="false" ht="15" hidden="false" customHeight="false" outlineLevel="0" collapsed="false">
      <c r="A590" s="9" t="s">
        <v>524</v>
      </c>
      <c r="C590" s="36" t="n">
        <f aca="false">M544*(1+a_tg)/(lv_wacc-a_tg)</f>
        <v>1960.69073485824</v>
      </c>
    </row>
    <row r="591" customFormat="false" ht="15" hidden="false" customHeight="false" outlineLevel="0" collapsed="false">
      <c r="A591" s="9" t="s">
        <v>314</v>
      </c>
      <c r="C591" s="36" t="n">
        <f aca="false">C590*M577</f>
        <v>577.596644768088</v>
      </c>
    </row>
    <row r="592" customFormat="false" ht="15" hidden="false" customHeight="false" outlineLevel="0" collapsed="false">
      <c r="A592" s="4" t="s">
        <v>525</v>
      </c>
      <c r="C592" s="15" t="n">
        <f aca="false">C589+C591</f>
        <v>823.609001090443</v>
      </c>
    </row>
    <row r="593" customFormat="false" ht="15" hidden="false" customHeight="false" outlineLevel="0" collapsed="false">
      <c r="A593" s="9" t="s">
        <v>526</v>
      </c>
      <c r="C593" s="32" t="n">
        <f aca="false">SUMPRODUCT(D554:M554,D577:M577)-a_recovery*M556*M577</f>
        <v>4069.68260696466</v>
      </c>
    </row>
    <row r="594" customFormat="false" ht="15" hidden="false" customHeight="false" outlineLevel="0" collapsed="false">
      <c r="A594" s="9" t="s">
        <v>527</v>
      </c>
      <c r="C594" s="36" t="n">
        <f aca="false">SUMPRODUCT(D553:M553,D577:M577)*(1-a_tax)</f>
        <v>0</v>
      </c>
    </row>
    <row r="595" customFormat="false" ht="15" hidden="false" customHeight="false" outlineLevel="0" collapsed="false">
      <c r="A595" s="9" t="s">
        <v>528</v>
      </c>
      <c r="C595" s="36" t="n">
        <f aca="false">C552*D577</f>
        <v>141.592920353982</v>
      </c>
    </row>
    <row r="596" customFormat="false" ht="15" hidden="false" customHeight="false" outlineLevel="0" collapsed="false">
      <c r="A596" s="4" t="s">
        <v>529</v>
      </c>
      <c r="C596" s="20" t="n">
        <f aca="false">C592+C594-C593-C595-lv_price</f>
        <v>-7387.6665262282</v>
      </c>
    </row>
    <row r="597" customFormat="false" ht="15" hidden="false" customHeight="false" outlineLevel="0" collapsed="false">
      <c r="A597" s="9" t="s">
        <v>530</v>
      </c>
      <c r="C597" s="32" t="n">
        <f aca="false">C596+SUMPRODUCT(D573:M573,D577:M577)</f>
        <v>-7013.25572638745</v>
      </c>
    </row>
    <row r="598" customFormat="false" ht="15" hidden="false" customHeight="false" outlineLevel="0" collapsed="false">
      <c r="A598" s="4" t="s">
        <v>531</v>
      </c>
      <c r="C598" s="59" t="n">
        <f aca="false">lv_price/D534</f>
        <v>21.6450216450216</v>
      </c>
    </row>
    <row r="599" customFormat="false" ht="15" hidden="false" customHeight="false" outlineLevel="0" collapsed="false">
      <c r="A599" s="9" t="s">
        <v>532</v>
      </c>
      <c r="C599" s="17" t="n">
        <f aca="false">(lv_price+C593)/D534</f>
        <v>43.6671136740512</v>
      </c>
    </row>
    <row r="600" customFormat="false" ht="15" hidden="false" customHeight="false" outlineLevel="0" collapsed="false">
      <c r="A600" s="4" t="s">
        <v>533</v>
      </c>
      <c r="C600" s="15" t="n">
        <f aca="false">(C596+C593)/SUMPRODUCT(D577:M577)</f>
        <v>-611.469782726784</v>
      </c>
    </row>
    <row r="601" customFormat="false" ht="15" hidden="false" customHeight="false" outlineLevel="0" collapsed="false">
      <c r="A601" s="4" t="s">
        <v>534</v>
      </c>
      <c r="C601" s="25" t="n">
        <f aca="false">D564</f>
        <v>5.40686515748032</v>
      </c>
    </row>
    <row r="602" customFormat="false" ht="15" hidden="false" customHeight="false" outlineLevel="0" collapsed="false">
      <c r="A602" s="9" t="s">
        <v>535</v>
      </c>
      <c r="C602" s="50" t="n">
        <f aca="false">F564</f>
        <v>5.25882874015748</v>
      </c>
    </row>
    <row r="603" customFormat="false" ht="15" hidden="false" customHeight="false" outlineLevel="0" collapsed="false">
      <c r="A603" s="4" t="s">
        <v>536</v>
      </c>
      <c r="C603" s="20" t="n">
        <f aca="false">D572</f>
        <v>-1036.664</v>
      </c>
    </row>
    <row r="604" customFormat="false" ht="15" hidden="false" customHeight="false" outlineLevel="0" collapsed="false">
      <c r="A604" s="9" t="s">
        <v>537</v>
      </c>
      <c r="C604" s="32" t="n">
        <f aca="false">cf_cash-lv_mix_cash-C552</f>
        <v>6640</v>
      </c>
    </row>
    <row r="605" customFormat="false" ht="15" hidden="false" customHeight="false" outlineLevel="0" collapsed="false">
      <c r="A605" s="9" t="s">
        <v>538</v>
      </c>
      <c r="C605" s="32" t="n">
        <f aca="false">cf_debt+lv_mix_debt</f>
        <v>350</v>
      </c>
    </row>
    <row r="606" customFormat="false" ht="15" hidden="false" customHeight="false" outlineLevel="0" collapsed="false">
      <c r="A606" s="9" t="s">
        <v>539</v>
      </c>
      <c r="C606" s="34" t="n">
        <f aca="false">C605/cf_ebitda</f>
        <v>0.546875</v>
      </c>
    </row>
    <row r="607" customFormat="false" ht="15" hidden="false" customHeight="false" outlineLevel="0" collapsed="false">
      <c r="A607" s="9" t="s">
        <v>540</v>
      </c>
      <c r="C607" s="32" t="n">
        <f aca="false">C604+SUM(D575:F575)+3*cf_pat</f>
        <v>5385.86288</v>
      </c>
    </row>
    <row r="609" customFormat="false" ht="15" hidden="false" customHeight="false" outlineLevel="0" collapsed="false">
      <c r="A609" s="7" t="s">
        <v>651</v>
      </c>
      <c r="B609" s="8"/>
      <c r="C609" s="8"/>
      <c r="D609" s="8"/>
      <c r="E609" s="8"/>
      <c r="F609" s="8"/>
      <c r="G609" s="8"/>
      <c r="H609" s="8"/>
      <c r="I609" s="8"/>
      <c r="J609" s="8"/>
      <c r="K609" s="8"/>
      <c r="L609" s="8"/>
      <c r="M609" s="8"/>
      <c r="N609" s="8"/>
    </row>
    <row r="610" customFormat="false" ht="15" hidden="false" customHeight="false" outlineLevel="0" collapsed="false">
      <c r="A610" s="4" t="s">
        <v>284</v>
      </c>
      <c r="C610" s="39" t="n">
        <v>0</v>
      </c>
      <c r="D610" s="39" t="n">
        <v>1</v>
      </c>
      <c r="E610" s="39" t="n">
        <v>2</v>
      </c>
      <c r="F610" s="39" t="n">
        <v>3</v>
      </c>
      <c r="G610" s="39" t="n">
        <v>4</v>
      </c>
      <c r="H610" s="39" t="n">
        <v>5</v>
      </c>
      <c r="I610" s="39" t="n">
        <v>6</v>
      </c>
      <c r="J610" s="39" t="n">
        <v>7</v>
      </c>
      <c r="K610" s="39" t="n">
        <v>8</v>
      </c>
      <c r="L610" s="39" t="n">
        <v>9</v>
      </c>
      <c r="M610" s="39" t="n">
        <v>10</v>
      </c>
    </row>
    <row r="611" customFormat="false" ht="15" hidden="false" customHeight="false" outlineLevel="0" collapsed="false">
      <c r="A611" s="9" t="s">
        <v>285</v>
      </c>
      <c r="C611" s="40" t="n">
        <f aca="false">cf_arr</f>
        <v>220</v>
      </c>
      <c r="D611" s="36" t="n">
        <f aca="false">C611*(1+lv_g)</f>
        <v>264</v>
      </c>
      <c r="E611" s="36" t="n">
        <f aca="false">D611*(1+lv_g)</f>
        <v>316.8</v>
      </c>
      <c r="F611" s="36" t="n">
        <f aca="false">E611*(1+lv_g)</f>
        <v>380.16</v>
      </c>
      <c r="G611" s="36" t="n">
        <f aca="false">F611*(1+lv_g)</f>
        <v>456.192</v>
      </c>
      <c r="H611" s="36" t="n">
        <f aca="false">G611*(1+lv_g)</f>
        <v>547.4304</v>
      </c>
      <c r="I611" s="36" t="n">
        <f aca="false">H611*(1+lv_g)</f>
        <v>656.91648</v>
      </c>
      <c r="J611" s="36" t="n">
        <f aca="false">I611*(1+lv_g)</f>
        <v>788.299776</v>
      </c>
      <c r="K611" s="36" t="n">
        <f aca="false">J611*(1+lv_g)</f>
        <v>945.9597312</v>
      </c>
      <c r="L611" s="36" t="n">
        <f aca="false">K611*(1+lv_g)</f>
        <v>1135.15167744</v>
      </c>
      <c r="M611" s="36" t="n">
        <f aca="false">L611*(1+lv_g)</f>
        <v>1362.182012928</v>
      </c>
    </row>
    <row r="612" customFormat="false" ht="15" hidden="false" customHeight="false" outlineLevel="0" collapsed="false">
      <c r="A612" s="9" t="s">
        <v>286</v>
      </c>
      <c r="C612" s="18" t="n">
        <f aca="false">1</f>
        <v>1</v>
      </c>
      <c r="D612" s="18" t="n">
        <f aca="false">IF(D610&gt;=a_churn_year,1-Churn!$A$16,1)</f>
        <v>0.7</v>
      </c>
      <c r="E612" s="18" t="n">
        <f aca="false">IF(E610&gt;=a_churn_year,1-Churn!$A$16,1)</f>
        <v>0.7</v>
      </c>
      <c r="F612" s="18" t="n">
        <f aca="false">IF(F610&gt;=a_churn_year,1-Churn!$A$16,1)</f>
        <v>0.7</v>
      </c>
      <c r="G612" s="18" t="n">
        <f aca="false">IF(G610&gt;=a_churn_year,1-Churn!$A$16,1)</f>
        <v>0.7</v>
      </c>
      <c r="H612" s="18" t="n">
        <f aca="false">IF(H610&gt;=a_churn_year,1-Churn!$A$16,1)</f>
        <v>0.7</v>
      </c>
      <c r="I612" s="18" t="n">
        <f aca="false">IF(I610&gt;=a_churn_year,1-Churn!$A$16,1)</f>
        <v>0.7</v>
      </c>
      <c r="J612" s="18" t="n">
        <f aca="false">IF(J610&gt;=a_churn_year,1-Churn!$A$16,1)</f>
        <v>0.7</v>
      </c>
      <c r="K612" s="18" t="n">
        <f aca="false">IF(K610&gt;=a_churn_year,1-Churn!$A$16,1)</f>
        <v>0.7</v>
      </c>
      <c r="L612" s="18" t="n">
        <f aca="false">IF(L610&gt;=a_churn_year,1-Churn!$A$16,1)</f>
        <v>0.7</v>
      </c>
      <c r="M612" s="18" t="n">
        <f aca="false">IF(M610&gt;=a_churn_year,1-Churn!$A$16,1)</f>
        <v>0.7</v>
      </c>
    </row>
    <row r="613" customFormat="false" ht="15" hidden="false" customHeight="false" outlineLevel="0" collapsed="false">
      <c r="A613" s="4" t="s">
        <v>287</v>
      </c>
      <c r="C613" s="41" t="n">
        <f aca="false">C611*C612</f>
        <v>220</v>
      </c>
      <c r="D613" s="41" t="n">
        <f aca="false">D611*D612</f>
        <v>184.8</v>
      </c>
      <c r="E613" s="41" t="n">
        <f aca="false">E611*E612</f>
        <v>221.76</v>
      </c>
      <c r="F613" s="41" t="n">
        <f aca="false">F611*F612</f>
        <v>266.112</v>
      </c>
      <c r="G613" s="41" t="n">
        <f aca="false">G611*G612</f>
        <v>319.3344</v>
      </c>
      <c r="H613" s="41" t="n">
        <f aca="false">H611*H612</f>
        <v>383.20128</v>
      </c>
      <c r="I613" s="41" t="n">
        <f aca="false">I611*I612</f>
        <v>459.841536</v>
      </c>
      <c r="J613" s="41" t="n">
        <f aca="false">J611*J612</f>
        <v>551.8098432</v>
      </c>
      <c r="K613" s="41" t="n">
        <f aca="false">K611*K612</f>
        <v>662.17181184</v>
      </c>
      <c r="L613" s="41" t="n">
        <f aca="false">L611*L612</f>
        <v>794.606174208</v>
      </c>
      <c r="M613" s="41" t="n">
        <f aca="false">M611*M612</f>
        <v>953.5274090496</v>
      </c>
    </row>
    <row r="614" customFormat="false" ht="15" hidden="false" customHeight="false" outlineLevel="0" collapsed="false">
      <c r="A614" s="9" t="s">
        <v>288</v>
      </c>
      <c r="C614" s="18" t="n">
        <f aca="false">MIN(a_m0+a_mstep*C610,a_mcap)</f>
        <v>0</v>
      </c>
      <c r="D614" s="18" t="n">
        <f aca="false">MIN(a_m0+a_mstep*D610,a_mcap)</f>
        <v>0.05</v>
      </c>
      <c r="E614" s="18" t="n">
        <f aca="false">MIN(a_m0+a_mstep*E610,a_mcap)</f>
        <v>0.1</v>
      </c>
      <c r="F614" s="18" t="n">
        <f aca="false">MIN(a_m0+a_mstep*F610,a_mcap)</f>
        <v>0.15</v>
      </c>
      <c r="G614" s="18" t="n">
        <f aca="false">MIN(a_m0+a_mstep*G610,a_mcap)</f>
        <v>0.2</v>
      </c>
      <c r="H614" s="18" t="n">
        <f aca="false">MIN(a_m0+a_mstep*H610,a_mcap)</f>
        <v>0.25</v>
      </c>
      <c r="I614" s="18" t="n">
        <f aca="false">MIN(a_m0+a_mstep*I610,a_mcap)</f>
        <v>0.25</v>
      </c>
      <c r="J614" s="18" t="n">
        <f aca="false">MIN(a_m0+a_mstep*J610,a_mcap)</f>
        <v>0.25</v>
      </c>
      <c r="K614" s="18" t="n">
        <f aca="false">MIN(a_m0+a_mstep*K610,a_mcap)</f>
        <v>0.25</v>
      </c>
      <c r="L614" s="18" t="n">
        <f aca="false">MIN(a_m0+a_mstep*L610,a_mcap)</f>
        <v>0.25</v>
      </c>
      <c r="M614" s="18" t="n">
        <f aca="false">MIN(a_m0+a_mstep*M610,a_mcap)</f>
        <v>0.25</v>
      </c>
    </row>
    <row r="615" customFormat="false" ht="15" hidden="false" customHeight="false" outlineLevel="0" collapsed="false">
      <c r="A615" s="9" t="s">
        <v>289</v>
      </c>
      <c r="C615" s="36" t="n">
        <f aca="false">IF(C610=a_churn_year,a_sticky*(C611-C613)*(1-C614),0)</f>
        <v>0</v>
      </c>
      <c r="D615" s="36" t="n">
        <f aca="false">IF(D610=a_churn_year,a_sticky*(D611-D613)*(1-D614),0)</f>
        <v>37.62</v>
      </c>
      <c r="E615" s="36" t="n">
        <f aca="false">IF(E610=a_churn_year,a_sticky*(E611-E613)*(1-E614),0)</f>
        <v>0</v>
      </c>
      <c r="F615" s="36" t="n">
        <f aca="false">IF(F610=a_churn_year,a_sticky*(F611-F613)*(1-F614),0)</f>
        <v>0</v>
      </c>
      <c r="G615" s="36" t="n">
        <f aca="false">IF(G610=a_churn_year,a_sticky*(G611-G613)*(1-G614),0)</f>
        <v>0</v>
      </c>
      <c r="H615" s="36" t="n">
        <f aca="false">IF(H610=a_churn_year,a_sticky*(H611-H613)*(1-H614),0)</f>
        <v>0</v>
      </c>
      <c r="I615" s="36" t="n">
        <f aca="false">IF(I610=a_churn_year,a_sticky*(I611-I613)*(1-I614),0)</f>
        <v>0</v>
      </c>
      <c r="J615" s="36" t="n">
        <f aca="false">IF(J610=a_churn_year,a_sticky*(J611-J613)*(1-J614),0)</f>
        <v>0</v>
      </c>
      <c r="K615" s="36" t="n">
        <f aca="false">IF(K610=a_churn_year,a_sticky*(K611-K613)*(1-K614),0)</f>
        <v>0</v>
      </c>
      <c r="L615" s="36" t="n">
        <f aca="false">IF(L610=a_churn_year,a_sticky*(L611-L613)*(1-L614),0)</f>
        <v>0</v>
      </c>
      <c r="M615" s="36" t="n">
        <f aca="false">IF(M610=a_churn_year,a_sticky*(M611-M613)*(1-M614),0)</f>
        <v>0</v>
      </c>
    </row>
    <row r="616" customFormat="false" ht="15" hidden="false" customHeight="false" outlineLevel="0" collapsed="false">
      <c r="A616" s="4" t="s">
        <v>290</v>
      </c>
      <c r="C616" s="41" t="n">
        <f aca="false">C613*C614-C615</f>
        <v>0</v>
      </c>
      <c r="D616" s="41" t="n">
        <f aca="false">D613*D614-D615</f>
        <v>-28.38</v>
      </c>
      <c r="E616" s="41" t="n">
        <f aca="false">E613*E614-E615</f>
        <v>22.176</v>
      </c>
      <c r="F616" s="41" t="n">
        <f aca="false">F613*F614-F615</f>
        <v>39.9168</v>
      </c>
      <c r="G616" s="41" t="n">
        <f aca="false">G613*G614-G615</f>
        <v>63.86688</v>
      </c>
      <c r="H616" s="41" t="n">
        <f aca="false">H613*H614-H615</f>
        <v>95.80032</v>
      </c>
      <c r="I616" s="41" t="n">
        <f aca="false">I613*I614-I615</f>
        <v>114.960384</v>
      </c>
      <c r="J616" s="41" t="n">
        <f aca="false">J613*J614-J615</f>
        <v>137.9524608</v>
      </c>
      <c r="K616" s="41" t="n">
        <f aca="false">K613*K614-K615</f>
        <v>165.54295296</v>
      </c>
      <c r="L616" s="41" t="n">
        <f aca="false">L613*L614-L615</f>
        <v>198.651543552</v>
      </c>
      <c r="M616" s="41" t="n">
        <f aca="false">M613*M614-M615</f>
        <v>238.3818522624</v>
      </c>
    </row>
    <row r="617" customFormat="false" ht="15" hidden="false" customHeight="false" outlineLevel="0" collapsed="false">
      <c r="A617" s="9" t="s">
        <v>291</v>
      </c>
      <c r="C617" s="36" t="n">
        <f aca="false">C613*a_da</f>
        <v>6.6</v>
      </c>
      <c r="D617" s="36" t="n">
        <f aca="false">D613*a_da</f>
        <v>5.544</v>
      </c>
      <c r="E617" s="36" t="n">
        <f aca="false">E613*a_da</f>
        <v>6.6528</v>
      </c>
      <c r="F617" s="36" t="n">
        <f aca="false">F613*a_da</f>
        <v>7.98336</v>
      </c>
      <c r="G617" s="36" t="n">
        <f aca="false">G613*a_da</f>
        <v>9.580032</v>
      </c>
      <c r="H617" s="36" t="n">
        <f aca="false">H613*a_da</f>
        <v>11.4960384</v>
      </c>
      <c r="I617" s="36" t="n">
        <f aca="false">I613*a_da</f>
        <v>13.79524608</v>
      </c>
      <c r="J617" s="36" t="n">
        <f aca="false">J613*a_da</f>
        <v>16.554295296</v>
      </c>
      <c r="K617" s="36" t="n">
        <f aca="false">K613*a_da</f>
        <v>19.8651543552</v>
      </c>
      <c r="L617" s="36" t="n">
        <f aca="false">L613*a_da</f>
        <v>23.83818522624</v>
      </c>
      <c r="M617" s="36" t="n">
        <f aca="false">M613*a_da</f>
        <v>28.605822271488</v>
      </c>
    </row>
    <row r="618" customFormat="false" ht="15" hidden="false" customHeight="false" outlineLevel="0" collapsed="false">
      <c r="A618" s="9" t="s">
        <v>292</v>
      </c>
      <c r="C618" s="36" t="n">
        <f aca="false">C616-C617</f>
        <v>-6.6</v>
      </c>
      <c r="D618" s="36" t="n">
        <f aca="false">D616-D617</f>
        <v>-33.924</v>
      </c>
      <c r="E618" s="36" t="n">
        <f aca="false">E616-E617</f>
        <v>15.5232</v>
      </c>
      <c r="F618" s="36" t="n">
        <f aca="false">F616-F617</f>
        <v>31.93344</v>
      </c>
      <c r="G618" s="36" t="n">
        <f aca="false">G616-G617</f>
        <v>54.286848</v>
      </c>
      <c r="H618" s="36" t="n">
        <f aca="false">H616-H617</f>
        <v>84.3042816</v>
      </c>
      <c r="I618" s="36" t="n">
        <f aca="false">I616-I617</f>
        <v>101.16513792</v>
      </c>
      <c r="J618" s="36" t="n">
        <f aca="false">J616-J617</f>
        <v>121.398165504</v>
      </c>
      <c r="K618" s="36" t="n">
        <f aca="false">K616-K617</f>
        <v>145.6777986048</v>
      </c>
      <c r="L618" s="36" t="n">
        <f aca="false">L616-L617</f>
        <v>174.81335832576</v>
      </c>
      <c r="M618" s="36" t="n">
        <f aca="false">M616-M617</f>
        <v>209.776029990912</v>
      </c>
    </row>
    <row r="619" customFormat="false" ht="15" hidden="false" customHeight="false" outlineLevel="0" collapsed="false">
      <c r="A619" s="9" t="s">
        <v>293</v>
      </c>
      <c r="C619" s="36" t="n">
        <f aca="false">MAX(0,C618)*a_tax</f>
        <v>0</v>
      </c>
      <c r="D619" s="36" t="n">
        <f aca="false">MAX(0,D618)*a_tax</f>
        <v>0</v>
      </c>
      <c r="E619" s="36" t="n">
        <f aca="false">MAX(0,E618)*a_tax</f>
        <v>3.8808</v>
      </c>
      <c r="F619" s="36" t="n">
        <f aca="false">MAX(0,F618)*a_tax</f>
        <v>7.98336</v>
      </c>
      <c r="G619" s="36" t="n">
        <f aca="false">MAX(0,G618)*a_tax</f>
        <v>13.571712</v>
      </c>
      <c r="H619" s="36" t="n">
        <f aca="false">MAX(0,H618)*a_tax</f>
        <v>21.0760704</v>
      </c>
      <c r="I619" s="36" t="n">
        <f aca="false">MAX(0,I618)*a_tax</f>
        <v>25.29128448</v>
      </c>
      <c r="J619" s="36" t="n">
        <f aca="false">MAX(0,J618)*a_tax</f>
        <v>30.349541376</v>
      </c>
      <c r="K619" s="36" t="n">
        <f aca="false">MAX(0,K618)*a_tax</f>
        <v>36.4194496512</v>
      </c>
      <c r="L619" s="36" t="n">
        <f aca="false">MAX(0,L618)*a_tax</f>
        <v>43.70333958144</v>
      </c>
      <c r="M619" s="36" t="n">
        <f aca="false">MAX(0,M618)*a_tax</f>
        <v>52.444007497728</v>
      </c>
    </row>
    <row r="620" customFormat="false" ht="15" hidden="false" customHeight="false" outlineLevel="0" collapsed="false">
      <c r="A620" s="4" t="s">
        <v>294</v>
      </c>
      <c r="C620" s="42" t="n">
        <f aca="false">cf_lim_pat</f>
        <v>0</v>
      </c>
      <c r="D620" s="41" t="n">
        <f aca="false">D618-D619</f>
        <v>-33.924</v>
      </c>
      <c r="E620" s="41" t="n">
        <f aca="false">E618-E619</f>
        <v>11.6424</v>
      </c>
      <c r="F620" s="41" t="n">
        <f aca="false">F618-F619</f>
        <v>23.95008</v>
      </c>
      <c r="G620" s="41" t="n">
        <f aca="false">G618-G619</f>
        <v>40.715136</v>
      </c>
      <c r="H620" s="41" t="n">
        <f aca="false">H618-H619</f>
        <v>63.2282112</v>
      </c>
      <c r="I620" s="41" t="n">
        <f aca="false">I618-I619</f>
        <v>75.87385344</v>
      </c>
      <c r="J620" s="41" t="n">
        <f aca="false">J618-J619</f>
        <v>91.048624128</v>
      </c>
      <c r="K620" s="41" t="n">
        <f aca="false">K618-K619</f>
        <v>109.2583489536</v>
      </c>
      <c r="L620" s="41" t="n">
        <f aca="false">L618-L619</f>
        <v>131.11001874432</v>
      </c>
      <c r="M620" s="41" t="n">
        <f aca="false">M618-M619</f>
        <v>157.332022493184</v>
      </c>
    </row>
    <row r="621" customFormat="false" ht="15" hidden="false" customHeight="false" outlineLevel="0" collapsed="false">
      <c r="A621" s="9" t="s">
        <v>295</v>
      </c>
      <c r="C621" s="36" t="n">
        <f aca="false">C613*a_capex</f>
        <v>6.6</v>
      </c>
      <c r="D621" s="36" t="n">
        <f aca="false">D613*a_capex</f>
        <v>5.544</v>
      </c>
      <c r="E621" s="36" t="n">
        <f aca="false">E613*a_capex</f>
        <v>6.6528</v>
      </c>
      <c r="F621" s="36" t="n">
        <f aca="false">F613*a_capex</f>
        <v>7.98336</v>
      </c>
      <c r="G621" s="36" t="n">
        <f aca="false">G613*a_capex</f>
        <v>9.580032</v>
      </c>
      <c r="H621" s="36" t="n">
        <f aca="false">H613*a_capex</f>
        <v>11.4960384</v>
      </c>
      <c r="I621" s="36" t="n">
        <f aca="false">I613*a_capex</f>
        <v>13.79524608</v>
      </c>
      <c r="J621" s="36" t="n">
        <f aca="false">J613*a_capex</f>
        <v>16.554295296</v>
      </c>
      <c r="K621" s="36" t="n">
        <f aca="false">K613*a_capex</f>
        <v>19.8651543552</v>
      </c>
      <c r="L621" s="36" t="n">
        <f aca="false">L613*a_capex</f>
        <v>23.83818522624</v>
      </c>
      <c r="M621" s="36" t="n">
        <f aca="false">M613*a_capex</f>
        <v>28.605822271488</v>
      </c>
    </row>
    <row r="622" customFormat="false" ht="15" hidden="false" customHeight="false" outlineLevel="0" collapsed="false">
      <c r="A622" s="9" t="s">
        <v>296</v>
      </c>
      <c r="C622" s="36" t="n">
        <f aca="false">0</f>
        <v>0</v>
      </c>
      <c r="D622" s="36" t="n">
        <f aca="false">a_wc*(D613-C613)</f>
        <v>-1.76</v>
      </c>
      <c r="E622" s="36" t="n">
        <f aca="false">a_wc*(E613-D613)</f>
        <v>1.848</v>
      </c>
      <c r="F622" s="36" t="n">
        <f aca="false">a_wc*(F613-E613)</f>
        <v>2.2176</v>
      </c>
      <c r="G622" s="36" t="n">
        <f aca="false">a_wc*(G613-F613)</f>
        <v>2.66112</v>
      </c>
      <c r="H622" s="36" t="n">
        <f aca="false">a_wc*(H613-G613)</f>
        <v>3.193344</v>
      </c>
      <c r="I622" s="36" t="n">
        <f aca="false">a_wc*(I613-H613)</f>
        <v>3.8320128</v>
      </c>
      <c r="J622" s="36" t="n">
        <f aca="false">a_wc*(J613-I613)</f>
        <v>4.59841536</v>
      </c>
      <c r="K622" s="36" t="n">
        <f aca="false">a_wc*(K613-J613)</f>
        <v>5.51809843199999</v>
      </c>
      <c r="L622" s="36" t="n">
        <f aca="false">a_wc*(L613-K613)</f>
        <v>6.6217181184</v>
      </c>
      <c r="M622" s="36" t="n">
        <f aca="false">a_wc*(M613-L613)</f>
        <v>7.94606174208</v>
      </c>
    </row>
    <row r="623" customFormat="false" ht="15" hidden="false" customHeight="false" outlineLevel="0" collapsed="false">
      <c r="A623" s="4" t="s">
        <v>297</v>
      </c>
      <c r="C623" s="36" t="n">
        <f aca="false">0</f>
        <v>0</v>
      </c>
      <c r="D623" s="41" t="n">
        <f aca="false">D620+D617-D621-D622</f>
        <v>-32.164</v>
      </c>
      <c r="E623" s="41" t="n">
        <f aca="false">E620+E617-E621-E622</f>
        <v>9.7944</v>
      </c>
      <c r="F623" s="41" t="n">
        <f aca="false">F620+F617-F621-F622</f>
        <v>21.73248</v>
      </c>
      <c r="G623" s="41" t="n">
        <f aca="false">G620+G617-G621-G622</f>
        <v>38.054016</v>
      </c>
      <c r="H623" s="41" t="n">
        <f aca="false">H620+H617-H621-H622</f>
        <v>60.0348672</v>
      </c>
      <c r="I623" s="41" t="n">
        <f aca="false">I620+I617-I621-I622</f>
        <v>72.04184064</v>
      </c>
      <c r="J623" s="41" t="n">
        <f aca="false">J620+J617-J621-J622</f>
        <v>86.450208768</v>
      </c>
      <c r="K623" s="41" t="n">
        <f aca="false">K620+K617-K621-K622</f>
        <v>103.7402505216</v>
      </c>
      <c r="L623" s="41" t="n">
        <f aca="false">L620+L617-L621-L622</f>
        <v>124.48830062592</v>
      </c>
      <c r="M623" s="41" t="n">
        <f aca="false">M620+M617-M621-M622</f>
        <v>149.385960751104</v>
      </c>
    </row>
    <row r="625" customFormat="false" ht="15" hidden="false" customHeight="false" outlineLevel="0" collapsed="false">
      <c r="A625" s="7" t="s">
        <v>652</v>
      </c>
      <c r="B625" s="8"/>
      <c r="C625" s="8"/>
      <c r="D625" s="8"/>
      <c r="E625" s="8"/>
      <c r="F625" s="8"/>
      <c r="G625" s="8"/>
      <c r="H625" s="8"/>
      <c r="I625" s="8"/>
      <c r="J625" s="8"/>
      <c r="K625" s="8"/>
      <c r="L625" s="8"/>
      <c r="M625" s="8"/>
      <c r="N625" s="8"/>
    </row>
    <row r="626" customFormat="false" ht="15" hidden="false" customHeight="false" outlineLevel="0" collapsed="false">
      <c r="A626" s="9" t="s">
        <v>482</v>
      </c>
      <c r="C626" s="35" t="n">
        <f aca="false">lv_mix_eq/(c_price*(1-a_issue_disc))</f>
        <v>1.024</v>
      </c>
    </row>
    <row r="627" customFormat="false" ht="15" hidden="false" customHeight="false" outlineLevel="0" collapsed="false">
      <c r="A627" s="9" t="s">
        <v>449</v>
      </c>
      <c r="C627" s="35" t="n">
        <f aca="false">cf_shares+C626</f>
        <v>65.024</v>
      </c>
    </row>
    <row r="628" customFormat="false" ht="15" hidden="false" customHeight="false" outlineLevel="0" collapsed="false">
      <c r="A628" s="9" t="s">
        <v>483</v>
      </c>
      <c r="C628" s="36" t="n">
        <f aca="false">lv_mix_cash*a_yield*(1-a_tax)+lv_mix_debt*a_kd*(1-a_tax)</f>
        <v>94.5</v>
      </c>
    </row>
    <row r="629" customFormat="false" ht="15" hidden="false" customHeight="false" outlineLevel="0" collapsed="false">
      <c r="A629" s="9" t="s">
        <v>484</v>
      </c>
      <c r="C629" s="36" t="n">
        <f aca="false">lv_price*a_ppa_share/a_ppa_life*(1-a_tax)</f>
        <v>93.75</v>
      </c>
    </row>
    <row r="630" customFormat="false" ht="15" hidden="false" customHeight="false" outlineLevel="0" collapsed="false">
      <c r="A630" s="9" t="s">
        <v>485</v>
      </c>
      <c r="C630" s="36" t="n">
        <f aca="false">a_ppa_on*C629</f>
        <v>0</v>
      </c>
    </row>
    <row r="631" customFormat="false" ht="15" hidden="false" customHeight="false" outlineLevel="0" collapsed="false">
      <c r="A631" s="9" t="s">
        <v>486</v>
      </c>
      <c r="C631" s="36" t="n">
        <f aca="false">lv_price*a_fees_pct+a_integ_full</f>
        <v>160</v>
      </c>
    </row>
    <row r="632" customFormat="false" ht="15" hidden="false" customHeight="false" outlineLevel="0" collapsed="false">
      <c r="A632" s="9" t="s">
        <v>487</v>
      </c>
      <c r="C632" s="36" t="n">
        <f aca="false">0</f>
        <v>0</v>
      </c>
      <c r="D632" s="36" t="n">
        <f aca="false">a_syn_on*(a_syn_partner_rev_y3+a_syn_xsell_y3)*a_mcap*IF(D610=1,a_syn_ramp1,IF(D610=2,a_syn_ramp2,1))+a_syn_on*IF(D610&gt;=2,a_syn_cost,0)</f>
        <v>0</v>
      </c>
      <c r="E632" s="36" t="n">
        <f aca="false">a_syn_on*(a_syn_partner_rev_y3+a_syn_xsell_y3)*a_mcap*IF(E610=1,a_syn_ramp1,IF(E610=2,a_syn_ramp2,1))+a_syn_on*IF(E610&gt;=2,a_syn_cost,0)</f>
        <v>0</v>
      </c>
      <c r="F632" s="36" t="n">
        <f aca="false">a_syn_on*(a_syn_partner_rev_y3+a_syn_xsell_y3)*a_mcap*IF(F610=1,a_syn_ramp1,IF(F610=2,a_syn_ramp2,1))+a_syn_on*IF(F610&gt;=2,a_syn_cost,0)</f>
        <v>0</v>
      </c>
      <c r="G632" s="36" t="n">
        <f aca="false">a_syn_on*(a_syn_partner_rev_y3+a_syn_xsell_y3)*a_mcap*IF(G610=1,a_syn_ramp1,IF(G610=2,a_syn_ramp2,1))+a_syn_on*IF(G610&gt;=2,a_syn_cost,0)</f>
        <v>0</v>
      </c>
      <c r="H632" s="36" t="n">
        <f aca="false">a_syn_on*(a_syn_partner_rev_y3+a_syn_xsell_y3)*a_mcap*IF(H610=1,a_syn_ramp1,IF(H610=2,a_syn_ramp2,1))+a_syn_on*IF(H610&gt;=2,a_syn_cost,0)</f>
        <v>0</v>
      </c>
      <c r="I632" s="36" t="n">
        <f aca="false">a_syn_on*(a_syn_partner_rev_y3+a_syn_xsell_y3)*a_mcap*IF(I610=1,a_syn_ramp1,IF(I610=2,a_syn_ramp2,1))+a_syn_on*IF(I610&gt;=2,a_syn_cost,0)</f>
        <v>0</v>
      </c>
      <c r="J632" s="36" t="n">
        <f aca="false">a_syn_on*(a_syn_partner_rev_y3+a_syn_xsell_y3)*a_mcap*IF(J610=1,a_syn_ramp1,IF(J610=2,a_syn_ramp2,1))+a_syn_on*IF(J610&gt;=2,a_syn_cost,0)</f>
        <v>0</v>
      </c>
      <c r="K632" s="36" t="n">
        <f aca="false">a_syn_on*(a_syn_partner_rev_y3+a_syn_xsell_y3)*a_mcap*IF(K610=1,a_syn_ramp1,IF(K610=2,a_syn_ramp2,1))+a_syn_on*IF(K610&gt;=2,a_syn_cost,0)</f>
        <v>0</v>
      </c>
      <c r="L632" s="36" t="n">
        <f aca="false">a_syn_on*(a_syn_partner_rev_y3+a_syn_xsell_y3)*a_mcap*IF(L610=1,a_syn_ramp1,IF(L610=2,a_syn_ramp2,1))+a_syn_on*IF(L610&gt;=2,a_syn_cost,0)</f>
        <v>0</v>
      </c>
      <c r="M632" s="36" t="n">
        <f aca="false">a_syn_on*(a_syn_partner_rev_y3+a_syn_xsell_y3)*a_mcap*IF(M610=1,a_syn_ramp1,IF(M610=2,a_syn_ramp2,1))+a_syn_on*IF(M610&gt;=2,a_syn_cost,0)</f>
        <v>0</v>
      </c>
    </row>
    <row r="633" customFormat="false" ht="15" hidden="false" customHeight="false" outlineLevel="0" collapsed="false">
      <c r="A633" s="9" t="s">
        <v>488</v>
      </c>
      <c r="C633" s="36" t="n">
        <f aca="false">0</f>
        <v>0</v>
      </c>
      <c r="D633" s="36" t="n">
        <f aca="false">CHOOSE(lv_drag_mode,0,0*D613/cf_arr,0*(1-a_tax))</f>
        <v>0</v>
      </c>
      <c r="E633" s="36" t="n">
        <f aca="false">CHOOSE(lv_drag_mode,0,0*E613/cf_arr,0*(1-a_tax))</f>
        <v>0</v>
      </c>
      <c r="F633" s="36" t="n">
        <f aca="false">CHOOSE(lv_drag_mode,0,0*F613/cf_arr,0*(1-a_tax))</f>
        <v>0</v>
      </c>
      <c r="G633" s="36" t="n">
        <f aca="false">CHOOSE(lv_drag_mode,0,0*G613/cf_arr,0*(1-a_tax))</f>
        <v>0</v>
      </c>
      <c r="H633" s="36" t="n">
        <f aca="false">CHOOSE(lv_drag_mode,0,0*H613/cf_arr,0*(1-a_tax))</f>
        <v>0</v>
      </c>
      <c r="I633" s="36" t="n">
        <f aca="false">CHOOSE(lv_drag_mode,0,0*I613/cf_arr,0*(1-a_tax))</f>
        <v>0</v>
      </c>
      <c r="J633" s="36" t="n">
        <f aca="false">CHOOSE(lv_drag_mode,0,0*J613/cf_arr,0*(1-a_tax))</f>
        <v>0</v>
      </c>
      <c r="K633" s="36" t="n">
        <f aca="false">CHOOSE(lv_drag_mode,0,0*K613/cf_arr,0*(1-a_tax))</f>
        <v>0</v>
      </c>
      <c r="L633" s="36" t="n">
        <f aca="false">CHOOSE(lv_drag_mode,0,0*L613/cf_arr,0*(1-a_tax))</f>
        <v>0</v>
      </c>
      <c r="M633" s="36" t="n">
        <f aca="false">CHOOSE(lv_drag_mode,0,0*M613/cf_arr,0*(1-a_tax))</f>
        <v>0</v>
      </c>
    </row>
    <row r="634" customFormat="false" ht="15" hidden="false" customHeight="false" outlineLevel="0" collapsed="false">
      <c r="A634" s="9" t="s">
        <v>489</v>
      </c>
      <c r="C634" s="36" t="n">
        <f aca="false">0</f>
        <v>0</v>
      </c>
      <c r="D634" s="36" t="n">
        <f aca="false">IF(lv_drag_mode=3,0*(1-a_tax),0)</f>
        <v>0</v>
      </c>
      <c r="E634" s="36" t="n">
        <f aca="false">IF(lv_drag_mode=3,0*(1-a_tax),0)</f>
        <v>0</v>
      </c>
      <c r="F634" s="36" t="n">
        <f aca="false">IF(lv_drag_mode=3,0*(1-a_tax),0)</f>
        <v>0</v>
      </c>
      <c r="G634" s="36" t="n">
        <f aca="false">IF(lv_drag_mode=3,0*(1-a_tax),0)</f>
        <v>0</v>
      </c>
      <c r="H634" s="36" t="n">
        <f aca="false">IF(lv_drag_mode=3,0*(1-a_tax),0)</f>
        <v>0</v>
      </c>
      <c r="I634" s="36" t="n">
        <f aca="false">IF(lv_drag_mode=3,0*(1-a_tax),0)</f>
        <v>0</v>
      </c>
      <c r="J634" s="36" t="n">
        <f aca="false">IF(lv_drag_mode=3,0*(1-a_tax),0)</f>
        <v>0</v>
      </c>
      <c r="K634" s="36" t="n">
        <f aca="false">IF(lv_drag_mode=3,0*(1-a_tax),0)</f>
        <v>0</v>
      </c>
      <c r="L634" s="36" t="n">
        <f aca="false">IF(lv_drag_mode=3,0*(1-a_tax),0)</f>
        <v>0</v>
      </c>
      <c r="M634" s="36" t="n">
        <f aca="false">IF(lv_drag_mode=3,0*(1-a_tax),0)</f>
        <v>0</v>
      </c>
    </row>
    <row r="635" customFormat="false" ht="15" hidden="false" customHeight="false" outlineLevel="0" collapsed="false">
      <c r="A635" s="9" t="s">
        <v>490</v>
      </c>
      <c r="C635" s="36" t="n">
        <f aca="false">0</f>
        <v>0</v>
      </c>
      <c r="D635" s="36" t="n">
        <f aca="false">IF(lv_drag_mode=3,0,C635+D633)</f>
        <v>0</v>
      </c>
      <c r="E635" s="36" t="n">
        <f aca="false">IF(lv_drag_mode=3,0,D635+E633)</f>
        <v>0</v>
      </c>
      <c r="F635" s="36" t="n">
        <f aca="false">IF(lv_drag_mode=3,0,E635+F633)</f>
        <v>0</v>
      </c>
      <c r="G635" s="36" t="n">
        <f aca="false">IF(lv_drag_mode=3,0,F635+G633)</f>
        <v>0</v>
      </c>
      <c r="H635" s="36" t="n">
        <f aca="false">IF(lv_drag_mode=3,0,G635+H633)</f>
        <v>0</v>
      </c>
      <c r="I635" s="36" t="n">
        <f aca="false">IF(lv_drag_mode=3,0,H635+I633)</f>
        <v>0</v>
      </c>
      <c r="J635" s="36" t="n">
        <f aca="false">IF(lv_drag_mode=3,0,I635+J633)</f>
        <v>0</v>
      </c>
      <c r="K635" s="36" t="n">
        <f aca="false">IF(lv_drag_mode=3,0,J635+K633)</f>
        <v>0</v>
      </c>
      <c r="L635" s="36" t="n">
        <f aca="false">IF(lv_drag_mode=3,0,K635+L633)</f>
        <v>0</v>
      </c>
      <c r="M635" s="36" t="n">
        <f aca="false">IF(lv_drag_mode=3,0,L635+M633)</f>
        <v>0</v>
      </c>
    </row>
    <row r="636" customFormat="false" ht="15" hidden="false" customHeight="false" outlineLevel="0" collapsed="false">
      <c r="A636" s="9" t="s">
        <v>491</v>
      </c>
      <c r="C636" s="36" t="n">
        <f aca="false">0</f>
        <v>0</v>
      </c>
      <c r="D636" s="36" t="n">
        <f aca="false">C635*a_yield*(1-a_tax)</f>
        <v>0</v>
      </c>
      <c r="E636" s="36" t="n">
        <f aca="false">D635*a_yield*(1-a_tax)</f>
        <v>0</v>
      </c>
      <c r="F636" s="36" t="n">
        <f aca="false">E635*a_yield*(1-a_tax)</f>
        <v>0</v>
      </c>
      <c r="G636" s="36" t="n">
        <f aca="false">F635*a_yield*(1-a_tax)</f>
        <v>0</v>
      </c>
      <c r="H636" s="36" t="n">
        <f aca="false">G635*a_yield*(1-a_tax)</f>
        <v>0</v>
      </c>
      <c r="I636" s="36" t="n">
        <f aca="false">H635*a_yield*(1-a_tax)</f>
        <v>0</v>
      </c>
      <c r="J636" s="36" t="n">
        <f aca="false">I635*a_yield*(1-a_tax)</f>
        <v>0</v>
      </c>
      <c r="K636" s="36" t="n">
        <f aca="false">J635*a_yield*(1-a_tax)</f>
        <v>0</v>
      </c>
      <c r="L636" s="36" t="n">
        <f aca="false">K635*a_yield*(1-a_tax)</f>
        <v>0</v>
      </c>
      <c r="M636" s="36" t="n">
        <f aca="false">L635*a_yield*(1-a_tax)</f>
        <v>0</v>
      </c>
    </row>
    <row r="637" customFormat="false" ht="15" hidden="false" customHeight="false" outlineLevel="0" collapsed="false">
      <c r="A637" s="9" t="s">
        <v>492</v>
      </c>
      <c r="C637" s="36" t="n">
        <f aca="false">cf_pat</f>
        <v>480</v>
      </c>
      <c r="D637" s="36" t="n">
        <f aca="false">cf_pat*(1+a_pat_growth)^D610</f>
        <v>480</v>
      </c>
      <c r="E637" s="36" t="n">
        <f aca="false">cf_pat*(1+a_pat_growth)^E610</f>
        <v>480</v>
      </c>
      <c r="F637" s="36" t="n">
        <f aca="false">cf_pat*(1+a_pat_growth)^F610</f>
        <v>480</v>
      </c>
      <c r="G637" s="36" t="n">
        <f aca="false">cf_pat*(1+a_pat_growth)^G610</f>
        <v>480</v>
      </c>
      <c r="H637" s="36" t="n">
        <f aca="false">cf_pat*(1+a_pat_growth)^H610</f>
        <v>480</v>
      </c>
      <c r="I637" s="36" t="n">
        <f aca="false">cf_pat*(1+a_pat_growth)^I610</f>
        <v>480</v>
      </c>
      <c r="J637" s="36" t="n">
        <f aca="false">cf_pat*(1+a_pat_growth)^J610</f>
        <v>480</v>
      </c>
      <c r="K637" s="36" t="n">
        <f aca="false">cf_pat*(1+a_pat_growth)^K610</f>
        <v>480</v>
      </c>
      <c r="L637" s="36" t="n">
        <f aca="false">cf_pat*(1+a_pat_growth)^L610</f>
        <v>480</v>
      </c>
      <c r="M637" s="36" t="n">
        <f aca="false">cf_pat*(1+a_pat_growth)^M610</f>
        <v>480</v>
      </c>
    </row>
    <row r="638" customFormat="false" ht="15" hidden="false" customHeight="false" outlineLevel="0" collapsed="false">
      <c r="A638" s="9" t="s">
        <v>493</v>
      </c>
      <c r="C638" s="36" t="n">
        <f aca="false">0</f>
        <v>0</v>
      </c>
      <c r="D638" s="36" t="n">
        <f aca="false">cf_mdr*a_mdr_flow*(1-a_tax)</f>
        <v>69</v>
      </c>
      <c r="E638" s="36" t="n">
        <f aca="false">cf_mdr*a_mdr_flow*(1-a_tax)</f>
        <v>69</v>
      </c>
      <c r="F638" s="36" t="n">
        <f aca="false">cf_mdr*a_mdr_flow*(1-a_tax)</f>
        <v>69</v>
      </c>
      <c r="G638" s="36" t="n">
        <f aca="false">cf_mdr*a_mdr_flow*(1-a_tax)</f>
        <v>69</v>
      </c>
      <c r="H638" s="36" t="n">
        <f aca="false">cf_mdr*a_mdr_flow*(1-a_tax)</f>
        <v>69</v>
      </c>
      <c r="I638" s="36" t="n">
        <f aca="false">cf_mdr*a_mdr_flow*(1-a_tax)</f>
        <v>69</v>
      </c>
      <c r="J638" s="36" t="n">
        <f aca="false">cf_mdr*a_mdr_flow*(1-a_tax)</f>
        <v>69</v>
      </c>
      <c r="K638" s="36" t="n">
        <f aca="false">cf_mdr*a_mdr_flow*(1-a_tax)</f>
        <v>69</v>
      </c>
      <c r="L638" s="36" t="n">
        <f aca="false">cf_mdr*a_mdr_flow*(1-a_tax)</f>
        <v>69</v>
      </c>
      <c r="M638" s="36" t="n">
        <f aca="false">cf_mdr*a_mdr_flow*(1-a_tax)</f>
        <v>69</v>
      </c>
    </row>
    <row r="639" customFormat="false" ht="15" hidden="false" customHeight="false" outlineLevel="0" collapsed="false">
      <c r="A639" s="9" t="s">
        <v>494</v>
      </c>
      <c r="C639" s="50" t="n">
        <f aca="false">cf_eps</f>
        <v>7.5</v>
      </c>
      <c r="D639" s="50" t="n">
        <f aca="false">D637/cf_shares</f>
        <v>7.5</v>
      </c>
      <c r="E639" s="50" t="n">
        <f aca="false">E637/cf_shares</f>
        <v>7.5</v>
      </c>
      <c r="F639" s="50" t="n">
        <f aca="false">F637/cf_shares</f>
        <v>7.5</v>
      </c>
      <c r="G639" s="50" t="n">
        <f aca="false">G637/cf_shares</f>
        <v>7.5</v>
      </c>
      <c r="H639" s="50" t="n">
        <f aca="false">H637/cf_shares</f>
        <v>7.5</v>
      </c>
      <c r="I639" s="50" t="n">
        <f aca="false">I637/cf_shares</f>
        <v>7.5</v>
      </c>
      <c r="J639" s="50" t="n">
        <f aca="false">J637/cf_shares</f>
        <v>7.5</v>
      </c>
      <c r="K639" s="50" t="n">
        <f aca="false">K637/cf_shares</f>
        <v>7.5</v>
      </c>
      <c r="L639" s="50" t="n">
        <f aca="false">L637/cf_shares</f>
        <v>7.5</v>
      </c>
      <c r="M639" s="50" t="n">
        <f aca="false">M637/cf_shares</f>
        <v>7.5</v>
      </c>
    </row>
    <row r="640" customFormat="false" ht="15" hidden="false" customHeight="false" outlineLevel="0" collapsed="false">
      <c r="A640" s="9" t="s">
        <v>495</v>
      </c>
      <c r="C640" s="50" t="n">
        <f aca="false">cf_eps</f>
        <v>7.5</v>
      </c>
      <c r="D640" s="50" t="n">
        <f aca="false">(D637+D638)/cf_shares</f>
        <v>8.578125</v>
      </c>
      <c r="E640" s="50" t="n">
        <f aca="false">(E637+E638)/cf_shares</f>
        <v>8.578125</v>
      </c>
      <c r="F640" s="50" t="n">
        <f aca="false">(F637+F638)/cf_shares</f>
        <v>8.578125</v>
      </c>
      <c r="G640" s="50" t="n">
        <f aca="false">(G637+G638)/cf_shares</f>
        <v>8.578125</v>
      </c>
      <c r="H640" s="50" t="n">
        <f aca="false">(H637+H638)/cf_shares</f>
        <v>8.578125</v>
      </c>
      <c r="I640" s="50" t="n">
        <f aca="false">(I637+I638)/cf_shares</f>
        <v>8.578125</v>
      </c>
      <c r="J640" s="50" t="n">
        <f aca="false">(J637+J638)/cf_shares</f>
        <v>8.578125</v>
      </c>
      <c r="K640" s="50" t="n">
        <f aca="false">(K637+K638)/cf_shares</f>
        <v>8.578125</v>
      </c>
      <c r="L640" s="50" t="n">
        <f aca="false">(L637+L638)/cf_shares</f>
        <v>8.578125</v>
      </c>
      <c r="M640" s="50" t="n">
        <f aca="false">(M637+M638)/cf_shares</f>
        <v>8.578125</v>
      </c>
    </row>
    <row r="641" customFormat="false" ht="15" hidden="false" customHeight="false" outlineLevel="0" collapsed="false">
      <c r="A641" s="4" t="s">
        <v>496</v>
      </c>
      <c r="C641" s="41" t="n">
        <f aca="false">-C628-C630</f>
        <v>-94.5</v>
      </c>
      <c r="D641" s="41" t="n">
        <f aca="false">D620+D632*(1-a_tax)-C628-C630-D634-D636</f>
        <v>-128.424</v>
      </c>
      <c r="E641" s="41" t="n">
        <f aca="false">E620+E632*(1-a_tax)-C628-C630-E634-E636</f>
        <v>-82.8576</v>
      </c>
      <c r="F641" s="41" t="n">
        <f aca="false">F620+F632*(1-a_tax)-C628-C630-F634-F636</f>
        <v>-70.54992</v>
      </c>
      <c r="G641" s="41" t="n">
        <f aca="false">G620+G632*(1-a_tax)-C628-C630-G634-G636</f>
        <v>-53.784864</v>
      </c>
      <c r="H641" s="41" t="n">
        <f aca="false">H620+H632*(1-a_tax)-C628-C630-H634-H636</f>
        <v>-31.2717888</v>
      </c>
      <c r="I641" s="41" t="n">
        <f aca="false">I620+I632*(1-a_tax)-C628-C630-I634-I636</f>
        <v>-18.62614656</v>
      </c>
      <c r="J641" s="41" t="n">
        <f aca="false">J620+J632*(1-a_tax)-C628-C630-J634-J636</f>
        <v>-3.451375872</v>
      </c>
      <c r="K641" s="41" t="n">
        <f aca="false">K620+K632*(1-a_tax)-C628-C630-K634-K636</f>
        <v>14.7583489536</v>
      </c>
      <c r="L641" s="41" t="n">
        <f aca="false">L620+L632*(1-a_tax)-C628-C630-L634-L636</f>
        <v>36.6100187443199</v>
      </c>
      <c r="M641" s="41" t="n">
        <f aca="false">M620+M632*(1-a_tax)-C628-C630-M634-M636</f>
        <v>62.832022493184</v>
      </c>
    </row>
    <row r="642" customFormat="false" ht="15" hidden="false" customHeight="false" outlineLevel="0" collapsed="false">
      <c r="A642" s="9" t="s">
        <v>497</v>
      </c>
      <c r="C642" s="36" t="n">
        <f aca="false">C637+C641</f>
        <v>385.5</v>
      </c>
      <c r="D642" s="36" t="n">
        <f aca="false">D637+D641</f>
        <v>351.576</v>
      </c>
      <c r="E642" s="36" t="n">
        <f aca="false">E637+E641</f>
        <v>397.1424</v>
      </c>
      <c r="F642" s="36" t="n">
        <f aca="false">F637+F641</f>
        <v>409.45008</v>
      </c>
      <c r="G642" s="36" t="n">
        <f aca="false">G637+G641</f>
        <v>426.215136</v>
      </c>
      <c r="H642" s="36" t="n">
        <f aca="false">H637+H641</f>
        <v>448.7282112</v>
      </c>
      <c r="I642" s="36" t="n">
        <f aca="false">I637+I641</f>
        <v>461.37385344</v>
      </c>
      <c r="J642" s="36" t="n">
        <f aca="false">J637+J641</f>
        <v>476.548624128</v>
      </c>
      <c r="K642" s="36" t="n">
        <f aca="false">K637+K641</f>
        <v>494.7583489536</v>
      </c>
      <c r="L642" s="36" t="n">
        <f aca="false">L637+L641</f>
        <v>516.61001874432</v>
      </c>
      <c r="M642" s="36" t="n">
        <f aca="false">M637+M641</f>
        <v>542.832022493184</v>
      </c>
    </row>
    <row r="643" customFormat="false" ht="15" hidden="false" customHeight="false" outlineLevel="0" collapsed="false">
      <c r="A643" s="4" t="s">
        <v>498</v>
      </c>
      <c r="C643" s="48" t="n">
        <f aca="false">C642/C627</f>
        <v>5.92858021653543</v>
      </c>
      <c r="D643" s="48" t="n">
        <f aca="false">D642/C627</f>
        <v>5.40686515748032</v>
      </c>
      <c r="E643" s="48" t="n">
        <f aca="false">E642/C627</f>
        <v>6.10762795275591</v>
      </c>
      <c r="F643" s="48" t="n">
        <f aca="false">F642/C627</f>
        <v>6.29690698818898</v>
      </c>
      <c r="G643" s="48" t="n">
        <f aca="false">G642/C627</f>
        <v>6.55473572834646</v>
      </c>
      <c r="H643" s="48" t="n">
        <f aca="false">H642/C627</f>
        <v>6.90096289370079</v>
      </c>
      <c r="I643" s="48" t="n">
        <f aca="false">I642/C627</f>
        <v>7.09543942913386</v>
      </c>
      <c r="J643" s="48" t="n">
        <f aca="false">J642/C627</f>
        <v>7.32881127165354</v>
      </c>
      <c r="K643" s="48" t="n">
        <f aca="false">K642/C627</f>
        <v>7.60885748267717</v>
      </c>
      <c r="L643" s="48" t="n">
        <f aca="false">L642/C627</f>
        <v>7.94491293590551</v>
      </c>
      <c r="M643" s="48" t="n">
        <f aca="false">M642/C627</f>
        <v>8.34817947977953</v>
      </c>
    </row>
    <row r="644" customFormat="false" ht="15" hidden="false" customHeight="false" outlineLevel="0" collapsed="false">
      <c r="A644" s="4" t="s">
        <v>499</v>
      </c>
      <c r="C644" s="14" t="n">
        <f aca="false">C643/cf_eps-1</f>
        <v>-0.209522637795276</v>
      </c>
      <c r="D644" s="14" t="n">
        <f aca="false">D643/cf_eps-1</f>
        <v>-0.279084645669291</v>
      </c>
      <c r="E644" s="14" t="n">
        <f aca="false">E643/cf_eps-1</f>
        <v>-0.185649606299213</v>
      </c>
      <c r="F644" s="14" t="n">
        <f aca="false">F643/cf_eps-1</f>
        <v>-0.160412401574803</v>
      </c>
      <c r="G644" s="14" t="n">
        <f aca="false">G643/cf_eps-1</f>
        <v>-0.126035236220473</v>
      </c>
      <c r="H644" s="14" t="n">
        <f aca="false">H643/cf_eps-1</f>
        <v>-0.0798716141732284</v>
      </c>
      <c r="I644" s="14" t="n">
        <f aca="false">I643/cf_eps-1</f>
        <v>-0.053941409448819</v>
      </c>
      <c r="J644" s="14" t="n">
        <f aca="false">J643/cf_eps-1</f>
        <v>-0.0228251637795275</v>
      </c>
      <c r="K644" s="14" t="n">
        <f aca="false">K643/cf_eps-1</f>
        <v>0.014514331023622</v>
      </c>
      <c r="L644" s="14" t="n">
        <f aca="false">L643/cf_eps-1</f>
        <v>0.0593217247874014</v>
      </c>
      <c r="M644" s="14" t="n">
        <f aca="false">M643/cf_eps-1</f>
        <v>0.113090597303937</v>
      </c>
    </row>
    <row r="645" customFormat="false" ht="15" hidden="false" customHeight="false" outlineLevel="0" collapsed="false">
      <c r="A645" s="9" t="s">
        <v>500</v>
      </c>
      <c r="C645" s="50" t="n">
        <f aca="false">C643</f>
        <v>5.92858021653543</v>
      </c>
      <c r="D645" s="50" t="n">
        <f aca="false">(D642+D638)/C627</f>
        <v>6.46801181102362</v>
      </c>
      <c r="E645" s="50" t="n">
        <f aca="false">(E642+E638)/C627</f>
        <v>7.16877460629921</v>
      </c>
      <c r="F645" s="50" t="n">
        <f aca="false">(F642+F638)/C627</f>
        <v>7.35805364173228</v>
      </c>
      <c r="G645" s="50" t="n">
        <f aca="false">(G642+G638)/C627</f>
        <v>7.61588238188976</v>
      </c>
      <c r="H645" s="50" t="n">
        <f aca="false">(H642+H638)/C627</f>
        <v>7.9621095472441</v>
      </c>
      <c r="I645" s="50" t="n">
        <f aca="false">(I642+I638)/C627</f>
        <v>8.15658608267716</v>
      </c>
      <c r="J645" s="50" t="n">
        <f aca="false">(J642+J638)/C627</f>
        <v>8.38995792519685</v>
      </c>
      <c r="K645" s="50" t="n">
        <f aca="false">(K642+K638)/C627</f>
        <v>8.67000413622047</v>
      </c>
      <c r="L645" s="50" t="n">
        <f aca="false">(L642+L638)/C627</f>
        <v>9.00605958944882</v>
      </c>
      <c r="M645" s="50" t="n">
        <f aca="false">(M642+M638)/C627</f>
        <v>9.40932613332284</v>
      </c>
    </row>
    <row r="646" customFormat="false" ht="15" hidden="false" customHeight="false" outlineLevel="0" collapsed="false">
      <c r="A646" s="9" t="s">
        <v>501</v>
      </c>
      <c r="C646" s="18" t="n">
        <f aca="false">C644</f>
        <v>-0.209522637795276</v>
      </c>
      <c r="D646" s="18" t="n">
        <f aca="false">D645/D640-1</f>
        <v>-0.245987694161181</v>
      </c>
      <c r="E646" s="18" t="n">
        <f aca="false">E645/E640-1</f>
        <v>-0.164295856460565</v>
      </c>
      <c r="F646" s="18" t="n">
        <f aca="false">F645/F640-1</f>
        <v>-0.142230540854524</v>
      </c>
      <c r="G646" s="18" t="n">
        <f aca="false">G645/G640-1</f>
        <v>-0.112174002839809</v>
      </c>
      <c r="H646" s="18" t="n">
        <f aca="false">H645/H640-1</f>
        <v>-0.0718123660771911</v>
      </c>
      <c r="I646" s="18" t="n">
        <f aca="false">I645/I640-1</f>
        <v>-0.0491411488318061</v>
      </c>
      <c r="J646" s="18" t="n">
        <f aca="false">J645/J640-1</f>
        <v>-0.0219356881373434</v>
      </c>
      <c r="K646" s="18" t="n">
        <f aca="false">K645/K640-1</f>
        <v>0.0107108646960115</v>
      </c>
      <c r="L646" s="18" t="n">
        <f aca="false">L645/L640-1</f>
        <v>0.0498867280960371</v>
      </c>
      <c r="M646" s="18" t="n">
        <f aca="false">M645/M640-1</f>
        <v>0.0968977641760682</v>
      </c>
    </row>
    <row r="647" customFormat="false" ht="15" hidden="false" customHeight="false" outlineLevel="0" collapsed="false">
      <c r="A647" s="9" t="s">
        <v>502</v>
      </c>
      <c r="C647" s="50" t="n">
        <f aca="false">(C642+C630)/C627</f>
        <v>5.92858021653543</v>
      </c>
      <c r="D647" s="50" t="n">
        <f aca="false">(D642+C630)/C627</f>
        <v>5.40686515748032</v>
      </c>
      <c r="E647" s="50" t="n">
        <f aca="false">(E642+C630)/C627</f>
        <v>6.10762795275591</v>
      </c>
      <c r="F647" s="50" t="n">
        <f aca="false">(F642+C630)/C627</f>
        <v>6.29690698818898</v>
      </c>
      <c r="G647" s="50" t="n">
        <f aca="false">(G642+C630)/C627</f>
        <v>6.55473572834646</v>
      </c>
      <c r="H647" s="50" t="n">
        <f aca="false">(H642+C630)/C627</f>
        <v>6.90096289370079</v>
      </c>
      <c r="I647" s="50" t="n">
        <f aca="false">(I642+C630)/C627</f>
        <v>7.09543942913386</v>
      </c>
      <c r="J647" s="50" t="n">
        <f aca="false">(J642+C630)/C627</f>
        <v>7.32881127165354</v>
      </c>
      <c r="K647" s="50" t="n">
        <f aca="false">(K642+C630)/C627</f>
        <v>7.60885748267717</v>
      </c>
      <c r="L647" s="50" t="n">
        <f aca="false">(L642+C630)/C627</f>
        <v>7.94491293590551</v>
      </c>
      <c r="M647" s="50" t="n">
        <f aca="false">(M642+C630)/C627</f>
        <v>8.34817947977953</v>
      </c>
    </row>
    <row r="648" customFormat="false" ht="15" hidden="false" customHeight="false" outlineLevel="0" collapsed="false">
      <c r="A648" s="9" t="s">
        <v>503</v>
      </c>
      <c r="C648" s="50" t="n">
        <f aca="false">(C642-C629+C630)/C627</f>
        <v>4.48680487204724</v>
      </c>
      <c r="D648" s="50" t="n">
        <f aca="false">(D642-C629+C630)/C627</f>
        <v>3.96508981299213</v>
      </c>
      <c r="E648" s="50" t="n">
        <f aca="false">(E642-C629+C630)/C627</f>
        <v>4.66585260826772</v>
      </c>
      <c r="F648" s="50" t="n">
        <f aca="false">(F642-C629+C630)/C627</f>
        <v>4.85513164370079</v>
      </c>
      <c r="G648" s="50" t="n">
        <f aca="false">(G642-C629+C630)/C627</f>
        <v>5.11296038385827</v>
      </c>
      <c r="H648" s="50" t="n">
        <f aca="false">(H642-C629+C630)/C627</f>
        <v>5.4591875492126</v>
      </c>
      <c r="I648" s="50" t="n">
        <f aca="false">(I642-C629+C630)/C627</f>
        <v>5.65366408464567</v>
      </c>
      <c r="J648" s="50" t="n">
        <f aca="false">(J642-C629+C630)/C627</f>
        <v>5.88703592716535</v>
      </c>
      <c r="K648" s="50" t="n">
        <f aca="false">(K642-C629+C630)/C627</f>
        <v>6.16708213818898</v>
      </c>
      <c r="L648" s="50" t="n">
        <f aca="false">(L642-C629+C630)/C627</f>
        <v>6.50313759141732</v>
      </c>
      <c r="M648" s="50" t="n">
        <f aca="false">(M642-C629+C630)/C627</f>
        <v>6.90640413529134</v>
      </c>
    </row>
    <row r="649" customFormat="false" ht="15" hidden="false" customHeight="false" outlineLevel="0" collapsed="false">
      <c r="A649" s="9" t="s">
        <v>504</v>
      </c>
      <c r="C649" s="50" t="n">
        <f aca="false">C637/C627</f>
        <v>7.38188976377953</v>
      </c>
      <c r="D649" s="50" t="n">
        <f aca="false">D637/C627</f>
        <v>7.38188976377953</v>
      </c>
      <c r="E649" s="50" t="n">
        <f aca="false">E637/C627</f>
        <v>7.38188976377953</v>
      </c>
      <c r="F649" s="50" t="n">
        <f aca="false">F637/C627</f>
        <v>7.38188976377953</v>
      </c>
      <c r="G649" s="50" t="n">
        <f aca="false">G637/C627</f>
        <v>7.38188976377953</v>
      </c>
      <c r="H649" s="50" t="n">
        <f aca="false">H637/C627</f>
        <v>7.38188976377953</v>
      </c>
      <c r="I649" s="50" t="n">
        <f aca="false">I637/C627</f>
        <v>7.38188976377953</v>
      </c>
      <c r="J649" s="50" t="n">
        <f aca="false">J637/C627</f>
        <v>7.38188976377953</v>
      </c>
      <c r="K649" s="50" t="n">
        <f aca="false">K637/C627</f>
        <v>7.38188976377953</v>
      </c>
      <c r="L649" s="50" t="n">
        <f aca="false">L637/C627</f>
        <v>7.38188976377953</v>
      </c>
      <c r="M649" s="50" t="n">
        <f aca="false">M637/C627</f>
        <v>7.38188976377953</v>
      </c>
    </row>
    <row r="650" customFormat="false" ht="15" hidden="false" customHeight="false" outlineLevel="0" collapsed="false">
      <c r="A650" s="9" t="s">
        <v>505</v>
      </c>
      <c r="D650" s="36" t="n">
        <f aca="false">D623+D632*(1-a_tax)-D633-IF(D610=1,C631,0)</f>
        <v>-192.164</v>
      </c>
      <c r="E650" s="36" t="n">
        <f aca="false">E623+E632*(1-a_tax)-E633-IF(E610=1,C631,0)</f>
        <v>9.7944</v>
      </c>
      <c r="F650" s="36" t="n">
        <f aca="false">F623+F632*(1-a_tax)-F633-IF(F610=1,C631,0)</f>
        <v>21.73248</v>
      </c>
      <c r="G650" s="36" t="n">
        <f aca="false">G623+G632*(1-a_tax)-G633-IF(G610=1,C631,0)</f>
        <v>38.054016</v>
      </c>
      <c r="H650" s="36" t="n">
        <f aca="false">H623+H632*(1-a_tax)-H633-IF(H610=1,C631,0)</f>
        <v>60.0348672</v>
      </c>
      <c r="I650" s="36" t="n">
        <f aca="false">I623+I632*(1-a_tax)-I633-IF(I610=1,C631,0)</f>
        <v>72.04184064</v>
      </c>
      <c r="J650" s="36" t="n">
        <f aca="false">J623+J632*(1-a_tax)-J633-IF(J610=1,C631,0)</f>
        <v>86.450208768</v>
      </c>
      <c r="K650" s="36" t="n">
        <f aca="false">K623+K632*(1-a_tax)-K633-IF(K610=1,C631,0)</f>
        <v>103.7402505216</v>
      </c>
      <c r="L650" s="36" t="n">
        <f aca="false">L623+L632*(1-a_tax)-L633-IF(L610=1,C631,0)</f>
        <v>124.48830062592</v>
      </c>
      <c r="M650" s="36" t="n">
        <f aca="false">M623+M632*(1-a_tax)-M633-IF(M610=1,C631,0)</f>
        <v>149.385960751104</v>
      </c>
    </row>
    <row r="651" customFormat="false" ht="15" hidden="false" customHeight="false" outlineLevel="0" collapsed="false">
      <c r="A651" s="4" t="s">
        <v>506</v>
      </c>
      <c r="D651" s="41" t="n">
        <f aca="false">D650-C628</f>
        <v>-286.664</v>
      </c>
      <c r="E651" s="41" t="n">
        <f aca="false">E650-C628</f>
        <v>-84.7056</v>
      </c>
      <c r="F651" s="41" t="n">
        <f aca="false">F650-C628</f>
        <v>-72.76752</v>
      </c>
      <c r="G651" s="41" t="n">
        <f aca="false">G650-C628</f>
        <v>-56.445984</v>
      </c>
      <c r="H651" s="41" t="n">
        <f aca="false">H650-C628</f>
        <v>-34.4651328</v>
      </c>
      <c r="I651" s="41" t="n">
        <f aca="false">I650-C628</f>
        <v>-22.45815936</v>
      </c>
      <c r="J651" s="41" t="n">
        <f aca="false">J650-C628</f>
        <v>-8.049791232</v>
      </c>
      <c r="K651" s="41" t="n">
        <f aca="false">K650-C628</f>
        <v>9.24025052159999</v>
      </c>
      <c r="L651" s="41" t="n">
        <f aca="false">L650-C628</f>
        <v>29.9883006259199</v>
      </c>
      <c r="M651" s="41" t="n">
        <f aca="false">M650-C628</f>
        <v>54.885960751104</v>
      </c>
    </row>
    <row r="652" customFormat="false" ht="15" hidden="false" customHeight="false" outlineLevel="0" collapsed="false">
      <c r="A652" s="9" t="s">
        <v>507</v>
      </c>
      <c r="C652" s="36" t="n">
        <f aca="false">0</f>
        <v>0</v>
      </c>
      <c r="D652" s="36" t="n">
        <f aca="false">D638</f>
        <v>69</v>
      </c>
      <c r="E652" s="36" t="n">
        <f aca="false">E638</f>
        <v>69</v>
      </c>
      <c r="F652" s="36" t="n">
        <f aca="false">F638</f>
        <v>69</v>
      </c>
      <c r="G652" s="36" t="n">
        <f aca="false">G638</f>
        <v>69</v>
      </c>
      <c r="H652" s="36" t="n">
        <f aca="false">H638</f>
        <v>69</v>
      </c>
      <c r="I652" s="36" t="n">
        <f aca="false">I638</f>
        <v>69</v>
      </c>
      <c r="J652" s="36" t="n">
        <f aca="false">J638</f>
        <v>69</v>
      </c>
      <c r="K652" s="36" t="n">
        <f aca="false">K638</f>
        <v>69</v>
      </c>
      <c r="L652" s="36" t="n">
        <f aca="false">L638</f>
        <v>69</v>
      </c>
      <c r="M652" s="36" t="n">
        <f aca="false">M638</f>
        <v>69</v>
      </c>
    </row>
    <row r="653" customFormat="false" ht="15" hidden="false" customHeight="false" outlineLevel="0" collapsed="false">
      <c r="A653" s="9" t="s">
        <v>508</v>
      </c>
      <c r="D653" s="36" t="n">
        <f aca="false">D651+D652</f>
        <v>-217.664</v>
      </c>
      <c r="E653" s="36" t="n">
        <f aca="false">E651+E652</f>
        <v>-15.7056</v>
      </c>
      <c r="F653" s="36" t="n">
        <f aca="false">F651+F652</f>
        <v>-3.76751999999999</v>
      </c>
      <c r="G653" s="36" t="n">
        <f aca="false">G651+G652</f>
        <v>12.554016</v>
      </c>
      <c r="H653" s="36" t="n">
        <f aca="false">H651+H652</f>
        <v>34.5348672</v>
      </c>
      <c r="I653" s="36" t="n">
        <f aca="false">I651+I652</f>
        <v>46.54184064</v>
      </c>
      <c r="J653" s="36" t="n">
        <f aca="false">J651+J652</f>
        <v>60.950208768</v>
      </c>
      <c r="K653" s="36" t="n">
        <f aca="false">K651+K652</f>
        <v>78.2402505216</v>
      </c>
      <c r="L653" s="36" t="n">
        <f aca="false">L651+L652</f>
        <v>98.98830062592</v>
      </c>
      <c r="M653" s="36" t="n">
        <f aca="false">M651+M652</f>
        <v>123.885960751104</v>
      </c>
    </row>
    <row r="654" customFormat="false" ht="15" hidden="false" customHeight="false" outlineLevel="0" collapsed="false">
      <c r="A654" s="9" t="s">
        <v>509</v>
      </c>
      <c r="D654" s="36" t="n">
        <f aca="false">IF(lv_mdr_in_deal=1,D653,D651)</f>
        <v>-286.664</v>
      </c>
      <c r="E654" s="36" t="n">
        <f aca="false">IF(lv_mdr_in_deal=1,E653,E651)</f>
        <v>-84.7056</v>
      </c>
      <c r="F654" s="36" t="n">
        <f aca="false">IF(lv_mdr_in_deal=1,F653,F651)</f>
        <v>-72.76752</v>
      </c>
      <c r="G654" s="36" t="n">
        <f aca="false">IF(lv_mdr_in_deal=1,G653,G651)</f>
        <v>-56.445984</v>
      </c>
      <c r="H654" s="36" t="n">
        <f aca="false">IF(lv_mdr_in_deal=1,H653,H651)</f>
        <v>-34.4651328</v>
      </c>
      <c r="I654" s="36" t="n">
        <f aca="false">IF(lv_mdr_in_deal=1,I653,I651)</f>
        <v>-22.45815936</v>
      </c>
      <c r="J654" s="36" t="n">
        <f aca="false">IF(lv_mdr_in_deal=1,J653,J651)</f>
        <v>-8.049791232</v>
      </c>
      <c r="K654" s="36" t="n">
        <f aca="false">IF(lv_mdr_in_deal=1,K653,K651)</f>
        <v>9.24025052159999</v>
      </c>
      <c r="L654" s="36" t="n">
        <f aca="false">IF(lv_mdr_in_deal=1,L653,L651)</f>
        <v>29.9883006259199</v>
      </c>
      <c r="M654" s="36" t="n">
        <f aca="false">IF(lv_mdr_in_deal=1,M653,M651)</f>
        <v>54.885960751104</v>
      </c>
    </row>
    <row r="655" customFormat="false" ht="15" hidden="false" customHeight="false" outlineLevel="0" collapsed="false">
      <c r="A655" s="9" t="s">
        <v>510</v>
      </c>
      <c r="C655" s="36" t="n">
        <f aca="false">-lv_price</f>
        <v>-4000</v>
      </c>
      <c r="D655" s="36" t="n">
        <f aca="false">C655+D654</f>
        <v>-4286.664</v>
      </c>
      <c r="E655" s="36" t="n">
        <f aca="false">D655+E654</f>
        <v>-4371.3696</v>
      </c>
      <c r="F655" s="36" t="n">
        <f aca="false">E655+F654</f>
        <v>-4444.13712</v>
      </c>
      <c r="G655" s="36" t="n">
        <f aca="false">F655+G654</f>
        <v>-4500.583104</v>
      </c>
      <c r="H655" s="36" t="n">
        <f aca="false">G655+H654</f>
        <v>-4535.0482368</v>
      </c>
      <c r="I655" s="36" t="n">
        <f aca="false">H655+I654</f>
        <v>-4557.50639616</v>
      </c>
      <c r="J655" s="36" t="n">
        <f aca="false">I655+J654</f>
        <v>-4565.556187392</v>
      </c>
      <c r="K655" s="36" t="n">
        <f aca="false">J655+K654</f>
        <v>-4556.3159368704</v>
      </c>
      <c r="L655" s="36" t="n">
        <f aca="false">K655+L654</f>
        <v>-4526.32763624448</v>
      </c>
      <c r="M655" s="36" t="n">
        <f aca="false">L655+M654</f>
        <v>-4471.44167549338</v>
      </c>
    </row>
    <row r="656" customFormat="false" ht="15" hidden="false" customHeight="false" outlineLevel="0" collapsed="false">
      <c r="A656" s="9" t="s">
        <v>511</v>
      </c>
      <c r="C656" s="43" t="n">
        <f aca="false">1</f>
        <v>1</v>
      </c>
      <c r="D656" s="43" t="n">
        <f aca="false">1/(1+lv_wacc)^D610</f>
        <v>0.884955752212389</v>
      </c>
      <c r="E656" s="43" t="n">
        <f aca="false">1/(1+lv_wacc)^E610</f>
        <v>0.783146683373796</v>
      </c>
      <c r="F656" s="43" t="n">
        <f aca="false">1/(1+lv_wacc)^F610</f>
        <v>0.693050162277696</v>
      </c>
      <c r="G656" s="43" t="n">
        <f aca="false">1/(1+lv_wacc)^G610</f>
        <v>0.613318727679377</v>
      </c>
      <c r="H656" s="43" t="n">
        <f aca="false">1/(1+lv_wacc)^H610</f>
        <v>0.542759935999449</v>
      </c>
      <c r="I656" s="43" t="n">
        <f aca="false">1/(1+lv_wacc)^I610</f>
        <v>0.48031852743314</v>
      </c>
      <c r="J656" s="43" t="n">
        <f aca="false">1/(1+lv_wacc)^J610</f>
        <v>0.425060643746142</v>
      </c>
      <c r="K656" s="43" t="n">
        <f aca="false">1/(1+lv_wacc)^K610</f>
        <v>0.37615986172225</v>
      </c>
      <c r="L656" s="43" t="n">
        <f aca="false">1/(1+lv_wacc)^L610</f>
        <v>0.332884833382522</v>
      </c>
      <c r="M656" s="43" t="n">
        <f aca="false">1/(1+lv_wacc)^M610</f>
        <v>0.294588348126126</v>
      </c>
    </row>
    <row r="657" customFormat="false" ht="15" hidden="false" customHeight="false" outlineLevel="0" collapsed="false">
      <c r="A657" s="9" t="s">
        <v>512</v>
      </c>
      <c r="C657" s="46" t="n">
        <f aca="false">99</f>
        <v>99</v>
      </c>
      <c r="D657" s="46" t="n">
        <f aca="false">IF(D641&gt;=0,D610,99)</f>
        <v>99</v>
      </c>
      <c r="E657" s="46" t="n">
        <f aca="false">IF(E641&gt;=0,E610,99)</f>
        <v>99</v>
      </c>
      <c r="F657" s="46" t="n">
        <f aca="false">IF(F641&gt;=0,F610,99)</f>
        <v>99</v>
      </c>
      <c r="G657" s="46" t="n">
        <f aca="false">IF(G641&gt;=0,G610,99)</f>
        <v>99</v>
      </c>
      <c r="H657" s="46" t="n">
        <f aca="false">IF(H641&gt;=0,H610,99)</f>
        <v>99</v>
      </c>
      <c r="I657" s="46" t="n">
        <f aca="false">IF(I641&gt;=0,I610,99)</f>
        <v>99</v>
      </c>
      <c r="J657" s="46" t="n">
        <f aca="false">IF(J641&gt;=0,J610,99)</f>
        <v>99</v>
      </c>
      <c r="K657" s="46" t="n">
        <f aca="false">IF(K641&gt;=0,K610,99)</f>
        <v>8</v>
      </c>
      <c r="L657" s="46" t="n">
        <f aca="false">IF(L641&gt;=0,L610,99)</f>
        <v>9</v>
      </c>
      <c r="M657" s="46" t="n">
        <f aca="false">IF(M641&gt;=0,M610,99)</f>
        <v>10</v>
      </c>
    </row>
    <row r="658" customFormat="false" ht="15" hidden="false" customHeight="false" outlineLevel="0" collapsed="false">
      <c r="A658" s="9" t="s">
        <v>513</v>
      </c>
      <c r="C658" s="46" t="n">
        <f aca="false">99</f>
        <v>99</v>
      </c>
      <c r="D658" s="46" t="n">
        <f aca="false">IF(D641+D638&gt;=0,D610,99)</f>
        <v>99</v>
      </c>
      <c r="E658" s="46" t="n">
        <f aca="false">IF(E641+E638&gt;=0,E610,99)</f>
        <v>99</v>
      </c>
      <c r="F658" s="46" t="n">
        <f aca="false">IF(F641+F638&gt;=0,F610,99)</f>
        <v>99</v>
      </c>
      <c r="G658" s="46" t="n">
        <f aca="false">IF(G641+G638&gt;=0,G610,99)</f>
        <v>4</v>
      </c>
      <c r="H658" s="46" t="n">
        <f aca="false">IF(H641+H638&gt;=0,H610,99)</f>
        <v>5</v>
      </c>
      <c r="I658" s="46" t="n">
        <f aca="false">IF(I641+I638&gt;=0,I610,99)</f>
        <v>6</v>
      </c>
      <c r="J658" s="46" t="n">
        <f aca="false">IF(J641+J638&gt;=0,J610,99)</f>
        <v>7</v>
      </c>
      <c r="K658" s="46" t="n">
        <f aca="false">IF(K641+K638&gt;=0,K610,99)</f>
        <v>8</v>
      </c>
      <c r="L658" s="46" t="n">
        <f aca="false">IF(L641+L638&gt;=0,L610,99)</f>
        <v>9</v>
      </c>
      <c r="M658" s="46" t="n">
        <f aca="false">IF(M641+M638&gt;=0,M610,99)</f>
        <v>10</v>
      </c>
    </row>
    <row r="659" customFormat="false" ht="15" hidden="false" customHeight="false" outlineLevel="0" collapsed="false">
      <c r="A659" s="9" t="s">
        <v>514</v>
      </c>
      <c r="C659" s="46" t="n">
        <f aca="false">99</f>
        <v>99</v>
      </c>
      <c r="D659" s="46" t="n">
        <f aca="false">IF(D651&gt;=0,D610,99)</f>
        <v>99</v>
      </c>
      <c r="E659" s="46" t="n">
        <f aca="false">IF(E651&gt;=0,E610,99)</f>
        <v>99</v>
      </c>
      <c r="F659" s="46" t="n">
        <f aca="false">IF(F651&gt;=0,F610,99)</f>
        <v>99</v>
      </c>
      <c r="G659" s="46" t="n">
        <f aca="false">IF(G651&gt;=0,G610,99)</f>
        <v>99</v>
      </c>
      <c r="H659" s="46" t="n">
        <f aca="false">IF(H651&gt;=0,H610,99)</f>
        <v>99</v>
      </c>
      <c r="I659" s="46" t="n">
        <f aca="false">IF(I651&gt;=0,I610,99)</f>
        <v>99</v>
      </c>
      <c r="J659" s="46" t="n">
        <f aca="false">IF(J651&gt;=0,J610,99)</f>
        <v>99</v>
      </c>
      <c r="K659" s="46" t="n">
        <f aca="false">IF(K651&gt;=0,K610,99)</f>
        <v>8</v>
      </c>
      <c r="L659" s="46" t="n">
        <f aca="false">IF(L651&gt;=0,L610,99)</f>
        <v>9</v>
      </c>
      <c r="M659" s="46" t="n">
        <f aca="false">IF(M651&gt;=0,M610,99)</f>
        <v>10</v>
      </c>
    </row>
    <row r="660" customFormat="false" ht="15" hidden="false" customHeight="false" outlineLevel="0" collapsed="false">
      <c r="A660" s="9" t="s">
        <v>515</v>
      </c>
      <c r="C660" s="46" t="n">
        <f aca="false">99</f>
        <v>99</v>
      </c>
      <c r="D660" s="46" t="n">
        <f aca="false">IF(D653&gt;=0,D610,99)</f>
        <v>99</v>
      </c>
      <c r="E660" s="46" t="n">
        <f aca="false">IF(E653&gt;=0,E610,99)</f>
        <v>99</v>
      </c>
      <c r="F660" s="46" t="n">
        <f aca="false">IF(F653&gt;=0,F610,99)</f>
        <v>99</v>
      </c>
      <c r="G660" s="46" t="n">
        <f aca="false">IF(G653&gt;=0,G610,99)</f>
        <v>4</v>
      </c>
      <c r="H660" s="46" t="n">
        <f aca="false">IF(H653&gt;=0,H610,99)</f>
        <v>5</v>
      </c>
      <c r="I660" s="46" t="n">
        <f aca="false">IF(I653&gt;=0,I610,99)</f>
        <v>6</v>
      </c>
      <c r="J660" s="46" t="n">
        <f aca="false">IF(J653&gt;=0,J610,99)</f>
        <v>7</v>
      </c>
      <c r="K660" s="46" t="n">
        <f aca="false">IF(K653&gt;=0,K610,99)</f>
        <v>8</v>
      </c>
      <c r="L660" s="46" t="n">
        <f aca="false">IF(L653&gt;=0,L610,99)</f>
        <v>9</v>
      </c>
      <c r="M660" s="46" t="n">
        <f aca="false">IF(M653&gt;=0,M610,99)</f>
        <v>10</v>
      </c>
    </row>
    <row r="661" customFormat="false" ht="15" hidden="false" customHeight="false" outlineLevel="0" collapsed="false">
      <c r="A661" s="9" t="s">
        <v>516</v>
      </c>
      <c r="C661" s="46" t="n">
        <f aca="false">99</f>
        <v>99</v>
      </c>
      <c r="D661" s="46" t="n">
        <f aca="false">IF(D655&gt;=0,D610,99)</f>
        <v>99</v>
      </c>
      <c r="E661" s="46" t="n">
        <f aca="false">IF(E655&gt;=0,E610,99)</f>
        <v>99</v>
      </c>
      <c r="F661" s="46" t="n">
        <f aca="false">IF(F655&gt;=0,F610,99)</f>
        <v>99</v>
      </c>
      <c r="G661" s="46" t="n">
        <f aca="false">IF(G655&gt;=0,G610,99)</f>
        <v>99</v>
      </c>
      <c r="H661" s="46" t="n">
        <f aca="false">IF(H655&gt;=0,H610,99)</f>
        <v>99</v>
      </c>
      <c r="I661" s="46" t="n">
        <f aca="false">IF(I655&gt;=0,I610,99)</f>
        <v>99</v>
      </c>
      <c r="J661" s="46" t="n">
        <f aca="false">IF(J655&gt;=0,J610,99)</f>
        <v>99</v>
      </c>
      <c r="K661" s="46" t="n">
        <f aca="false">IF(K655&gt;=0,K610,99)</f>
        <v>99</v>
      </c>
      <c r="L661" s="46" t="n">
        <f aca="false">IF(L655&gt;=0,L610,99)</f>
        <v>99</v>
      </c>
      <c r="M661" s="46" t="n">
        <f aca="false">IF(M655&gt;=0,M610,99)</f>
        <v>99</v>
      </c>
    </row>
    <row r="662" customFormat="false" ht="15" hidden="false" customHeight="false" outlineLevel="0" collapsed="false">
      <c r="A662" s="4" t="s">
        <v>517</v>
      </c>
      <c r="C662" s="23" t="n">
        <f aca="false">MIN(D657:M657)</f>
        <v>8</v>
      </c>
    </row>
    <row r="663" customFormat="false" ht="15" hidden="false" customHeight="false" outlineLevel="0" collapsed="false">
      <c r="A663" s="9" t="s">
        <v>518</v>
      </c>
      <c r="C663" s="46" t="n">
        <f aca="false">MIN(D658:M658)</f>
        <v>4</v>
      </c>
    </row>
    <row r="664" customFormat="false" ht="15" hidden="false" customHeight="false" outlineLevel="0" collapsed="false">
      <c r="A664" s="4" t="s">
        <v>519</v>
      </c>
      <c r="C664" s="23" t="n">
        <f aca="false">MIN(D659:M659)</f>
        <v>8</v>
      </c>
    </row>
    <row r="665" customFormat="false" ht="15" hidden="false" customHeight="false" outlineLevel="0" collapsed="false">
      <c r="A665" s="9" t="s">
        <v>520</v>
      </c>
      <c r="C665" s="46" t="n">
        <f aca="false">MIN(D660:M660)</f>
        <v>4</v>
      </c>
    </row>
    <row r="666" customFormat="false" ht="15" hidden="false" customHeight="false" outlineLevel="0" collapsed="false">
      <c r="A666" s="9" t="s">
        <v>521</v>
      </c>
      <c r="C666" s="46" t="n">
        <f aca="false">MIN(D661:M661)</f>
        <v>99</v>
      </c>
    </row>
    <row r="667" customFormat="false" ht="15" hidden="false" customHeight="false" outlineLevel="0" collapsed="false">
      <c r="A667" s="4" t="s">
        <v>522</v>
      </c>
      <c r="C667" s="15" t="n">
        <f aca="false">M655</f>
        <v>-4471.44167549338</v>
      </c>
    </row>
    <row r="668" customFormat="false" ht="15" hidden="false" customHeight="false" outlineLevel="0" collapsed="false">
      <c r="A668" s="9" t="s">
        <v>523</v>
      </c>
      <c r="C668" s="36" t="n">
        <f aca="false">SUMPRODUCT(D623:M623,D656:M656)</f>
        <v>246.012356322355</v>
      </c>
    </row>
    <row r="669" customFormat="false" ht="15" hidden="false" customHeight="false" outlineLevel="0" collapsed="false">
      <c r="A669" s="9" t="s">
        <v>524</v>
      </c>
      <c r="C669" s="36" t="n">
        <f aca="false">M623*(1+a_tg)/(lv_wacc-a_tg)</f>
        <v>1960.69073485824</v>
      </c>
    </row>
    <row r="670" customFormat="false" ht="15" hidden="false" customHeight="false" outlineLevel="0" collapsed="false">
      <c r="A670" s="9" t="s">
        <v>314</v>
      </c>
      <c r="C670" s="36" t="n">
        <f aca="false">C669*M656</f>
        <v>577.596644768088</v>
      </c>
    </row>
    <row r="671" customFormat="false" ht="15" hidden="false" customHeight="false" outlineLevel="0" collapsed="false">
      <c r="A671" s="4" t="s">
        <v>525</v>
      </c>
      <c r="C671" s="15" t="n">
        <f aca="false">C668+C670</f>
        <v>823.609001090443</v>
      </c>
    </row>
    <row r="672" customFormat="false" ht="15" hidden="false" customHeight="false" outlineLevel="0" collapsed="false">
      <c r="A672" s="9" t="s">
        <v>526</v>
      </c>
      <c r="C672" s="32" t="n">
        <f aca="false">SUMPRODUCT(D633:M633,D656:M656)-a_recovery*M635*M656</f>
        <v>0</v>
      </c>
    </row>
    <row r="673" customFormat="false" ht="15" hidden="false" customHeight="false" outlineLevel="0" collapsed="false">
      <c r="A673" s="9" t="s">
        <v>527</v>
      </c>
      <c r="C673" s="36" t="n">
        <f aca="false">SUMPRODUCT(D632:M632,D656:M656)*(1-a_tax)</f>
        <v>0</v>
      </c>
    </row>
    <row r="674" customFormat="false" ht="15" hidden="false" customHeight="false" outlineLevel="0" collapsed="false">
      <c r="A674" s="9" t="s">
        <v>528</v>
      </c>
      <c r="C674" s="36" t="n">
        <f aca="false">C631*D656</f>
        <v>141.592920353982</v>
      </c>
    </row>
    <row r="675" customFormat="false" ht="15" hidden="false" customHeight="false" outlineLevel="0" collapsed="false">
      <c r="A675" s="4" t="s">
        <v>529</v>
      </c>
      <c r="C675" s="20" t="n">
        <f aca="false">C671+C673-C672-C674-lv_price</f>
        <v>-3317.98391926354</v>
      </c>
    </row>
    <row r="676" customFormat="false" ht="15" hidden="false" customHeight="false" outlineLevel="0" collapsed="false">
      <c r="A676" s="9" t="s">
        <v>530</v>
      </c>
      <c r="C676" s="32" t="n">
        <f aca="false">C675+SUMPRODUCT(D652:M652,D656:M656)</f>
        <v>-2943.57311942279</v>
      </c>
    </row>
    <row r="677" customFormat="false" ht="15" hidden="false" customHeight="false" outlineLevel="0" collapsed="false">
      <c r="A677" s="4" t="s">
        <v>531</v>
      </c>
      <c r="C677" s="59" t="n">
        <f aca="false">lv_price/D613</f>
        <v>21.6450216450216</v>
      </c>
    </row>
    <row r="678" customFormat="false" ht="15" hidden="false" customHeight="false" outlineLevel="0" collapsed="false">
      <c r="A678" s="9" t="s">
        <v>532</v>
      </c>
      <c r="C678" s="17" t="n">
        <f aca="false">(lv_price+C672)/D613</f>
        <v>21.6450216450216</v>
      </c>
    </row>
    <row r="679" customFormat="false" ht="15" hidden="false" customHeight="false" outlineLevel="0" collapsed="false">
      <c r="A679" s="4" t="s">
        <v>533</v>
      </c>
      <c r="C679" s="15" t="n">
        <f aca="false">(C675+C672)/SUMPRODUCT(D656:M656)</f>
        <v>-611.469782726784</v>
      </c>
    </row>
    <row r="680" customFormat="false" ht="15" hidden="false" customHeight="false" outlineLevel="0" collapsed="false">
      <c r="A680" s="4" t="s">
        <v>534</v>
      </c>
      <c r="C680" s="25" t="n">
        <f aca="false">D643</f>
        <v>5.40686515748032</v>
      </c>
    </row>
    <row r="681" customFormat="false" ht="15" hidden="false" customHeight="false" outlineLevel="0" collapsed="false">
      <c r="A681" s="9" t="s">
        <v>535</v>
      </c>
      <c r="C681" s="50" t="n">
        <f aca="false">F643</f>
        <v>6.29690698818898</v>
      </c>
    </row>
    <row r="682" customFormat="false" ht="15" hidden="false" customHeight="false" outlineLevel="0" collapsed="false">
      <c r="A682" s="4" t="s">
        <v>536</v>
      </c>
      <c r="C682" s="20" t="n">
        <f aca="false">D651</f>
        <v>-286.664</v>
      </c>
    </row>
    <row r="683" customFormat="false" ht="15" hidden="false" customHeight="false" outlineLevel="0" collapsed="false">
      <c r="A683" s="9" t="s">
        <v>537</v>
      </c>
      <c r="C683" s="32" t="n">
        <f aca="false">cf_cash-lv_mix_cash-C631</f>
        <v>6640</v>
      </c>
    </row>
    <row r="684" customFormat="false" ht="15" hidden="false" customHeight="false" outlineLevel="0" collapsed="false">
      <c r="A684" s="9" t="s">
        <v>538</v>
      </c>
      <c r="C684" s="32" t="n">
        <f aca="false">cf_debt+lv_mix_debt</f>
        <v>350</v>
      </c>
    </row>
    <row r="685" customFormat="false" ht="15" hidden="false" customHeight="false" outlineLevel="0" collapsed="false">
      <c r="A685" s="9" t="s">
        <v>539</v>
      </c>
      <c r="C685" s="34" t="n">
        <f aca="false">C684/cf_ebitda</f>
        <v>0.546875</v>
      </c>
    </row>
    <row r="686" customFormat="false" ht="15" hidden="false" customHeight="false" outlineLevel="0" collapsed="false">
      <c r="A686" s="9" t="s">
        <v>540</v>
      </c>
      <c r="C686" s="32" t="n">
        <f aca="false">C683+SUM(D654:F654)+3*cf_pat</f>
        <v>7635.86288</v>
      </c>
    </row>
    <row r="688" customFormat="false" ht="15" hidden="false" customHeight="false" outlineLevel="0" collapsed="false">
      <c r="A688" s="7" t="s">
        <v>653</v>
      </c>
      <c r="B688" s="8"/>
      <c r="C688" s="8"/>
      <c r="D688" s="8"/>
      <c r="E688" s="8"/>
      <c r="F688" s="8"/>
      <c r="G688" s="8"/>
      <c r="H688" s="8"/>
      <c r="I688" s="8"/>
      <c r="J688" s="8"/>
      <c r="K688" s="8"/>
      <c r="L688" s="8"/>
      <c r="M688" s="8"/>
      <c r="N688" s="8"/>
    </row>
    <row r="689" customFormat="false" ht="15" hidden="false" customHeight="false" outlineLevel="0" collapsed="false">
      <c r="A689" s="4" t="s">
        <v>284</v>
      </c>
      <c r="C689" s="39" t="n">
        <v>0</v>
      </c>
      <c r="D689" s="39" t="n">
        <v>1</v>
      </c>
      <c r="E689" s="39" t="n">
        <v>2</v>
      </c>
      <c r="F689" s="39" t="n">
        <v>3</v>
      </c>
      <c r="G689" s="39" t="n">
        <v>4</v>
      </c>
      <c r="H689" s="39" t="n">
        <v>5</v>
      </c>
      <c r="I689" s="39" t="n">
        <v>6</v>
      </c>
      <c r="J689" s="39" t="n">
        <v>7</v>
      </c>
      <c r="K689" s="39" t="n">
        <v>8</v>
      </c>
      <c r="L689" s="39" t="n">
        <v>9</v>
      </c>
      <c r="M689" s="39" t="n">
        <v>10</v>
      </c>
    </row>
    <row r="690" customFormat="false" ht="15" hidden="false" customHeight="false" outlineLevel="0" collapsed="false">
      <c r="A690" s="9" t="s">
        <v>285</v>
      </c>
      <c r="C690" s="40" t="n">
        <f aca="false">cf_arr</f>
        <v>220</v>
      </c>
      <c r="D690" s="36" t="n">
        <f aca="false">C690*(1+lv_g)</f>
        <v>264</v>
      </c>
      <c r="E690" s="36" t="n">
        <f aca="false">D690*(1+lv_g)</f>
        <v>316.8</v>
      </c>
      <c r="F690" s="36" t="n">
        <f aca="false">E690*(1+lv_g)</f>
        <v>380.16</v>
      </c>
      <c r="G690" s="36" t="n">
        <f aca="false">F690*(1+lv_g)</f>
        <v>456.192</v>
      </c>
      <c r="H690" s="36" t="n">
        <f aca="false">G690*(1+lv_g)</f>
        <v>547.4304</v>
      </c>
      <c r="I690" s="36" t="n">
        <f aca="false">H690*(1+lv_g)</f>
        <v>656.91648</v>
      </c>
      <c r="J690" s="36" t="n">
        <f aca="false">I690*(1+lv_g)</f>
        <v>788.299776</v>
      </c>
      <c r="K690" s="36" t="n">
        <f aca="false">J690*(1+lv_g)</f>
        <v>945.9597312</v>
      </c>
      <c r="L690" s="36" t="n">
        <f aca="false">K690*(1+lv_g)</f>
        <v>1135.15167744</v>
      </c>
      <c r="M690" s="36" t="n">
        <f aca="false">L690*(1+lv_g)</f>
        <v>1362.182012928</v>
      </c>
    </row>
    <row r="691" customFormat="false" ht="15" hidden="false" customHeight="false" outlineLevel="0" collapsed="false">
      <c r="A691" s="9" t="s">
        <v>286</v>
      </c>
      <c r="C691" s="18" t="n">
        <f aca="false">1</f>
        <v>1</v>
      </c>
      <c r="D691" s="18" t="n">
        <f aca="false">IF(D689&gt;=a_churn_year,1-Churn!$A$17,1)</f>
        <v>0.65</v>
      </c>
      <c r="E691" s="18" t="n">
        <f aca="false">IF(E689&gt;=a_churn_year,1-Churn!$A$17,1)</f>
        <v>0.65</v>
      </c>
      <c r="F691" s="18" t="n">
        <f aca="false">IF(F689&gt;=a_churn_year,1-Churn!$A$17,1)</f>
        <v>0.65</v>
      </c>
      <c r="G691" s="18" t="n">
        <f aca="false">IF(G689&gt;=a_churn_year,1-Churn!$A$17,1)</f>
        <v>0.65</v>
      </c>
      <c r="H691" s="18" t="n">
        <f aca="false">IF(H689&gt;=a_churn_year,1-Churn!$A$17,1)</f>
        <v>0.65</v>
      </c>
      <c r="I691" s="18" t="n">
        <f aca="false">IF(I689&gt;=a_churn_year,1-Churn!$A$17,1)</f>
        <v>0.65</v>
      </c>
      <c r="J691" s="18" t="n">
        <f aca="false">IF(J689&gt;=a_churn_year,1-Churn!$A$17,1)</f>
        <v>0.65</v>
      </c>
      <c r="K691" s="18" t="n">
        <f aca="false">IF(K689&gt;=a_churn_year,1-Churn!$A$17,1)</f>
        <v>0.65</v>
      </c>
      <c r="L691" s="18" t="n">
        <f aca="false">IF(L689&gt;=a_churn_year,1-Churn!$A$17,1)</f>
        <v>0.65</v>
      </c>
      <c r="M691" s="18" t="n">
        <f aca="false">IF(M689&gt;=a_churn_year,1-Churn!$A$17,1)</f>
        <v>0.65</v>
      </c>
    </row>
    <row r="692" customFormat="false" ht="15" hidden="false" customHeight="false" outlineLevel="0" collapsed="false">
      <c r="A692" s="4" t="s">
        <v>287</v>
      </c>
      <c r="C692" s="41" t="n">
        <f aca="false">C690*C691</f>
        <v>220</v>
      </c>
      <c r="D692" s="41" t="n">
        <f aca="false">D690*D691</f>
        <v>171.6</v>
      </c>
      <c r="E692" s="41" t="n">
        <f aca="false">E690*E691</f>
        <v>205.92</v>
      </c>
      <c r="F692" s="41" t="n">
        <f aca="false">F690*F691</f>
        <v>247.104</v>
      </c>
      <c r="G692" s="41" t="n">
        <f aca="false">G690*G691</f>
        <v>296.5248</v>
      </c>
      <c r="H692" s="41" t="n">
        <f aca="false">H690*H691</f>
        <v>355.82976</v>
      </c>
      <c r="I692" s="41" t="n">
        <f aca="false">I690*I691</f>
        <v>426.995712</v>
      </c>
      <c r="J692" s="41" t="n">
        <f aca="false">J690*J691</f>
        <v>512.3948544</v>
      </c>
      <c r="K692" s="41" t="n">
        <f aca="false">K690*K691</f>
        <v>614.87382528</v>
      </c>
      <c r="L692" s="41" t="n">
        <f aca="false">L690*L691</f>
        <v>737.848590336</v>
      </c>
      <c r="M692" s="41" t="n">
        <f aca="false">M690*M691</f>
        <v>885.4183084032</v>
      </c>
    </row>
    <row r="693" customFormat="false" ht="15" hidden="false" customHeight="false" outlineLevel="0" collapsed="false">
      <c r="A693" s="9" t="s">
        <v>288</v>
      </c>
      <c r="C693" s="18" t="n">
        <f aca="false">MIN(a_m0+a_mstep*C689,a_mcap)</f>
        <v>0</v>
      </c>
      <c r="D693" s="18" t="n">
        <f aca="false">MIN(a_m0+a_mstep*D689,a_mcap)</f>
        <v>0.05</v>
      </c>
      <c r="E693" s="18" t="n">
        <f aca="false">MIN(a_m0+a_mstep*E689,a_mcap)</f>
        <v>0.1</v>
      </c>
      <c r="F693" s="18" t="n">
        <f aca="false">MIN(a_m0+a_mstep*F689,a_mcap)</f>
        <v>0.15</v>
      </c>
      <c r="G693" s="18" t="n">
        <f aca="false">MIN(a_m0+a_mstep*G689,a_mcap)</f>
        <v>0.2</v>
      </c>
      <c r="H693" s="18" t="n">
        <f aca="false">MIN(a_m0+a_mstep*H689,a_mcap)</f>
        <v>0.25</v>
      </c>
      <c r="I693" s="18" t="n">
        <f aca="false">MIN(a_m0+a_mstep*I689,a_mcap)</f>
        <v>0.25</v>
      </c>
      <c r="J693" s="18" t="n">
        <f aca="false">MIN(a_m0+a_mstep*J689,a_mcap)</f>
        <v>0.25</v>
      </c>
      <c r="K693" s="18" t="n">
        <f aca="false">MIN(a_m0+a_mstep*K689,a_mcap)</f>
        <v>0.25</v>
      </c>
      <c r="L693" s="18" t="n">
        <f aca="false">MIN(a_m0+a_mstep*L689,a_mcap)</f>
        <v>0.25</v>
      </c>
      <c r="M693" s="18" t="n">
        <f aca="false">MIN(a_m0+a_mstep*M689,a_mcap)</f>
        <v>0.25</v>
      </c>
    </row>
    <row r="694" customFormat="false" ht="15" hidden="false" customHeight="false" outlineLevel="0" collapsed="false">
      <c r="A694" s="9" t="s">
        <v>289</v>
      </c>
      <c r="C694" s="36" t="n">
        <f aca="false">IF(C689=a_churn_year,a_sticky*(C690-C692)*(1-C693),0)</f>
        <v>0</v>
      </c>
      <c r="D694" s="36" t="n">
        <f aca="false">IF(D689=a_churn_year,a_sticky*(D690-D692)*(1-D693),0)</f>
        <v>43.89</v>
      </c>
      <c r="E694" s="36" t="n">
        <f aca="false">IF(E689=a_churn_year,a_sticky*(E690-E692)*(1-E693),0)</f>
        <v>0</v>
      </c>
      <c r="F694" s="36" t="n">
        <f aca="false">IF(F689=a_churn_year,a_sticky*(F690-F692)*(1-F693),0)</f>
        <v>0</v>
      </c>
      <c r="G694" s="36" t="n">
        <f aca="false">IF(G689=a_churn_year,a_sticky*(G690-G692)*(1-G693),0)</f>
        <v>0</v>
      </c>
      <c r="H694" s="36" t="n">
        <f aca="false">IF(H689=a_churn_year,a_sticky*(H690-H692)*(1-H693),0)</f>
        <v>0</v>
      </c>
      <c r="I694" s="36" t="n">
        <f aca="false">IF(I689=a_churn_year,a_sticky*(I690-I692)*(1-I693),0)</f>
        <v>0</v>
      </c>
      <c r="J694" s="36" t="n">
        <f aca="false">IF(J689=a_churn_year,a_sticky*(J690-J692)*(1-J693),0)</f>
        <v>0</v>
      </c>
      <c r="K694" s="36" t="n">
        <f aca="false">IF(K689=a_churn_year,a_sticky*(K690-K692)*(1-K693),0)</f>
        <v>0</v>
      </c>
      <c r="L694" s="36" t="n">
        <f aca="false">IF(L689=a_churn_year,a_sticky*(L690-L692)*(1-L693),0)</f>
        <v>0</v>
      </c>
      <c r="M694" s="36" t="n">
        <f aca="false">IF(M689=a_churn_year,a_sticky*(M690-M692)*(1-M693),0)</f>
        <v>0</v>
      </c>
    </row>
    <row r="695" customFormat="false" ht="15" hidden="false" customHeight="false" outlineLevel="0" collapsed="false">
      <c r="A695" s="4" t="s">
        <v>290</v>
      </c>
      <c r="C695" s="41" t="n">
        <f aca="false">C692*C693-C694</f>
        <v>0</v>
      </c>
      <c r="D695" s="41" t="n">
        <f aca="false">D692*D693-D694</f>
        <v>-35.31</v>
      </c>
      <c r="E695" s="41" t="n">
        <f aca="false">E692*E693-E694</f>
        <v>20.592</v>
      </c>
      <c r="F695" s="41" t="n">
        <f aca="false">F692*F693-F694</f>
        <v>37.0656</v>
      </c>
      <c r="G695" s="41" t="n">
        <f aca="false">G692*G693-G694</f>
        <v>59.30496</v>
      </c>
      <c r="H695" s="41" t="n">
        <f aca="false">H692*H693-H694</f>
        <v>88.95744</v>
      </c>
      <c r="I695" s="41" t="n">
        <f aca="false">I692*I693-I694</f>
        <v>106.748928</v>
      </c>
      <c r="J695" s="41" t="n">
        <f aca="false">J692*J693-J694</f>
        <v>128.0987136</v>
      </c>
      <c r="K695" s="41" t="n">
        <f aca="false">K692*K693-K694</f>
        <v>153.71845632</v>
      </c>
      <c r="L695" s="41" t="n">
        <f aca="false">L692*L693-L694</f>
        <v>184.462147584</v>
      </c>
      <c r="M695" s="41" t="n">
        <f aca="false">M692*M693-M694</f>
        <v>221.3545771008</v>
      </c>
    </row>
    <row r="696" customFormat="false" ht="15" hidden="false" customHeight="false" outlineLevel="0" collapsed="false">
      <c r="A696" s="9" t="s">
        <v>291</v>
      </c>
      <c r="C696" s="36" t="n">
        <f aca="false">C692*a_da</f>
        <v>6.6</v>
      </c>
      <c r="D696" s="36" t="n">
        <f aca="false">D692*a_da</f>
        <v>5.148</v>
      </c>
      <c r="E696" s="36" t="n">
        <f aca="false">E692*a_da</f>
        <v>6.1776</v>
      </c>
      <c r="F696" s="36" t="n">
        <f aca="false">F692*a_da</f>
        <v>7.41312</v>
      </c>
      <c r="G696" s="36" t="n">
        <f aca="false">G692*a_da</f>
        <v>8.895744</v>
      </c>
      <c r="H696" s="36" t="n">
        <f aca="false">H692*a_da</f>
        <v>10.6748928</v>
      </c>
      <c r="I696" s="36" t="n">
        <f aca="false">I692*a_da</f>
        <v>12.80987136</v>
      </c>
      <c r="J696" s="36" t="n">
        <f aca="false">J692*a_da</f>
        <v>15.371845632</v>
      </c>
      <c r="K696" s="36" t="n">
        <f aca="false">K692*a_da</f>
        <v>18.4462147584</v>
      </c>
      <c r="L696" s="36" t="n">
        <f aca="false">L692*a_da</f>
        <v>22.13545771008</v>
      </c>
      <c r="M696" s="36" t="n">
        <f aca="false">M692*a_da</f>
        <v>26.562549252096</v>
      </c>
    </row>
    <row r="697" customFormat="false" ht="15" hidden="false" customHeight="false" outlineLevel="0" collapsed="false">
      <c r="A697" s="9" t="s">
        <v>292</v>
      </c>
      <c r="C697" s="36" t="n">
        <f aca="false">C695-C696</f>
        <v>-6.6</v>
      </c>
      <c r="D697" s="36" t="n">
        <f aca="false">D695-D696</f>
        <v>-40.458</v>
      </c>
      <c r="E697" s="36" t="n">
        <f aca="false">E695-E696</f>
        <v>14.4144</v>
      </c>
      <c r="F697" s="36" t="n">
        <f aca="false">F695-F696</f>
        <v>29.65248</v>
      </c>
      <c r="G697" s="36" t="n">
        <f aca="false">G695-G696</f>
        <v>50.409216</v>
      </c>
      <c r="H697" s="36" t="n">
        <f aca="false">H695-H696</f>
        <v>78.2825472</v>
      </c>
      <c r="I697" s="36" t="n">
        <f aca="false">I695-I696</f>
        <v>93.93905664</v>
      </c>
      <c r="J697" s="36" t="n">
        <f aca="false">J695-J696</f>
        <v>112.726867968</v>
      </c>
      <c r="K697" s="36" t="n">
        <f aca="false">K695-K696</f>
        <v>135.2722415616</v>
      </c>
      <c r="L697" s="36" t="n">
        <f aca="false">L695-L696</f>
        <v>162.32668987392</v>
      </c>
      <c r="M697" s="36" t="n">
        <f aca="false">M695-M696</f>
        <v>194.792027848704</v>
      </c>
    </row>
    <row r="698" customFormat="false" ht="15" hidden="false" customHeight="false" outlineLevel="0" collapsed="false">
      <c r="A698" s="9" t="s">
        <v>293</v>
      </c>
      <c r="C698" s="36" t="n">
        <f aca="false">MAX(0,C697)*a_tax</f>
        <v>0</v>
      </c>
      <c r="D698" s="36" t="n">
        <f aca="false">MAX(0,D697)*a_tax</f>
        <v>0</v>
      </c>
      <c r="E698" s="36" t="n">
        <f aca="false">MAX(0,E697)*a_tax</f>
        <v>3.6036</v>
      </c>
      <c r="F698" s="36" t="n">
        <f aca="false">MAX(0,F697)*a_tax</f>
        <v>7.41312</v>
      </c>
      <c r="G698" s="36" t="n">
        <f aca="false">MAX(0,G697)*a_tax</f>
        <v>12.602304</v>
      </c>
      <c r="H698" s="36" t="n">
        <f aca="false">MAX(0,H697)*a_tax</f>
        <v>19.5706368</v>
      </c>
      <c r="I698" s="36" t="n">
        <f aca="false">MAX(0,I697)*a_tax</f>
        <v>23.48476416</v>
      </c>
      <c r="J698" s="36" t="n">
        <f aca="false">MAX(0,J697)*a_tax</f>
        <v>28.181716992</v>
      </c>
      <c r="K698" s="36" t="n">
        <f aca="false">MAX(0,K697)*a_tax</f>
        <v>33.8180603904</v>
      </c>
      <c r="L698" s="36" t="n">
        <f aca="false">MAX(0,L697)*a_tax</f>
        <v>40.58167246848</v>
      </c>
      <c r="M698" s="36" t="n">
        <f aca="false">MAX(0,M697)*a_tax</f>
        <v>48.698006962176</v>
      </c>
    </row>
    <row r="699" customFormat="false" ht="15" hidden="false" customHeight="false" outlineLevel="0" collapsed="false">
      <c r="A699" s="4" t="s">
        <v>294</v>
      </c>
      <c r="C699" s="42" t="n">
        <f aca="false">cf_lim_pat</f>
        <v>0</v>
      </c>
      <c r="D699" s="41" t="n">
        <f aca="false">D697-D698</f>
        <v>-40.458</v>
      </c>
      <c r="E699" s="41" t="n">
        <f aca="false">E697-E698</f>
        <v>10.8108</v>
      </c>
      <c r="F699" s="41" t="n">
        <f aca="false">F697-F698</f>
        <v>22.23936</v>
      </c>
      <c r="G699" s="41" t="n">
        <f aca="false">G697-G698</f>
        <v>37.806912</v>
      </c>
      <c r="H699" s="41" t="n">
        <f aca="false">H697-H698</f>
        <v>58.7119104</v>
      </c>
      <c r="I699" s="41" t="n">
        <f aca="false">I697-I698</f>
        <v>70.45429248</v>
      </c>
      <c r="J699" s="41" t="n">
        <f aca="false">J697-J698</f>
        <v>84.545150976</v>
      </c>
      <c r="K699" s="41" t="n">
        <f aca="false">K697-K698</f>
        <v>101.4541811712</v>
      </c>
      <c r="L699" s="41" t="n">
        <f aca="false">L697-L698</f>
        <v>121.74501740544</v>
      </c>
      <c r="M699" s="41" t="n">
        <f aca="false">M697-M698</f>
        <v>146.094020886528</v>
      </c>
    </row>
    <row r="700" customFormat="false" ht="15" hidden="false" customHeight="false" outlineLevel="0" collapsed="false">
      <c r="A700" s="9" t="s">
        <v>295</v>
      </c>
      <c r="C700" s="36" t="n">
        <f aca="false">C692*a_capex</f>
        <v>6.6</v>
      </c>
      <c r="D700" s="36" t="n">
        <f aca="false">D692*a_capex</f>
        <v>5.148</v>
      </c>
      <c r="E700" s="36" t="n">
        <f aca="false">E692*a_capex</f>
        <v>6.1776</v>
      </c>
      <c r="F700" s="36" t="n">
        <f aca="false">F692*a_capex</f>
        <v>7.41312</v>
      </c>
      <c r="G700" s="36" t="n">
        <f aca="false">G692*a_capex</f>
        <v>8.895744</v>
      </c>
      <c r="H700" s="36" t="n">
        <f aca="false">H692*a_capex</f>
        <v>10.6748928</v>
      </c>
      <c r="I700" s="36" t="n">
        <f aca="false">I692*a_capex</f>
        <v>12.80987136</v>
      </c>
      <c r="J700" s="36" t="n">
        <f aca="false">J692*a_capex</f>
        <v>15.371845632</v>
      </c>
      <c r="K700" s="36" t="n">
        <f aca="false">K692*a_capex</f>
        <v>18.4462147584</v>
      </c>
      <c r="L700" s="36" t="n">
        <f aca="false">L692*a_capex</f>
        <v>22.13545771008</v>
      </c>
      <c r="M700" s="36" t="n">
        <f aca="false">M692*a_capex</f>
        <v>26.562549252096</v>
      </c>
    </row>
    <row r="701" customFormat="false" ht="15" hidden="false" customHeight="false" outlineLevel="0" collapsed="false">
      <c r="A701" s="9" t="s">
        <v>296</v>
      </c>
      <c r="C701" s="36" t="n">
        <f aca="false">0</f>
        <v>0</v>
      </c>
      <c r="D701" s="36" t="n">
        <f aca="false">a_wc*(D692-C692)</f>
        <v>-2.42</v>
      </c>
      <c r="E701" s="36" t="n">
        <f aca="false">a_wc*(E692-D692)</f>
        <v>1.716</v>
      </c>
      <c r="F701" s="36" t="n">
        <f aca="false">a_wc*(F692-E692)</f>
        <v>2.0592</v>
      </c>
      <c r="G701" s="36" t="n">
        <f aca="false">a_wc*(G692-F692)</f>
        <v>2.47104</v>
      </c>
      <c r="H701" s="36" t="n">
        <f aca="false">a_wc*(H692-G692)</f>
        <v>2.965248</v>
      </c>
      <c r="I701" s="36" t="n">
        <f aca="false">a_wc*(I692-H692)</f>
        <v>3.5582976</v>
      </c>
      <c r="J701" s="36" t="n">
        <f aca="false">a_wc*(J692-I692)</f>
        <v>4.26995712</v>
      </c>
      <c r="K701" s="36" t="n">
        <f aca="false">a_wc*(K692-J692)</f>
        <v>5.123948544</v>
      </c>
      <c r="L701" s="36" t="n">
        <f aca="false">a_wc*(L692-K692)</f>
        <v>6.1487382528</v>
      </c>
      <c r="M701" s="36" t="n">
        <f aca="false">a_wc*(M692-L692)</f>
        <v>7.37848590336</v>
      </c>
    </row>
    <row r="702" customFormat="false" ht="15" hidden="false" customHeight="false" outlineLevel="0" collapsed="false">
      <c r="A702" s="4" t="s">
        <v>297</v>
      </c>
      <c r="C702" s="36" t="n">
        <f aca="false">0</f>
        <v>0</v>
      </c>
      <c r="D702" s="41" t="n">
        <f aca="false">D699+D696-D700-D701</f>
        <v>-38.038</v>
      </c>
      <c r="E702" s="41" t="n">
        <f aca="false">E699+E696-E700-E701</f>
        <v>9.0948</v>
      </c>
      <c r="F702" s="41" t="n">
        <f aca="false">F699+F696-F700-F701</f>
        <v>20.18016</v>
      </c>
      <c r="G702" s="41" t="n">
        <f aca="false">G699+G696-G700-G701</f>
        <v>35.335872</v>
      </c>
      <c r="H702" s="41" t="n">
        <f aca="false">H699+H696-H700-H701</f>
        <v>55.7466624</v>
      </c>
      <c r="I702" s="41" t="n">
        <f aca="false">I699+I696-I700-I701</f>
        <v>66.89599488</v>
      </c>
      <c r="J702" s="41" t="n">
        <f aca="false">J699+J696-J700-J701</f>
        <v>80.275193856</v>
      </c>
      <c r="K702" s="41" t="n">
        <f aca="false">K699+K696-K700-K701</f>
        <v>96.3302326272</v>
      </c>
      <c r="L702" s="41" t="n">
        <f aca="false">L699+L696-L700-L701</f>
        <v>115.59627915264</v>
      </c>
      <c r="M702" s="41" t="n">
        <f aca="false">M699+M696-M700-M701</f>
        <v>138.715534983168</v>
      </c>
    </row>
    <row r="704" customFormat="false" ht="15" hidden="false" customHeight="false" outlineLevel="0" collapsed="false">
      <c r="A704" s="7" t="s">
        <v>654</v>
      </c>
      <c r="B704" s="8"/>
      <c r="C704" s="8"/>
      <c r="D704" s="8"/>
      <c r="E704" s="8"/>
      <c r="F704" s="8"/>
      <c r="G704" s="8"/>
      <c r="H704" s="8"/>
      <c r="I704" s="8"/>
      <c r="J704" s="8"/>
      <c r="K704" s="8"/>
      <c r="L704" s="8"/>
      <c r="M704" s="8"/>
      <c r="N704" s="8"/>
    </row>
    <row r="705" customFormat="false" ht="15" hidden="false" customHeight="false" outlineLevel="0" collapsed="false">
      <c r="A705" s="9" t="s">
        <v>482</v>
      </c>
      <c r="C705" s="35" t="n">
        <f aca="false">lv_mix_eq/(c_price*(1-a_issue_disc))</f>
        <v>1.024</v>
      </c>
    </row>
    <row r="706" customFormat="false" ht="15" hidden="false" customHeight="false" outlineLevel="0" collapsed="false">
      <c r="A706" s="9" t="s">
        <v>449</v>
      </c>
      <c r="C706" s="35" t="n">
        <f aca="false">cf_shares+C705</f>
        <v>65.024</v>
      </c>
    </row>
    <row r="707" customFormat="false" ht="15" hidden="false" customHeight="false" outlineLevel="0" collapsed="false">
      <c r="A707" s="9" t="s">
        <v>483</v>
      </c>
      <c r="C707" s="36" t="n">
        <f aca="false">lv_mix_cash*a_yield*(1-a_tax)+lv_mix_debt*a_kd*(1-a_tax)</f>
        <v>94.5</v>
      </c>
    </row>
    <row r="708" customFormat="false" ht="15" hidden="false" customHeight="false" outlineLevel="0" collapsed="false">
      <c r="A708" s="9" t="s">
        <v>484</v>
      </c>
      <c r="C708" s="36" t="n">
        <f aca="false">lv_price*a_ppa_share/a_ppa_life*(1-a_tax)</f>
        <v>93.75</v>
      </c>
    </row>
    <row r="709" customFormat="false" ht="15" hidden="false" customHeight="false" outlineLevel="0" collapsed="false">
      <c r="A709" s="9" t="s">
        <v>485</v>
      </c>
      <c r="C709" s="36" t="n">
        <f aca="false">a_ppa_on*C708</f>
        <v>0</v>
      </c>
    </row>
    <row r="710" customFormat="false" ht="15" hidden="false" customHeight="false" outlineLevel="0" collapsed="false">
      <c r="A710" s="9" t="s">
        <v>486</v>
      </c>
      <c r="C710" s="36" t="n">
        <f aca="false">lv_price*a_fees_pct+a_integ_full</f>
        <v>160</v>
      </c>
    </row>
    <row r="711" customFormat="false" ht="15" hidden="false" customHeight="false" outlineLevel="0" collapsed="false">
      <c r="A711" s="9" t="s">
        <v>487</v>
      </c>
      <c r="C711" s="36" t="n">
        <f aca="false">0</f>
        <v>0</v>
      </c>
      <c r="D711" s="36" t="n">
        <f aca="false">a_syn_on*(a_syn_partner_rev_y3+a_syn_xsell_y3)*a_mcap*IF(D689=1,a_syn_ramp1,IF(D689=2,a_syn_ramp2,1))+a_syn_on*IF(D689&gt;=2,a_syn_cost,0)</f>
        <v>0</v>
      </c>
      <c r="E711" s="36" t="n">
        <f aca="false">a_syn_on*(a_syn_partner_rev_y3+a_syn_xsell_y3)*a_mcap*IF(E689=1,a_syn_ramp1,IF(E689=2,a_syn_ramp2,1))+a_syn_on*IF(E689&gt;=2,a_syn_cost,0)</f>
        <v>0</v>
      </c>
      <c r="F711" s="36" t="n">
        <f aca="false">a_syn_on*(a_syn_partner_rev_y3+a_syn_xsell_y3)*a_mcap*IF(F689=1,a_syn_ramp1,IF(F689=2,a_syn_ramp2,1))+a_syn_on*IF(F689&gt;=2,a_syn_cost,0)</f>
        <v>0</v>
      </c>
      <c r="G711" s="36" t="n">
        <f aca="false">a_syn_on*(a_syn_partner_rev_y3+a_syn_xsell_y3)*a_mcap*IF(G689=1,a_syn_ramp1,IF(G689=2,a_syn_ramp2,1))+a_syn_on*IF(G689&gt;=2,a_syn_cost,0)</f>
        <v>0</v>
      </c>
      <c r="H711" s="36" t="n">
        <f aca="false">a_syn_on*(a_syn_partner_rev_y3+a_syn_xsell_y3)*a_mcap*IF(H689=1,a_syn_ramp1,IF(H689=2,a_syn_ramp2,1))+a_syn_on*IF(H689&gt;=2,a_syn_cost,0)</f>
        <v>0</v>
      </c>
      <c r="I711" s="36" t="n">
        <f aca="false">a_syn_on*(a_syn_partner_rev_y3+a_syn_xsell_y3)*a_mcap*IF(I689=1,a_syn_ramp1,IF(I689=2,a_syn_ramp2,1))+a_syn_on*IF(I689&gt;=2,a_syn_cost,0)</f>
        <v>0</v>
      </c>
      <c r="J711" s="36" t="n">
        <f aca="false">a_syn_on*(a_syn_partner_rev_y3+a_syn_xsell_y3)*a_mcap*IF(J689=1,a_syn_ramp1,IF(J689=2,a_syn_ramp2,1))+a_syn_on*IF(J689&gt;=2,a_syn_cost,0)</f>
        <v>0</v>
      </c>
      <c r="K711" s="36" t="n">
        <f aca="false">a_syn_on*(a_syn_partner_rev_y3+a_syn_xsell_y3)*a_mcap*IF(K689=1,a_syn_ramp1,IF(K689=2,a_syn_ramp2,1))+a_syn_on*IF(K689&gt;=2,a_syn_cost,0)</f>
        <v>0</v>
      </c>
      <c r="L711" s="36" t="n">
        <f aca="false">a_syn_on*(a_syn_partner_rev_y3+a_syn_xsell_y3)*a_mcap*IF(L689=1,a_syn_ramp1,IF(L689=2,a_syn_ramp2,1))+a_syn_on*IF(L689&gt;=2,a_syn_cost,0)</f>
        <v>0</v>
      </c>
      <c r="M711" s="36" t="n">
        <f aca="false">a_syn_on*(a_syn_partner_rev_y3+a_syn_xsell_y3)*a_mcap*IF(M689=1,a_syn_ramp1,IF(M689=2,a_syn_ramp2,1))+a_syn_on*IF(M689&gt;=2,a_syn_cost,0)</f>
        <v>0</v>
      </c>
    </row>
    <row r="712" customFormat="false" ht="15" hidden="false" customHeight="false" outlineLevel="0" collapsed="false">
      <c r="A712" s="9" t="s">
        <v>488</v>
      </c>
      <c r="C712" s="36" t="n">
        <f aca="false">0</f>
        <v>0</v>
      </c>
      <c r="D712" s="36" t="n">
        <f aca="false">CHOOSE(lv_drag_mode,lv_drag,lv_drag*D692/cf_arr,lv_drag*(1-a_tax))</f>
        <v>750</v>
      </c>
      <c r="E712" s="36" t="n">
        <f aca="false">CHOOSE(lv_drag_mode,lv_drag,lv_drag*E692/cf_arr,lv_drag*(1-a_tax))</f>
        <v>750</v>
      </c>
      <c r="F712" s="36" t="n">
        <f aca="false">CHOOSE(lv_drag_mode,lv_drag,lv_drag*F692/cf_arr,lv_drag*(1-a_tax))</f>
        <v>750</v>
      </c>
      <c r="G712" s="36" t="n">
        <f aca="false">CHOOSE(lv_drag_mode,lv_drag,lv_drag*G692/cf_arr,lv_drag*(1-a_tax))</f>
        <v>750</v>
      </c>
      <c r="H712" s="36" t="n">
        <f aca="false">CHOOSE(lv_drag_mode,lv_drag,lv_drag*H692/cf_arr,lv_drag*(1-a_tax))</f>
        <v>750</v>
      </c>
      <c r="I712" s="36" t="n">
        <f aca="false">CHOOSE(lv_drag_mode,lv_drag,lv_drag*I692/cf_arr,lv_drag*(1-a_tax))</f>
        <v>750</v>
      </c>
      <c r="J712" s="36" t="n">
        <f aca="false">CHOOSE(lv_drag_mode,lv_drag,lv_drag*J692/cf_arr,lv_drag*(1-a_tax))</f>
        <v>750</v>
      </c>
      <c r="K712" s="36" t="n">
        <f aca="false">CHOOSE(lv_drag_mode,lv_drag,lv_drag*K692/cf_arr,lv_drag*(1-a_tax))</f>
        <v>750</v>
      </c>
      <c r="L712" s="36" t="n">
        <f aca="false">CHOOSE(lv_drag_mode,lv_drag,lv_drag*L692/cf_arr,lv_drag*(1-a_tax))</f>
        <v>750</v>
      </c>
      <c r="M712" s="36" t="n">
        <f aca="false">CHOOSE(lv_drag_mode,lv_drag,lv_drag*M692/cf_arr,lv_drag*(1-a_tax))</f>
        <v>750</v>
      </c>
    </row>
    <row r="713" customFormat="false" ht="15" hidden="false" customHeight="false" outlineLevel="0" collapsed="false">
      <c r="A713" s="9" t="s">
        <v>489</v>
      </c>
      <c r="C713" s="36" t="n">
        <f aca="false">0</f>
        <v>0</v>
      </c>
      <c r="D713" s="36" t="n">
        <f aca="false">IF(lv_drag_mode=3,lv_drag*(1-a_tax),0)</f>
        <v>0</v>
      </c>
      <c r="E713" s="36" t="n">
        <f aca="false">IF(lv_drag_mode=3,lv_drag*(1-a_tax),0)</f>
        <v>0</v>
      </c>
      <c r="F713" s="36" t="n">
        <f aca="false">IF(lv_drag_mode=3,lv_drag*(1-a_tax),0)</f>
        <v>0</v>
      </c>
      <c r="G713" s="36" t="n">
        <f aca="false">IF(lv_drag_mode=3,lv_drag*(1-a_tax),0)</f>
        <v>0</v>
      </c>
      <c r="H713" s="36" t="n">
        <f aca="false">IF(lv_drag_mode=3,lv_drag*(1-a_tax),0)</f>
        <v>0</v>
      </c>
      <c r="I713" s="36" t="n">
        <f aca="false">IF(lv_drag_mode=3,lv_drag*(1-a_tax),0)</f>
        <v>0</v>
      </c>
      <c r="J713" s="36" t="n">
        <f aca="false">IF(lv_drag_mode=3,lv_drag*(1-a_tax),0)</f>
        <v>0</v>
      </c>
      <c r="K713" s="36" t="n">
        <f aca="false">IF(lv_drag_mode=3,lv_drag*(1-a_tax),0)</f>
        <v>0</v>
      </c>
      <c r="L713" s="36" t="n">
        <f aca="false">IF(lv_drag_mode=3,lv_drag*(1-a_tax),0)</f>
        <v>0</v>
      </c>
      <c r="M713" s="36" t="n">
        <f aca="false">IF(lv_drag_mode=3,lv_drag*(1-a_tax),0)</f>
        <v>0</v>
      </c>
    </row>
    <row r="714" customFormat="false" ht="15" hidden="false" customHeight="false" outlineLevel="0" collapsed="false">
      <c r="A714" s="9" t="s">
        <v>490</v>
      </c>
      <c r="C714" s="36" t="n">
        <f aca="false">0</f>
        <v>0</v>
      </c>
      <c r="D714" s="36" t="n">
        <f aca="false">IF(lv_drag_mode=3,0,C714+D712)</f>
        <v>750</v>
      </c>
      <c r="E714" s="36" t="n">
        <f aca="false">IF(lv_drag_mode=3,0,D714+E712)</f>
        <v>1500</v>
      </c>
      <c r="F714" s="36" t="n">
        <f aca="false">IF(lv_drag_mode=3,0,E714+F712)</f>
        <v>2250</v>
      </c>
      <c r="G714" s="36" t="n">
        <f aca="false">IF(lv_drag_mode=3,0,F714+G712)</f>
        <v>3000</v>
      </c>
      <c r="H714" s="36" t="n">
        <f aca="false">IF(lv_drag_mode=3,0,G714+H712)</f>
        <v>3750</v>
      </c>
      <c r="I714" s="36" t="n">
        <f aca="false">IF(lv_drag_mode=3,0,H714+I712)</f>
        <v>4500</v>
      </c>
      <c r="J714" s="36" t="n">
        <f aca="false">IF(lv_drag_mode=3,0,I714+J712)</f>
        <v>5250</v>
      </c>
      <c r="K714" s="36" t="n">
        <f aca="false">IF(lv_drag_mode=3,0,J714+K712)</f>
        <v>6000</v>
      </c>
      <c r="L714" s="36" t="n">
        <f aca="false">IF(lv_drag_mode=3,0,K714+L712)</f>
        <v>6750</v>
      </c>
      <c r="M714" s="36" t="n">
        <f aca="false">IF(lv_drag_mode=3,0,L714+M712)</f>
        <v>7500</v>
      </c>
    </row>
    <row r="715" customFormat="false" ht="15" hidden="false" customHeight="false" outlineLevel="0" collapsed="false">
      <c r="A715" s="9" t="s">
        <v>491</v>
      </c>
      <c r="C715" s="36" t="n">
        <f aca="false">0</f>
        <v>0</v>
      </c>
      <c r="D715" s="36" t="n">
        <f aca="false">C714*a_yield*(1-a_tax)</f>
        <v>0</v>
      </c>
      <c r="E715" s="36" t="n">
        <f aca="false">D714*a_yield*(1-a_tax)</f>
        <v>33.75</v>
      </c>
      <c r="F715" s="36" t="n">
        <f aca="false">E714*a_yield*(1-a_tax)</f>
        <v>67.5</v>
      </c>
      <c r="G715" s="36" t="n">
        <f aca="false">F714*a_yield*(1-a_tax)</f>
        <v>101.25</v>
      </c>
      <c r="H715" s="36" t="n">
        <f aca="false">G714*a_yield*(1-a_tax)</f>
        <v>135</v>
      </c>
      <c r="I715" s="36" t="n">
        <f aca="false">H714*a_yield*(1-a_tax)</f>
        <v>168.75</v>
      </c>
      <c r="J715" s="36" t="n">
        <f aca="false">I714*a_yield*(1-a_tax)</f>
        <v>202.5</v>
      </c>
      <c r="K715" s="36" t="n">
        <f aca="false">J714*a_yield*(1-a_tax)</f>
        <v>236.25</v>
      </c>
      <c r="L715" s="36" t="n">
        <f aca="false">K714*a_yield*(1-a_tax)</f>
        <v>270</v>
      </c>
      <c r="M715" s="36" t="n">
        <f aca="false">L714*a_yield*(1-a_tax)</f>
        <v>303.75</v>
      </c>
    </row>
    <row r="716" customFormat="false" ht="15" hidden="false" customHeight="false" outlineLevel="0" collapsed="false">
      <c r="A716" s="9" t="s">
        <v>492</v>
      </c>
      <c r="C716" s="36" t="n">
        <f aca="false">cf_pat</f>
        <v>480</v>
      </c>
      <c r="D716" s="36" t="n">
        <f aca="false">cf_pat*(1+a_pat_growth)^D689</f>
        <v>480</v>
      </c>
      <c r="E716" s="36" t="n">
        <f aca="false">cf_pat*(1+a_pat_growth)^E689</f>
        <v>480</v>
      </c>
      <c r="F716" s="36" t="n">
        <f aca="false">cf_pat*(1+a_pat_growth)^F689</f>
        <v>480</v>
      </c>
      <c r="G716" s="36" t="n">
        <f aca="false">cf_pat*(1+a_pat_growth)^G689</f>
        <v>480</v>
      </c>
      <c r="H716" s="36" t="n">
        <f aca="false">cf_pat*(1+a_pat_growth)^H689</f>
        <v>480</v>
      </c>
      <c r="I716" s="36" t="n">
        <f aca="false">cf_pat*(1+a_pat_growth)^I689</f>
        <v>480</v>
      </c>
      <c r="J716" s="36" t="n">
        <f aca="false">cf_pat*(1+a_pat_growth)^J689</f>
        <v>480</v>
      </c>
      <c r="K716" s="36" t="n">
        <f aca="false">cf_pat*(1+a_pat_growth)^K689</f>
        <v>480</v>
      </c>
      <c r="L716" s="36" t="n">
        <f aca="false">cf_pat*(1+a_pat_growth)^L689</f>
        <v>480</v>
      </c>
      <c r="M716" s="36" t="n">
        <f aca="false">cf_pat*(1+a_pat_growth)^M689</f>
        <v>480</v>
      </c>
    </row>
    <row r="717" customFormat="false" ht="15" hidden="false" customHeight="false" outlineLevel="0" collapsed="false">
      <c r="A717" s="9" t="s">
        <v>493</v>
      </c>
      <c r="C717" s="36" t="n">
        <f aca="false">0</f>
        <v>0</v>
      </c>
      <c r="D717" s="36" t="n">
        <f aca="false">cf_mdr*a_mdr_flow*(1-a_tax)</f>
        <v>69</v>
      </c>
      <c r="E717" s="36" t="n">
        <f aca="false">cf_mdr*a_mdr_flow*(1-a_tax)</f>
        <v>69</v>
      </c>
      <c r="F717" s="36" t="n">
        <f aca="false">cf_mdr*a_mdr_flow*(1-a_tax)</f>
        <v>69</v>
      </c>
      <c r="G717" s="36" t="n">
        <f aca="false">cf_mdr*a_mdr_flow*(1-a_tax)</f>
        <v>69</v>
      </c>
      <c r="H717" s="36" t="n">
        <f aca="false">cf_mdr*a_mdr_flow*(1-a_tax)</f>
        <v>69</v>
      </c>
      <c r="I717" s="36" t="n">
        <f aca="false">cf_mdr*a_mdr_flow*(1-a_tax)</f>
        <v>69</v>
      </c>
      <c r="J717" s="36" t="n">
        <f aca="false">cf_mdr*a_mdr_flow*(1-a_tax)</f>
        <v>69</v>
      </c>
      <c r="K717" s="36" t="n">
        <f aca="false">cf_mdr*a_mdr_flow*(1-a_tax)</f>
        <v>69</v>
      </c>
      <c r="L717" s="36" t="n">
        <f aca="false">cf_mdr*a_mdr_flow*(1-a_tax)</f>
        <v>69</v>
      </c>
      <c r="M717" s="36" t="n">
        <f aca="false">cf_mdr*a_mdr_flow*(1-a_tax)</f>
        <v>69</v>
      </c>
    </row>
    <row r="718" customFormat="false" ht="15" hidden="false" customHeight="false" outlineLevel="0" collapsed="false">
      <c r="A718" s="9" t="s">
        <v>494</v>
      </c>
      <c r="C718" s="50" t="n">
        <f aca="false">cf_eps</f>
        <v>7.5</v>
      </c>
      <c r="D718" s="50" t="n">
        <f aca="false">D716/cf_shares</f>
        <v>7.5</v>
      </c>
      <c r="E718" s="50" t="n">
        <f aca="false">E716/cf_shares</f>
        <v>7.5</v>
      </c>
      <c r="F718" s="50" t="n">
        <f aca="false">F716/cf_shares</f>
        <v>7.5</v>
      </c>
      <c r="G718" s="50" t="n">
        <f aca="false">G716/cf_shares</f>
        <v>7.5</v>
      </c>
      <c r="H718" s="50" t="n">
        <f aca="false">H716/cf_shares</f>
        <v>7.5</v>
      </c>
      <c r="I718" s="50" t="n">
        <f aca="false">I716/cf_shares</f>
        <v>7.5</v>
      </c>
      <c r="J718" s="50" t="n">
        <f aca="false">J716/cf_shares</f>
        <v>7.5</v>
      </c>
      <c r="K718" s="50" t="n">
        <f aca="false">K716/cf_shares</f>
        <v>7.5</v>
      </c>
      <c r="L718" s="50" t="n">
        <f aca="false">L716/cf_shares</f>
        <v>7.5</v>
      </c>
      <c r="M718" s="50" t="n">
        <f aca="false">M716/cf_shares</f>
        <v>7.5</v>
      </c>
    </row>
    <row r="719" customFormat="false" ht="15" hidden="false" customHeight="false" outlineLevel="0" collapsed="false">
      <c r="A719" s="9" t="s">
        <v>495</v>
      </c>
      <c r="C719" s="50" t="n">
        <f aca="false">cf_eps</f>
        <v>7.5</v>
      </c>
      <c r="D719" s="50" t="n">
        <f aca="false">(D716+D717)/cf_shares</f>
        <v>8.578125</v>
      </c>
      <c r="E719" s="50" t="n">
        <f aca="false">(E716+E717)/cf_shares</f>
        <v>8.578125</v>
      </c>
      <c r="F719" s="50" t="n">
        <f aca="false">(F716+F717)/cf_shares</f>
        <v>8.578125</v>
      </c>
      <c r="G719" s="50" t="n">
        <f aca="false">(G716+G717)/cf_shares</f>
        <v>8.578125</v>
      </c>
      <c r="H719" s="50" t="n">
        <f aca="false">(H716+H717)/cf_shares</f>
        <v>8.578125</v>
      </c>
      <c r="I719" s="50" t="n">
        <f aca="false">(I716+I717)/cf_shares</f>
        <v>8.578125</v>
      </c>
      <c r="J719" s="50" t="n">
        <f aca="false">(J716+J717)/cf_shares</f>
        <v>8.578125</v>
      </c>
      <c r="K719" s="50" t="n">
        <f aca="false">(K716+K717)/cf_shares</f>
        <v>8.578125</v>
      </c>
      <c r="L719" s="50" t="n">
        <f aca="false">(L716+L717)/cf_shares</f>
        <v>8.578125</v>
      </c>
      <c r="M719" s="50" t="n">
        <f aca="false">(M716+M717)/cf_shares</f>
        <v>8.578125</v>
      </c>
    </row>
    <row r="720" customFormat="false" ht="15" hidden="false" customHeight="false" outlineLevel="0" collapsed="false">
      <c r="A720" s="4" t="s">
        <v>496</v>
      </c>
      <c r="C720" s="41" t="n">
        <f aca="false">-C707-C709</f>
        <v>-94.5</v>
      </c>
      <c r="D720" s="41" t="n">
        <f aca="false">D699+D711*(1-a_tax)-C707-C709-D713-D715</f>
        <v>-134.958</v>
      </c>
      <c r="E720" s="41" t="n">
        <f aca="false">E699+E711*(1-a_tax)-C707-C709-E713-E715</f>
        <v>-117.4392</v>
      </c>
      <c r="F720" s="41" t="n">
        <f aca="false">F699+F711*(1-a_tax)-C707-C709-F713-F715</f>
        <v>-139.76064</v>
      </c>
      <c r="G720" s="41" t="n">
        <f aca="false">G699+G711*(1-a_tax)-C707-C709-G713-G715</f>
        <v>-157.943088</v>
      </c>
      <c r="H720" s="41" t="n">
        <f aca="false">H699+H711*(1-a_tax)-C707-C709-H713-H715</f>
        <v>-170.7880896</v>
      </c>
      <c r="I720" s="41" t="n">
        <f aca="false">I699+I711*(1-a_tax)-C707-C709-I713-I715</f>
        <v>-192.79570752</v>
      </c>
      <c r="J720" s="41" t="n">
        <f aca="false">J699+J711*(1-a_tax)-C707-C709-J713-J715</f>
        <v>-212.454849024</v>
      </c>
      <c r="K720" s="41" t="n">
        <f aca="false">K699+K711*(1-a_tax)-C707-C709-K713-K715</f>
        <v>-229.2958188288</v>
      </c>
      <c r="L720" s="41" t="n">
        <f aca="false">L699+L711*(1-a_tax)-C707-C709-L713-L715</f>
        <v>-242.75498259456</v>
      </c>
      <c r="M720" s="41" t="n">
        <f aca="false">M699+M711*(1-a_tax)-C707-C709-M713-M715</f>
        <v>-252.155979113472</v>
      </c>
    </row>
    <row r="721" customFormat="false" ht="15" hidden="false" customHeight="false" outlineLevel="0" collapsed="false">
      <c r="A721" s="9" t="s">
        <v>497</v>
      </c>
      <c r="C721" s="36" t="n">
        <f aca="false">C716+C720</f>
        <v>385.5</v>
      </c>
      <c r="D721" s="36" t="n">
        <f aca="false">D716+D720</f>
        <v>345.042</v>
      </c>
      <c r="E721" s="36" t="n">
        <f aca="false">E716+E720</f>
        <v>362.5608</v>
      </c>
      <c r="F721" s="36" t="n">
        <f aca="false">F716+F720</f>
        <v>340.23936</v>
      </c>
      <c r="G721" s="36" t="n">
        <f aca="false">G716+G720</f>
        <v>322.056912</v>
      </c>
      <c r="H721" s="36" t="n">
        <f aca="false">H716+H720</f>
        <v>309.2119104</v>
      </c>
      <c r="I721" s="36" t="n">
        <f aca="false">I716+I720</f>
        <v>287.20429248</v>
      </c>
      <c r="J721" s="36" t="n">
        <f aca="false">J716+J720</f>
        <v>267.545150976</v>
      </c>
      <c r="K721" s="36" t="n">
        <f aca="false">K716+K720</f>
        <v>250.7041811712</v>
      </c>
      <c r="L721" s="36" t="n">
        <f aca="false">L716+L720</f>
        <v>237.24501740544</v>
      </c>
      <c r="M721" s="36" t="n">
        <f aca="false">M716+M720</f>
        <v>227.844020886528</v>
      </c>
    </row>
    <row r="722" customFormat="false" ht="15" hidden="false" customHeight="false" outlineLevel="0" collapsed="false">
      <c r="A722" s="4" t="s">
        <v>498</v>
      </c>
      <c r="C722" s="48" t="n">
        <f aca="false">C721/C706</f>
        <v>5.92858021653543</v>
      </c>
      <c r="D722" s="48" t="n">
        <f aca="false">D721/C706</f>
        <v>5.30637918307087</v>
      </c>
      <c r="E722" s="48" t="n">
        <f aca="false">E721/C706</f>
        <v>5.57579970472441</v>
      </c>
      <c r="F722" s="48" t="n">
        <f aca="false">F721/C706</f>
        <v>5.23251968503937</v>
      </c>
      <c r="G722" s="48" t="n">
        <f aca="false">G721/C706</f>
        <v>4.95289296259843</v>
      </c>
      <c r="H722" s="48" t="n">
        <f aca="false">H721/C706</f>
        <v>4.75535049212598</v>
      </c>
      <c r="I722" s="48" t="n">
        <f aca="false">I721/C706</f>
        <v>4.41689672244095</v>
      </c>
      <c r="J722" s="48" t="n">
        <f aca="false">J721/C706</f>
        <v>4.11456002362205</v>
      </c>
      <c r="K722" s="48" t="n">
        <f aca="false">K721/C706</f>
        <v>3.85556380984252</v>
      </c>
      <c r="L722" s="48" t="n">
        <f aca="false">L721/C706</f>
        <v>3.64857617811024</v>
      </c>
      <c r="M722" s="48" t="n">
        <f aca="false">M721/C706</f>
        <v>3.50399884483465</v>
      </c>
    </row>
    <row r="723" customFormat="false" ht="15" hidden="false" customHeight="false" outlineLevel="0" collapsed="false">
      <c r="A723" s="4" t="s">
        <v>499</v>
      </c>
      <c r="C723" s="14" t="n">
        <f aca="false">C722/cf_eps-1</f>
        <v>-0.209522637795276</v>
      </c>
      <c r="D723" s="14" t="n">
        <f aca="false">D722/cf_eps-1</f>
        <v>-0.292482775590551</v>
      </c>
      <c r="E723" s="14" t="n">
        <f aca="false">E722/cf_eps-1</f>
        <v>-0.256560039370079</v>
      </c>
      <c r="F723" s="14" t="n">
        <f aca="false">F722/cf_eps-1</f>
        <v>-0.302330708661417</v>
      </c>
      <c r="G723" s="14" t="n">
        <f aca="false">G722/cf_eps-1</f>
        <v>-0.339614271653543</v>
      </c>
      <c r="H723" s="14" t="n">
        <f aca="false">H722/cf_eps-1</f>
        <v>-0.365953267716536</v>
      </c>
      <c r="I723" s="14" t="n">
        <f aca="false">I722/cf_eps-1</f>
        <v>-0.411080437007874</v>
      </c>
      <c r="J723" s="14" t="n">
        <f aca="false">J722/cf_eps-1</f>
        <v>-0.451391996850394</v>
      </c>
      <c r="K723" s="14" t="n">
        <f aca="false">K722/cf_eps-1</f>
        <v>-0.485924825354331</v>
      </c>
      <c r="L723" s="14" t="n">
        <f aca="false">L722/cf_eps-1</f>
        <v>-0.513523176251969</v>
      </c>
      <c r="M723" s="14" t="n">
        <f aca="false">M722/cf_eps-1</f>
        <v>-0.532800154022047</v>
      </c>
    </row>
    <row r="724" customFormat="false" ht="15" hidden="false" customHeight="false" outlineLevel="0" collapsed="false">
      <c r="A724" s="9" t="s">
        <v>500</v>
      </c>
      <c r="C724" s="50" t="n">
        <f aca="false">C722</f>
        <v>5.92858021653543</v>
      </c>
      <c r="D724" s="50" t="n">
        <f aca="false">(D721+D717)/C706</f>
        <v>6.36752583661417</v>
      </c>
      <c r="E724" s="50" t="n">
        <f aca="false">(E721+E717)/C706</f>
        <v>6.63694635826772</v>
      </c>
      <c r="F724" s="50" t="n">
        <f aca="false">(F721+F717)/C706</f>
        <v>6.29366633858268</v>
      </c>
      <c r="G724" s="50" t="n">
        <f aca="false">(G721+G717)/C706</f>
        <v>6.01403961614173</v>
      </c>
      <c r="H724" s="50" t="n">
        <f aca="false">(H721+H717)/C706</f>
        <v>5.81649714566929</v>
      </c>
      <c r="I724" s="50" t="n">
        <f aca="false">(I721+I717)/C706</f>
        <v>5.47804337598425</v>
      </c>
      <c r="J724" s="50" t="n">
        <f aca="false">(J721+J717)/C706</f>
        <v>5.17570667716535</v>
      </c>
      <c r="K724" s="50" t="n">
        <f aca="false">(K721+K717)/C706</f>
        <v>4.91671046338583</v>
      </c>
      <c r="L724" s="50" t="n">
        <f aca="false">(L721+L717)/C706</f>
        <v>4.70972283165354</v>
      </c>
      <c r="M724" s="50" t="n">
        <f aca="false">(M721+M717)/C706</f>
        <v>4.56514549837795</v>
      </c>
    </row>
    <row r="725" customFormat="false" ht="15" hidden="false" customHeight="false" outlineLevel="0" collapsed="false">
      <c r="A725" s="9" t="s">
        <v>501</v>
      </c>
      <c r="C725" s="18" t="n">
        <f aca="false">C723</f>
        <v>-0.209522637795276</v>
      </c>
      <c r="D725" s="18" t="n">
        <f aca="false">D724/D719-1</f>
        <v>-0.257701906114195</v>
      </c>
      <c r="E725" s="18" t="n">
        <f aca="false">E724/E719-1</f>
        <v>-0.22629404930941</v>
      </c>
      <c r="F725" s="18" t="n">
        <f aca="false">F724/F719-1</f>
        <v>-0.266312120820963</v>
      </c>
      <c r="G725" s="18" t="n">
        <f aca="false">G724/G719-1</f>
        <v>-0.298909771524461</v>
      </c>
      <c r="H725" s="18" t="n">
        <f aca="false">H724/H719-1</f>
        <v>-0.32193840196205</v>
      </c>
      <c r="I725" s="18" t="n">
        <f aca="false">I724/I719-1</f>
        <v>-0.361393850522783</v>
      </c>
      <c r="J725" s="18" t="n">
        <f aca="false">J724/J719-1</f>
        <v>-0.396638930166516</v>
      </c>
      <c r="K725" s="18" t="n">
        <f aca="false">K724/K719-1</f>
        <v>-0.426831567109849</v>
      </c>
      <c r="L725" s="18" t="n">
        <f aca="false">L724/L719-1</f>
        <v>-0.450961272812702</v>
      </c>
      <c r="M725" s="18" t="n">
        <f aca="false">M724/M719-1</f>
        <v>-0.467815461026978</v>
      </c>
    </row>
    <row r="726" customFormat="false" ht="15" hidden="false" customHeight="false" outlineLevel="0" collapsed="false">
      <c r="A726" s="9" t="s">
        <v>502</v>
      </c>
      <c r="C726" s="50" t="n">
        <f aca="false">(C721+C709)/C706</f>
        <v>5.92858021653543</v>
      </c>
      <c r="D726" s="50" t="n">
        <f aca="false">(D721+C709)/C706</f>
        <v>5.30637918307087</v>
      </c>
      <c r="E726" s="50" t="n">
        <f aca="false">(E721+C709)/C706</f>
        <v>5.57579970472441</v>
      </c>
      <c r="F726" s="50" t="n">
        <f aca="false">(F721+C709)/C706</f>
        <v>5.23251968503937</v>
      </c>
      <c r="G726" s="50" t="n">
        <f aca="false">(G721+C709)/C706</f>
        <v>4.95289296259843</v>
      </c>
      <c r="H726" s="50" t="n">
        <f aca="false">(H721+C709)/C706</f>
        <v>4.75535049212598</v>
      </c>
      <c r="I726" s="50" t="n">
        <f aca="false">(I721+C709)/C706</f>
        <v>4.41689672244095</v>
      </c>
      <c r="J726" s="50" t="n">
        <f aca="false">(J721+C709)/C706</f>
        <v>4.11456002362205</v>
      </c>
      <c r="K726" s="50" t="n">
        <f aca="false">(K721+C709)/C706</f>
        <v>3.85556380984252</v>
      </c>
      <c r="L726" s="50" t="n">
        <f aca="false">(L721+C709)/C706</f>
        <v>3.64857617811024</v>
      </c>
      <c r="M726" s="50" t="n">
        <f aca="false">(M721+C709)/C706</f>
        <v>3.50399884483465</v>
      </c>
    </row>
    <row r="727" customFormat="false" ht="15" hidden="false" customHeight="false" outlineLevel="0" collapsed="false">
      <c r="A727" s="9" t="s">
        <v>503</v>
      </c>
      <c r="C727" s="50" t="n">
        <f aca="false">(C721-C708+C709)/C706</f>
        <v>4.48680487204724</v>
      </c>
      <c r="D727" s="50" t="n">
        <f aca="false">(D721-C708+C709)/C706</f>
        <v>3.86460383858268</v>
      </c>
      <c r="E727" s="50" t="n">
        <f aca="false">(E721-C708+C709)/C706</f>
        <v>4.13402436023622</v>
      </c>
      <c r="F727" s="50" t="n">
        <f aca="false">(F721-C708+C709)/C706</f>
        <v>3.79074434055118</v>
      </c>
      <c r="G727" s="50" t="n">
        <f aca="false">(G721-C708+C709)/C706</f>
        <v>3.51111761811024</v>
      </c>
      <c r="H727" s="50" t="n">
        <f aca="false">(H721-C708+C709)/C706</f>
        <v>3.31357514763779</v>
      </c>
      <c r="I727" s="50" t="n">
        <f aca="false">(I721-C708+C709)/C706</f>
        <v>2.97512137795276</v>
      </c>
      <c r="J727" s="50" t="n">
        <f aca="false">(J721-C708+C709)/C706</f>
        <v>2.67278467913386</v>
      </c>
      <c r="K727" s="50" t="n">
        <f aca="false">(K721-C708+C709)/C706</f>
        <v>2.41378846535433</v>
      </c>
      <c r="L727" s="50" t="n">
        <f aca="false">(L721-C708+C709)/C706</f>
        <v>2.20680083362205</v>
      </c>
      <c r="M727" s="50" t="n">
        <f aca="false">(M721-C708+C709)/C706</f>
        <v>2.06222350034646</v>
      </c>
    </row>
    <row r="728" customFormat="false" ht="15" hidden="false" customHeight="false" outlineLevel="0" collapsed="false">
      <c r="A728" s="9" t="s">
        <v>504</v>
      </c>
      <c r="C728" s="50" t="n">
        <f aca="false">C716/C706</f>
        <v>7.38188976377953</v>
      </c>
      <c r="D728" s="50" t="n">
        <f aca="false">D716/C706</f>
        <v>7.38188976377953</v>
      </c>
      <c r="E728" s="50" t="n">
        <f aca="false">E716/C706</f>
        <v>7.38188976377953</v>
      </c>
      <c r="F728" s="50" t="n">
        <f aca="false">F716/C706</f>
        <v>7.38188976377953</v>
      </c>
      <c r="G728" s="50" t="n">
        <f aca="false">G716/C706</f>
        <v>7.38188976377953</v>
      </c>
      <c r="H728" s="50" t="n">
        <f aca="false">H716/C706</f>
        <v>7.38188976377953</v>
      </c>
      <c r="I728" s="50" t="n">
        <f aca="false">I716/C706</f>
        <v>7.38188976377953</v>
      </c>
      <c r="J728" s="50" t="n">
        <f aca="false">J716/C706</f>
        <v>7.38188976377953</v>
      </c>
      <c r="K728" s="50" t="n">
        <f aca="false">K716/C706</f>
        <v>7.38188976377953</v>
      </c>
      <c r="L728" s="50" t="n">
        <f aca="false">L716/C706</f>
        <v>7.38188976377953</v>
      </c>
      <c r="M728" s="50" t="n">
        <f aca="false">M716/C706</f>
        <v>7.38188976377953</v>
      </c>
    </row>
    <row r="729" customFormat="false" ht="15" hidden="false" customHeight="false" outlineLevel="0" collapsed="false">
      <c r="A729" s="9" t="s">
        <v>505</v>
      </c>
      <c r="D729" s="36" t="n">
        <f aca="false">D702+D711*(1-a_tax)-D712-IF(D689=1,C710,0)</f>
        <v>-948.038</v>
      </c>
      <c r="E729" s="36" t="n">
        <f aca="false">E702+E711*(1-a_tax)-E712-IF(E689=1,C710,0)</f>
        <v>-740.9052</v>
      </c>
      <c r="F729" s="36" t="n">
        <f aca="false">F702+F711*(1-a_tax)-F712-IF(F689=1,C710,0)</f>
        <v>-729.81984</v>
      </c>
      <c r="G729" s="36" t="n">
        <f aca="false">G702+G711*(1-a_tax)-G712-IF(G689=1,C710,0)</f>
        <v>-714.664128</v>
      </c>
      <c r="H729" s="36" t="n">
        <f aca="false">H702+H711*(1-a_tax)-H712-IF(H689=1,C710,0)</f>
        <v>-694.2533376</v>
      </c>
      <c r="I729" s="36" t="n">
        <f aca="false">I702+I711*(1-a_tax)-I712-IF(I689=1,C710,0)</f>
        <v>-683.10400512</v>
      </c>
      <c r="J729" s="36" t="n">
        <f aca="false">J702+J711*(1-a_tax)-J712-IF(J689=1,C710,0)</f>
        <v>-669.724806144</v>
      </c>
      <c r="K729" s="36" t="n">
        <f aca="false">K702+K711*(1-a_tax)-K712-IF(K689=1,C710,0)</f>
        <v>-653.6697673728</v>
      </c>
      <c r="L729" s="36" t="n">
        <f aca="false">L702+L711*(1-a_tax)-L712-IF(L689=1,C710,0)</f>
        <v>-634.40372084736</v>
      </c>
      <c r="M729" s="36" t="n">
        <f aca="false">M702+M711*(1-a_tax)-M712-IF(M689=1,C710,0)</f>
        <v>-611.284465016832</v>
      </c>
    </row>
    <row r="730" customFormat="false" ht="15" hidden="false" customHeight="false" outlineLevel="0" collapsed="false">
      <c r="A730" s="4" t="s">
        <v>506</v>
      </c>
      <c r="D730" s="41" t="n">
        <f aca="false">D729-C707</f>
        <v>-1042.538</v>
      </c>
      <c r="E730" s="41" t="n">
        <f aca="false">E729-C707</f>
        <v>-835.4052</v>
      </c>
      <c r="F730" s="41" t="n">
        <f aca="false">F729-C707</f>
        <v>-824.31984</v>
      </c>
      <c r="G730" s="41" t="n">
        <f aca="false">G729-C707</f>
        <v>-809.164128</v>
      </c>
      <c r="H730" s="41" t="n">
        <f aca="false">H729-C707</f>
        <v>-788.7533376</v>
      </c>
      <c r="I730" s="41" t="n">
        <f aca="false">I729-C707</f>
        <v>-777.60400512</v>
      </c>
      <c r="J730" s="41" t="n">
        <f aca="false">J729-C707</f>
        <v>-764.224806144</v>
      </c>
      <c r="K730" s="41" t="n">
        <f aca="false">K729-C707</f>
        <v>-748.1697673728</v>
      </c>
      <c r="L730" s="41" t="n">
        <f aca="false">L729-C707</f>
        <v>-728.90372084736</v>
      </c>
      <c r="M730" s="41" t="n">
        <f aca="false">M729-C707</f>
        <v>-705.784465016832</v>
      </c>
    </row>
    <row r="731" customFormat="false" ht="15" hidden="false" customHeight="false" outlineLevel="0" collapsed="false">
      <c r="A731" s="9" t="s">
        <v>507</v>
      </c>
      <c r="C731" s="36" t="n">
        <f aca="false">0</f>
        <v>0</v>
      </c>
      <c r="D731" s="36" t="n">
        <f aca="false">D717</f>
        <v>69</v>
      </c>
      <c r="E731" s="36" t="n">
        <f aca="false">E717</f>
        <v>69</v>
      </c>
      <c r="F731" s="36" t="n">
        <f aca="false">F717</f>
        <v>69</v>
      </c>
      <c r="G731" s="36" t="n">
        <f aca="false">G717</f>
        <v>69</v>
      </c>
      <c r="H731" s="36" t="n">
        <f aca="false">H717</f>
        <v>69</v>
      </c>
      <c r="I731" s="36" t="n">
        <f aca="false">I717</f>
        <v>69</v>
      </c>
      <c r="J731" s="36" t="n">
        <f aca="false">J717</f>
        <v>69</v>
      </c>
      <c r="K731" s="36" t="n">
        <f aca="false">K717</f>
        <v>69</v>
      </c>
      <c r="L731" s="36" t="n">
        <f aca="false">L717</f>
        <v>69</v>
      </c>
      <c r="M731" s="36" t="n">
        <f aca="false">M717</f>
        <v>69</v>
      </c>
    </row>
    <row r="732" customFormat="false" ht="15" hidden="false" customHeight="false" outlineLevel="0" collapsed="false">
      <c r="A732" s="9" t="s">
        <v>508</v>
      </c>
      <c r="D732" s="36" t="n">
        <f aca="false">D730+D731</f>
        <v>-973.538</v>
      </c>
      <c r="E732" s="36" t="n">
        <f aca="false">E730+E731</f>
        <v>-766.4052</v>
      </c>
      <c r="F732" s="36" t="n">
        <f aca="false">F730+F731</f>
        <v>-755.31984</v>
      </c>
      <c r="G732" s="36" t="n">
        <f aca="false">G730+G731</f>
        <v>-740.164128</v>
      </c>
      <c r="H732" s="36" t="n">
        <f aca="false">H730+H731</f>
        <v>-719.7533376</v>
      </c>
      <c r="I732" s="36" t="n">
        <f aca="false">I730+I731</f>
        <v>-708.60400512</v>
      </c>
      <c r="J732" s="36" t="n">
        <f aca="false">J730+J731</f>
        <v>-695.224806144</v>
      </c>
      <c r="K732" s="36" t="n">
        <f aca="false">K730+K731</f>
        <v>-679.1697673728</v>
      </c>
      <c r="L732" s="36" t="n">
        <f aca="false">L730+L731</f>
        <v>-659.90372084736</v>
      </c>
      <c r="M732" s="36" t="n">
        <f aca="false">M730+M731</f>
        <v>-636.784465016832</v>
      </c>
    </row>
    <row r="733" customFormat="false" ht="15" hidden="false" customHeight="false" outlineLevel="0" collapsed="false">
      <c r="A733" s="9" t="s">
        <v>509</v>
      </c>
      <c r="D733" s="36" t="n">
        <f aca="false">IF(lv_mdr_in_deal=1,D732,D730)</f>
        <v>-1042.538</v>
      </c>
      <c r="E733" s="36" t="n">
        <f aca="false">IF(lv_mdr_in_deal=1,E732,E730)</f>
        <v>-835.4052</v>
      </c>
      <c r="F733" s="36" t="n">
        <f aca="false">IF(lv_mdr_in_deal=1,F732,F730)</f>
        <v>-824.31984</v>
      </c>
      <c r="G733" s="36" t="n">
        <f aca="false">IF(lv_mdr_in_deal=1,G732,G730)</f>
        <v>-809.164128</v>
      </c>
      <c r="H733" s="36" t="n">
        <f aca="false">IF(lv_mdr_in_deal=1,H732,H730)</f>
        <v>-788.7533376</v>
      </c>
      <c r="I733" s="36" t="n">
        <f aca="false">IF(lv_mdr_in_deal=1,I732,I730)</f>
        <v>-777.60400512</v>
      </c>
      <c r="J733" s="36" t="n">
        <f aca="false">IF(lv_mdr_in_deal=1,J732,J730)</f>
        <v>-764.224806144</v>
      </c>
      <c r="K733" s="36" t="n">
        <f aca="false">IF(lv_mdr_in_deal=1,K732,K730)</f>
        <v>-748.1697673728</v>
      </c>
      <c r="L733" s="36" t="n">
        <f aca="false">IF(lv_mdr_in_deal=1,L732,L730)</f>
        <v>-728.90372084736</v>
      </c>
      <c r="M733" s="36" t="n">
        <f aca="false">IF(lv_mdr_in_deal=1,M732,M730)</f>
        <v>-705.784465016832</v>
      </c>
    </row>
    <row r="734" customFormat="false" ht="15" hidden="false" customHeight="false" outlineLevel="0" collapsed="false">
      <c r="A734" s="9" t="s">
        <v>510</v>
      </c>
      <c r="C734" s="36" t="n">
        <f aca="false">-lv_price</f>
        <v>-4000</v>
      </c>
      <c r="D734" s="36" t="n">
        <f aca="false">C734+D733</f>
        <v>-5042.538</v>
      </c>
      <c r="E734" s="36" t="n">
        <f aca="false">D734+E733</f>
        <v>-5877.9432</v>
      </c>
      <c r="F734" s="36" t="n">
        <f aca="false">E734+F733</f>
        <v>-6702.26304</v>
      </c>
      <c r="G734" s="36" t="n">
        <f aca="false">F734+G733</f>
        <v>-7511.427168</v>
      </c>
      <c r="H734" s="36" t="n">
        <f aca="false">G734+H733</f>
        <v>-8300.1805056</v>
      </c>
      <c r="I734" s="36" t="n">
        <f aca="false">H734+I733</f>
        <v>-9077.78451072</v>
      </c>
      <c r="J734" s="36" t="n">
        <f aca="false">I734+J733</f>
        <v>-9842.009316864</v>
      </c>
      <c r="K734" s="36" t="n">
        <f aca="false">J734+K733</f>
        <v>-10590.1790842368</v>
      </c>
      <c r="L734" s="36" t="n">
        <f aca="false">K734+L733</f>
        <v>-11319.0828050842</v>
      </c>
      <c r="M734" s="36" t="n">
        <f aca="false">L734+M733</f>
        <v>-12024.867270101</v>
      </c>
    </row>
    <row r="735" customFormat="false" ht="15" hidden="false" customHeight="false" outlineLevel="0" collapsed="false">
      <c r="A735" s="9" t="s">
        <v>511</v>
      </c>
      <c r="C735" s="43" t="n">
        <f aca="false">1</f>
        <v>1</v>
      </c>
      <c r="D735" s="43" t="n">
        <f aca="false">1/(1+lv_wacc)^D689</f>
        <v>0.884955752212389</v>
      </c>
      <c r="E735" s="43" t="n">
        <f aca="false">1/(1+lv_wacc)^E689</f>
        <v>0.783146683373796</v>
      </c>
      <c r="F735" s="43" t="n">
        <f aca="false">1/(1+lv_wacc)^F689</f>
        <v>0.693050162277696</v>
      </c>
      <c r="G735" s="43" t="n">
        <f aca="false">1/(1+lv_wacc)^G689</f>
        <v>0.613318727679377</v>
      </c>
      <c r="H735" s="43" t="n">
        <f aca="false">1/(1+lv_wacc)^H689</f>
        <v>0.542759935999449</v>
      </c>
      <c r="I735" s="43" t="n">
        <f aca="false">1/(1+lv_wacc)^I689</f>
        <v>0.48031852743314</v>
      </c>
      <c r="J735" s="43" t="n">
        <f aca="false">1/(1+lv_wacc)^J689</f>
        <v>0.425060643746142</v>
      </c>
      <c r="K735" s="43" t="n">
        <f aca="false">1/(1+lv_wacc)^K689</f>
        <v>0.37615986172225</v>
      </c>
      <c r="L735" s="43" t="n">
        <f aca="false">1/(1+lv_wacc)^L689</f>
        <v>0.332884833382522</v>
      </c>
      <c r="M735" s="43" t="n">
        <f aca="false">1/(1+lv_wacc)^M689</f>
        <v>0.294588348126126</v>
      </c>
    </row>
    <row r="736" customFormat="false" ht="15" hidden="false" customHeight="false" outlineLevel="0" collapsed="false">
      <c r="A736" s="9" t="s">
        <v>512</v>
      </c>
      <c r="C736" s="46" t="n">
        <f aca="false">99</f>
        <v>99</v>
      </c>
      <c r="D736" s="46" t="n">
        <f aca="false">IF(D720&gt;=0,D689,99)</f>
        <v>99</v>
      </c>
      <c r="E736" s="46" t="n">
        <f aca="false">IF(E720&gt;=0,E689,99)</f>
        <v>99</v>
      </c>
      <c r="F736" s="46" t="n">
        <f aca="false">IF(F720&gt;=0,F689,99)</f>
        <v>99</v>
      </c>
      <c r="G736" s="46" t="n">
        <f aca="false">IF(G720&gt;=0,G689,99)</f>
        <v>99</v>
      </c>
      <c r="H736" s="46" t="n">
        <f aca="false">IF(H720&gt;=0,H689,99)</f>
        <v>99</v>
      </c>
      <c r="I736" s="46" t="n">
        <f aca="false">IF(I720&gt;=0,I689,99)</f>
        <v>99</v>
      </c>
      <c r="J736" s="46" t="n">
        <f aca="false">IF(J720&gt;=0,J689,99)</f>
        <v>99</v>
      </c>
      <c r="K736" s="46" t="n">
        <f aca="false">IF(K720&gt;=0,K689,99)</f>
        <v>99</v>
      </c>
      <c r="L736" s="46" t="n">
        <f aca="false">IF(L720&gt;=0,L689,99)</f>
        <v>99</v>
      </c>
      <c r="M736" s="46" t="n">
        <f aca="false">IF(M720&gt;=0,M689,99)</f>
        <v>99</v>
      </c>
    </row>
    <row r="737" customFormat="false" ht="15" hidden="false" customHeight="false" outlineLevel="0" collapsed="false">
      <c r="A737" s="9" t="s">
        <v>513</v>
      </c>
      <c r="C737" s="46" t="n">
        <f aca="false">99</f>
        <v>99</v>
      </c>
      <c r="D737" s="46" t="n">
        <f aca="false">IF(D720+D717&gt;=0,D689,99)</f>
        <v>99</v>
      </c>
      <c r="E737" s="46" t="n">
        <f aca="false">IF(E720+E717&gt;=0,E689,99)</f>
        <v>99</v>
      </c>
      <c r="F737" s="46" t="n">
        <f aca="false">IF(F720+F717&gt;=0,F689,99)</f>
        <v>99</v>
      </c>
      <c r="G737" s="46" t="n">
        <f aca="false">IF(G720+G717&gt;=0,G689,99)</f>
        <v>99</v>
      </c>
      <c r="H737" s="46" t="n">
        <f aca="false">IF(H720+H717&gt;=0,H689,99)</f>
        <v>99</v>
      </c>
      <c r="I737" s="46" t="n">
        <f aca="false">IF(I720+I717&gt;=0,I689,99)</f>
        <v>99</v>
      </c>
      <c r="J737" s="46" t="n">
        <f aca="false">IF(J720+J717&gt;=0,J689,99)</f>
        <v>99</v>
      </c>
      <c r="K737" s="46" t="n">
        <f aca="false">IF(K720+K717&gt;=0,K689,99)</f>
        <v>99</v>
      </c>
      <c r="L737" s="46" t="n">
        <f aca="false">IF(L720+L717&gt;=0,L689,99)</f>
        <v>99</v>
      </c>
      <c r="M737" s="46" t="n">
        <f aca="false">IF(M720+M717&gt;=0,M689,99)</f>
        <v>99</v>
      </c>
    </row>
    <row r="738" customFormat="false" ht="15" hidden="false" customHeight="false" outlineLevel="0" collapsed="false">
      <c r="A738" s="9" t="s">
        <v>514</v>
      </c>
      <c r="C738" s="46" t="n">
        <f aca="false">99</f>
        <v>99</v>
      </c>
      <c r="D738" s="46" t="n">
        <f aca="false">IF(D730&gt;=0,D689,99)</f>
        <v>99</v>
      </c>
      <c r="E738" s="46" t="n">
        <f aca="false">IF(E730&gt;=0,E689,99)</f>
        <v>99</v>
      </c>
      <c r="F738" s="46" t="n">
        <f aca="false">IF(F730&gt;=0,F689,99)</f>
        <v>99</v>
      </c>
      <c r="G738" s="46" t="n">
        <f aca="false">IF(G730&gt;=0,G689,99)</f>
        <v>99</v>
      </c>
      <c r="H738" s="46" t="n">
        <f aca="false">IF(H730&gt;=0,H689,99)</f>
        <v>99</v>
      </c>
      <c r="I738" s="46" t="n">
        <f aca="false">IF(I730&gt;=0,I689,99)</f>
        <v>99</v>
      </c>
      <c r="J738" s="46" t="n">
        <f aca="false">IF(J730&gt;=0,J689,99)</f>
        <v>99</v>
      </c>
      <c r="K738" s="46" t="n">
        <f aca="false">IF(K730&gt;=0,K689,99)</f>
        <v>99</v>
      </c>
      <c r="L738" s="46" t="n">
        <f aca="false">IF(L730&gt;=0,L689,99)</f>
        <v>99</v>
      </c>
      <c r="M738" s="46" t="n">
        <f aca="false">IF(M730&gt;=0,M689,99)</f>
        <v>99</v>
      </c>
    </row>
    <row r="739" customFormat="false" ht="15" hidden="false" customHeight="false" outlineLevel="0" collapsed="false">
      <c r="A739" s="9" t="s">
        <v>515</v>
      </c>
      <c r="C739" s="46" t="n">
        <f aca="false">99</f>
        <v>99</v>
      </c>
      <c r="D739" s="46" t="n">
        <f aca="false">IF(D732&gt;=0,D689,99)</f>
        <v>99</v>
      </c>
      <c r="E739" s="46" t="n">
        <f aca="false">IF(E732&gt;=0,E689,99)</f>
        <v>99</v>
      </c>
      <c r="F739" s="46" t="n">
        <f aca="false">IF(F732&gt;=0,F689,99)</f>
        <v>99</v>
      </c>
      <c r="G739" s="46" t="n">
        <f aca="false">IF(G732&gt;=0,G689,99)</f>
        <v>99</v>
      </c>
      <c r="H739" s="46" t="n">
        <f aca="false">IF(H732&gt;=0,H689,99)</f>
        <v>99</v>
      </c>
      <c r="I739" s="46" t="n">
        <f aca="false">IF(I732&gt;=0,I689,99)</f>
        <v>99</v>
      </c>
      <c r="J739" s="46" t="n">
        <f aca="false">IF(J732&gt;=0,J689,99)</f>
        <v>99</v>
      </c>
      <c r="K739" s="46" t="n">
        <f aca="false">IF(K732&gt;=0,K689,99)</f>
        <v>99</v>
      </c>
      <c r="L739" s="46" t="n">
        <f aca="false">IF(L732&gt;=0,L689,99)</f>
        <v>99</v>
      </c>
      <c r="M739" s="46" t="n">
        <f aca="false">IF(M732&gt;=0,M689,99)</f>
        <v>99</v>
      </c>
    </row>
    <row r="740" customFormat="false" ht="15" hidden="false" customHeight="false" outlineLevel="0" collapsed="false">
      <c r="A740" s="9" t="s">
        <v>516</v>
      </c>
      <c r="C740" s="46" t="n">
        <f aca="false">99</f>
        <v>99</v>
      </c>
      <c r="D740" s="46" t="n">
        <f aca="false">IF(D734&gt;=0,D689,99)</f>
        <v>99</v>
      </c>
      <c r="E740" s="46" t="n">
        <f aca="false">IF(E734&gt;=0,E689,99)</f>
        <v>99</v>
      </c>
      <c r="F740" s="46" t="n">
        <f aca="false">IF(F734&gt;=0,F689,99)</f>
        <v>99</v>
      </c>
      <c r="G740" s="46" t="n">
        <f aca="false">IF(G734&gt;=0,G689,99)</f>
        <v>99</v>
      </c>
      <c r="H740" s="46" t="n">
        <f aca="false">IF(H734&gt;=0,H689,99)</f>
        <v>99</v>
      </c>
      <c r="I740" s="46" t="n">
        <f aca="false">IF(I734&gt;=0,I689,99)</f>
        <v>99</v>
      </c>
      <c r="J740" s="46" t="n">
        <f aca="false">IF(J734&gt;=0,J689,99)</f>
        <v>99</v>
      </c>
      <c r="K740" s="46" t="n">
        <f aca="false">IF(K734&gt;=0,K689,99)</f>
        <v>99</v>
      </c>
      <c r="L740" s="46" t="n">
        <f aca="false">IF(L734&gt;=0,L689,99)</f>
        <v>99</v>
      </c>
      <c r="M740" s="46" t="n">
        <f aca="false">IF(M734&gt;=0,M689,99)</f>
        <v>99</v>
      </c>
    </row>
    <row r="741" customFormat="false" ht="15" hidden="false" customHeight="false" outlineLevel="0" collapsed="false">
      <c r="A741" s="4" t="s">
        <v>517</v>
      </c>
      <c r="C741" s="23" t="n">
        <f aca="false">MIN(D736:M736)</f>
        <v>99</v>
      </c>
    </row>
    <row r="742" customFormat="false" ht="15" hidden="false" customHeight="false" outlineLevel="0" collapsed="false">
      <c r="A742" s="9" t="s">
        <v>518</v>
      </c>
      <c r="C742" s="46" t="n">
        <f aca="false">MIN(D737:M737)</f>
        <v>99</v>
      </c>
    </row>
    <row r="743" customFormat="false" ht="15" hidden="false" customHeight="false" outlineLevel="0" collapsed="false">
      <c r="A743" s="4" t="s">
        <v>519</v>
      </c>
      <c r="C743" s="23" t="n">
        <f aca="false">MIN(D738:M738)</f>
        <v>99</v>
      </c>
    </row>
    <row r="744" customFormat="false" ht="15" hidden="false" customHeight="false" outlineLevel="0" collapsed="false">
      <c r="A744" s="9" t="s">
        <v>520</v>
      </c>
      <c r="C744" s="46" t="n">
        <f aca="false">MIN(D739:M739)</f>
        <v>99</v>
      </c>
    </row>
    <row r="745" customFormat="false" ht="15" hidden="false" customHeight="false" outlineLevel="0" collapsed="false">
      <c r="A745" s="9" t="s">
        <v>521</v>
      </c>
      <c r="C745" s="46" t="n">
        <f aca="false">MIN(D740:M740)</f>
        <v>99</v>
      </c>
    </row>
    <row r="746" customFormat="false" ht="15" hidden="false" customHeight="false" outlineLevel="0" collapsed="false">
      <c r="A746" s="4" t="s">
        <v>522</v>
      </c>
      <c r="C746" s="15" t="n">
        <f aca="false">M734</f>
        <v>-12024.867270101</v>
      </c>
    </row>
    <row r="747" customFormat="false" ht="15" hidden="false" customHeight="false" outlineLevel="0" collapsed="false">
      <c r="A747" s="9" t="s">
        <v>523</v>
      </c>
      <c r="C747" s="36" t="n">
        <f aca="false">SUMPRODUCT(D702:M702,D735:M735)</f>
        <v>221.208692438394</v>
      </c>
    </row>
    <row r="748" customFormat="false" ht="15" hidden="false" customHeight="false" outlineLevel="0" collapsed="false">
      <c r="A748" s="9" t="s">
        <v>524</v>
      </c>
      <c r="C748" s="36" t="n">
        <f aca="false">M702*(1+a_tg)/(lv_wacc-a_tg)</f>
        <v>1820.64139665408</v>
      </c>
    </row>
    <row r="749" customFormat="false" ht="15" hidden="false" customHeight="false" outlineLevel="0" collapsed="false">
      <c r="A749" s="9" t="s">
        <v>314</v>
      </c>
      <c r="C749" s="36" t="n">
        <f aca="false">C748*M735</f>
        <v>536.339741570367</v>
      </c>
    </row>
    <row r="750" customFormat="false" ht="15" hidden="false" customHeight="false" outlineLevel="0" collapsed="false">
      <c r="A750" s="4" t="s">
        <v>525</v>
      </c>
      <c r="C750" s="15" t="n">
        <f aca="false">C747+C749</f>
        <v>757.548434008762</v>
      </c>
    </row>
    <row r="751" customFormat="false" ht="15" hidden="false" customHeight="false" outlineLevel="0" collapsed="false">
      <c r="A751" s="9" t="s">
        <v>526</v>
      </c>
      <c r="C751" s="32" t="n">
        <f aca="false">SUMPRODUCT(D712:M712,D735:M735)-a_recovery*M714*M735</f>
        <v>4069.68260696466</v>
      </c>
    </row>
    <row r="752" customFormat="false" ht="15" hidden="false" customHeight="false" outlineLevel="0" collapsed="false">
      <c r="A752" s="9" t="s">
        <v>527</v>
      </c>
      <c r="C752" s="36" t="n">
        <f aca="false">SUMPRODUCT(D711:M711,D735:M735)*(1-a_tax)</f>
        <v>0</v>
      </c>
    </row>
    <row r="753" customFormat="false" ht="15" hidden="false" customHeight="false" outlineLevel="0" collapsed="false">
      <c r="A753" s="9" t="s">
        <v>528</v>
      </c>
      <c r="C753" s="36" t="n">
        <f aca="false">C710*D735</f>
        <v>141.592920353982</v>
      </c>
    </row>
    <row r="754" customFormat="false" ht="15" hidden="false" customHeight="false" outlineLevel="0" collapsed="false">
      <c r="A754" s="4" t="s">
        <v>529</v>
      </c>
      <c r="C754" s="20" t="n">
        <f aca="false">C750+C752-C751-C753-lv_price</f>
        <v>-7453.72709330988</v>
      </c>
    </row>
    <row r="755" customFormat="false" ht="15" hidden="false" customHeight="false" outlineLevel="0" collapsed="false">
      <c r="A755" s="9" t="s">
        <v>530</v>
      </c>
      <c r="C755" s="32" t="n">
        <f aca="false">C754+SUMPRODUCT(D731:M731,D735:M735)</f>
        <v>-7079.31629346914</v>
      </c>
    </row>
    <row r="756" customFormat="false" ht="15" hidden="false" customHeight="false" outlineLevel="0" collapsed="false">
      <c r="A756" s="4" t="s">
        <v>531</v>
      </c>
      <c r="C756" s="59" t="n">
        <f aca="false">lv_price/D692</f>
        <v>23.3100233100233</v>
      </c>
    </row>
    <row r="757" customFormat="false" ht="15" hidden="false" customHeight="false" outlineLevel="0" collapsed="false">
      <c r="A757" s="9" t="s">
        <v>532</v>
      </c>
      <c r="C757" s="17" t="n">
        <f aca="false">(lv_price+C751)/D692</f>
        <v>47.026122418209</v>
      </c>
    </row>
    <row r="758" customFormat="false" ht="15" hidden="false" customHeight="false" outlineLevel="0" collapsed="false">
      <c r="A758" s="4" t="s">
        <v>533</v>
      </c>
      <c r="C758" s="15" t="n">
        <f aca="false">(C754+C751)/SUMPRODUCT(D735:M735)</f>
        <v>-623.644055292038</v>
      </c>
    </row>
    <row r="759" customFormat="false" ht="15" hidden="false" customHeight="false" outlineLevel="0" collapsed="false">
      <c r="A759" s="4" t="s">
        <v>534</v>
      </c>
      <c r="C759" s="25" t="n">
        <f aca="false">D722</f>
        <v>5.30637918307087</v>
      </c>
    </row>
    <row r="760" customFormat="false" ht="15" hidden="false" customHeight="false" outlineLevel="0" collapsed="false">
      <c r="A760" s="9" t="s">
        <v>535</v>
      </c>
      <c r="C760" s="50" t="n">
        <f aca="false">F722</f>
        <v>5.23251968503937</v>
      </c>
    </row>
    <row r="761" customFormat="false" ht="15" hidden="false" customHeight="false" outlineLevel="0" collapsed="false">
      <c r="A761" s="4" t="s">
        <v>536</v>
      </c>
      <c r="C761" s="20" t="n">
        <f aca="false">D730</f>
        <v>-1042.538</v>
      </c>
    </row>
    <row r="762" customFormat="false" ht="15" hidden="false" customHeight="false" outlineLevel="0" collapsed="false">
      <c r="A762" s="9" t="s">
        <v>537</v>
      </c>
      <c r="C762" s="32" t="n">
        <f aca="false">cf_cash-lv_mix_cash-C710</f>
        <v>6640</v>
      </c>
    </row>
    <row r="763" customFormat="false" ht="15" hidden="false" customHeight="false" outlineLevel="0" collapsed="false">
      <c r="A763" s="9" t="s">
        <v>538</v>
      </c>
      <c r="C763" s="32" t="n">
        <f aca="false">cf_debt+lv_mix_debt</f>
        <v>350</v>
      </c>
    </row>
    <row r="764" customFormat="false" ht="15" hidden="false" customHeight="false" outlineLevel="0" collapsed="false">
      <c r="A764" s="9" t="s">
        <v>539</v>
      </c>
      <c r="C764" s="34" t="n">
        <f aca="false">C763/cf_ebitda</f>
        <v>0.546875</v>
      </c>
    </row>
    <row r="765" customFormat="false" ht="15" hidden="false" customHeight="false" outlineLevel="0" collapsed="false">
      <c r="A765" s="9" t="s">
        <v>540</v>
      </c>
      <c r="C765" s="32" t="n">
        <f aca="false">C762+SUM(D733:F733)+3*cf_pat</f>
        <v>5377.73696</v>
      </c>
    </row>
    <row r="767" customFormat="false" ht="15" hidden="false" customHeight="false" outlineLevel="0" collapsed="false">
      <c r="A767" s="7" t="s">
        <v>655</v>
      </c>
      <c r="B767" s="8"/>
      <c r="C767" s="8"/>
      <c r="D767" s="8"/>
      <c r="E767" s="8"/>
      <c r="F767" s="8"/>
      <c r="G767" s="8"/>
      <c r="H767" s="8"/>
      <c r="I767" s="8"/>
      <c r="J767" s="8"/>
      <c r="K767" s="8"/>
      <c r="L767" s="8"/>
      <c r="M767" s="8"/>
      <c r="N767" s="8"/>
    </row>
    <row r="768" customFormat="false" ht="15" hidden="false" customHeight="false" outlineLevel="0" collapsed="false">
      <c r="A768" s="4" t="s">
        <v>284</v>
      </c>
      <c r="C768" s="39" t="n">
        <v>0</v>
      </c>
      <c r="D768" s="39" t="n">
        <v>1</v>
      </c>
      <c r="E768" s="39" t="n">
        <v>2</v>
      </c>
      <c r="F768" s="39" t="n">
        <v>3</v>
      </c>
      <c r="G768" s="39" t="n">
        <v>4</v>
      </c>
      <c r="H768" s="39" t="n">
        <v>5</v>
      </c>
      <c r="I768" s="39" t="n">
        <v>6</v>
      </c>
      <c r="J768" s="39" t="n">
        <v>7</v>
      </c>
      <c r="K768" s="39" t="n">
        <v>8</v>
      </c>
      <c r="L768" s="39" t="n">
        <v>9</v>
      </c>
      <c r="M768" s="39" t="n">
        <v>10</v>
      </c>
    </row>
    <row r="769" customFormat="false" ht="15" hidden="false" customHeight="false" outlineLevel="0" collapsed="false">
      <c r="A769" s="9" t="s">
        <v>285</v>
      </c>
      <c r="C769" s="40" t="n">
        <f aca="false">cf_arr</f>
        <v>220</v>
      </c>
      <c r="D769" s="36" t="n">
        <f aca="false">C769*(1+lv_g)</f>
        <v>264</v>
      </c>
      <c r="E769" s="36" t="n">
        <f aca="false">D769*(1+lv_g)</f>
        <v>316.8</v>
      </c>
      <c r="F769" s="36" t="n">
        <f aca="false">E769*(1+lv_g)</f>
        <v>380.16</v>
      </c>
      <c r="G769" s="36" t="n">
        <f aca="false">F769*(1+lv_g)</f>
        <v>456.192</v>
      </c>
      <c r="H769" s="36" t="n">
        <f aca="false">G769*(1+lv_g)</f>
        <v>547.4304</v>
      </c>
      <c r="I769" s="36" t="n">
        <f aca="false">H769*(1+lv_g)</f>
        <v>656.91648</v>
      </c>
      <c r="J769" s="36" t="n">
        <f aca="false">I769*(1+lv_g)</f>
        <v>788.299776</v>
      </c>
      <c r="K769" s="36" t="n">
        <f aca="false">J769*(1+lv_g)</f>
        <v>945.9597312</v>
      </c>
      <c r="L769" s="36" t="n">
        <f aca="false">K769*(1+lv_g)</f>
        <v>1135.15167744</v>
      </c>
      <c r="M769" s="36" t="n">
        <f aca="false">L769*(1+lv_g)</f>
        <v>1362.182012928</v>
      </c>
    </row>
    <row r="770" customFormat="false" ht="15" hidden="false" customHeight="false" outlineLevel="0" collapsed="false">
      <c r="A770" s="9" t="s">
        <v>286</v>
      </c>
      <c r="C770" s="18" t="n">
        <f aca="false">1</f>
        <v>1</v>
      </c>
      <c r="D770" s="18" t="n">
        <f aca="false">IF(D768&gt;=a_churn_year,1-Churn!$A$17,1)</f>
        <v>0.65</v>
      </c>
      <c r="E770" s="18" t="n">
        <f aca="false">IF(E768&gt;=a_churn_year,1-Churn!$A$17,1)</f>
        <v>0.65</v>
      </c>
      <c r="F770" s="18" t="n">
        <f aca="false">IF(F768&gt;=a_churn_year,1-Churn!$A$17,1)</f>
        <v>0.65</v>
      </c>
      <c r="G770" s="18" t="n">
        <f aca="false">IF(G768&gt;=a_churn_year,1-Churn!$A$17,1)</f>
        <v>0.65</v>
      </c>
      <c r="H770" s="18" t="n">
        <f aca="false">IF(H768&gt;=a_churn_year,1-Churn!$A$17,1)</f>
        <v>0.65</v>
      </c>
      <c r="I770" s="18" t="n">
        <f aca="false">IF(I768&gt;=a_churn_year,1-Churn!$A$17,1)</f>
        <v>0.65</v>
      </c>
      <c r="J770" s="18" t="n">
        <f aca="false">IF(J768&gt;=a_churn_year,1-Churn!$A$17,1)</f>
        <v>0.65</v>
      </c>
      <c r="K770" s="18" t="n">
        <f aca="false">IF(K768&gt;=a_churn_year,1-Churn!$A$17,1)</f>
        <v>0.65</v>
      </c>
      <c r="L770" s="18" t="n">
        <f aca="false">IF(L768&gt;=a_churn_year,1-Churn!$A$17,1)</f>
        <v>0.65</v>
      </c>
      <c r="M770" s="18" t="n">
        <f aca="false">IF(M768&gt;=a_churn_year,1-Churn!$A$17,1)</f>
        <v>0.65</v>
      </c>
    </row>
    <row r="771" customFormat="false" ht="15" hidden="false" customHeight="false" outlineLevel="0" collapsed="false">
      <c r="A771" s="4" t="s">
        <v>287</v>
      </c>
      <c r="C771" s="41" t="n">
        <f aca="false">C769*C770</f>
        <v>220</v>
      </c>
      <c r="D771" s="41" t="n">
        <f aca="false">D769*D770</f>
        <v>171.6</v>
      </c>
      <c r="E771" s="41" t="n">
        <f aca="false">E769*E770</f>
        <v>205.92</v>
      </c>
      <c r="F771" s="41" t="n">
        <f aca="false">F769*F770</f>
        <v>247.104</v>
      </c>
      <c r="G771" s="41" t="n">
        <f aca="false">G769*G770</f>
        <v>296.5248</v>
      </c>
      <c r="H771" s="41" t="n">
        <f aca="false">H769*H770</f>
        <v>355.82976</v>
      </c>
      <c r="I771" s="41" t="n">
        <f aca="false">I769*I770</f>
        <v>426.995712</v>
      </c>
      <c r="J771" s="41" t="n">
        <f aca="false">J769*J770</f>
        <v>512.3948544</v>
      </c>
      <c r="K771" s="41" t="n">
        <f aca="false">K769*K770</f>
        <v>614.87382528</v>
      </c>
      <c r="L771" s="41" t="n">
        <f aca="false">L769*L770</f>
        <v>737.848590336</v>
      </c>
      <c r="M771" s="41" t="n">
        <f aca="false">M769*M770</f>
        <v>885.4183084032</v>
      </c>
    </row>
    <row r="772" customFormat="false" ht="15" hidden="false" customHeight="false" outlineLevel="0" collapsed="false">
      <c r="A772" s="9" t="s">
        <v>288</v>
      </c>
      <c r="C772" s="18" t="n">
        <f aca="false">MIN(a_m0+a_mstep*C768,a_mcap)</f>
        <v>0</v>
      </c>
      <c r="D772" s="18" t="n">
        <f aca="false">MIN(a_m0+a_mstep*D768,a_mcap)</f>
        <v>0.05</v>
      </c>
      <c r="E772" s="18" t="n">
        <f aca="false">MIN(a_m0+a_mstep*E768,a_mcap)</f>
        <v>0.1</v>
      </c>
      <c r="F772" s="18" t="n">
        <f aca="false">MIN(a_m0+a_mstep*F768,a_mcap)</f>
        <v>0.15</v>
      </c>
      <c r="G772" s="18" t="n">
        <f aca="false">MIN(a_m0+a_mstep*G768,a_mcap)</f>
        <v>0.2</v>
      </c>
      <c r="H772" s="18" t="n">
        <f aca="false">MIN(a_m0+a_mstep*H768,a_mcap)</f>
        <v>0.25</v>
      </c>
      <c r="I772" s="18" t="n">
        <f aca="false">MIN(a_m0+a_mstep*I768,a_mcap)</f>
        <v>0.25</v>
      </c>
      <c r="J772" s="18" t="n">
        <f aca="false">MIN(a_m0+a_mstep*J768,a_mcap)</f>
        <v>0.25</v>
      </c>
      <c r="K772" s="18" t="n">
        <f aca="false">MIN(a_m0+a_mstep*K768,a_mcap)</f>
        <v>0.25</v>
      </c>
      <c r="L772" s="18" t="n">
        <f aca="false">MIN(a_m0+a_mstep*L768,a_mcap)</f>
        <v>0.25</v>
      </c>
      <c r="M772" s="18" t="n">
        <f aca="false">MIN(a_m0+a_mstep*M768,a_mcap)</f>
        <v>0.25</v>
      </c>
    </row>
    <row r="773" customFormat="false" ht="15" hidden="false" customHeight="false" outlineLevel="0" collapsed="false">
      <c r="A773" s="9" t="s">
        <v>289</v>
      </c>
      <c r="C773" s="36" t="n">
        <f aca="false">IF(C768=a_churn_year,a_sticky*(C769-C771)*(1-C772),0)</f>
        <v>0</v>
      </c>
      <c r="D773" s="36" t="n">
        <f aca="false">IF(D768=a_churn_year,a_sticky*(D769-D771)*(1-D772),0)</f>
        <v>43.89</v>
      </c>
      <c r="E773" s="36" t="n">
        <f aca="false">IF(E768=a_churn_year,a_sticky*(E769-E771)*(1-E772),0)</f>
        <v>0</v>
      </c>
      <c r="F773" s="36" t="n">
        <f aca="false">IF(F768=a_churn_year,a_sticky*(F769-F771)*(1-F772),0)</f>
        <v>0</v>
      </c>
      <c r="G773" s="36" t="n">
        <f aca="false">IF(G768=a_churn_year,a_sticky*(G769-G771)*(1-G772),0)</f>
        <v>0</v>
      </c>
      <c r="H773" s="36" t="n">
        <f aca="false">IF(H768=a_churn_year,a_sticky*(H769-H771)*(1-H772),0)</f>
        <v>0</v>
      </c>
      <c r="I773" s="36" t="n">
        <f aca="false">IF(I768=a_churn_year,a_sticky*(I769-I771)*(1-I772),0)</f>
        <v>0</v>
      </c>
      <c r="J773" s="36" t="n">
        <f aca="false">IF(J768=a_churn_year,a_sticky*(J769-J771)*(1-J772),0)</f>
        <v>0</v>
      </c>
      <c r="K773" s="36" t="n">
        <f aca="false">IF(K768=a_churn_year,a_sticky*(K769-K771)*(1-K772),0)</f>
        <v>0</v>
      </c>
      <c r="L773" s="36" t="n">
        <f aca="false">IF(L768=a_churn_year,a_sticky*(L769-L771)*(1-L772),0)</f>
        <v>0</v>
      </c>
      <c r="M773" s="36" t="n">
        <f aca="false">IF(M768=a_churn_year,a_sticky*(M769-M771)*(1-M772),0)</f>
        <v>0</v>
      </c>
    </row>
    <row r="774" customFormat="false" ht="15" hidden="false" customHeight="false" outlineLevel="0" collapsed="false">
      <c r="A774" s="4" t="s">
        <v>290</v>
      </c>
      <c r="C774" s="41" t="n">
        <f aca="false">C771*C772-C773</f>
        <v>0</v>
      </c>
      <c r="D774" s="41" t="n">
        <f aca="false">D771*D772-D773</f>
        <v>-35.31</v>
      </c>
      <c r="E774" s="41" t="n">
        <f aca="false">E771*E772-E773</f>
        <v>20.592</v>
      </c>
      <c r="F774" s="41" t="n">
        <f aca="false">F771*F772-F773</f>
        <v>37.0656</v>
      </c>
      <c r="G774" s="41" t="n">
        <f aca="false">G771*G772-G773</f>
        <v>59.30496</v>
      </c>
      <c r="H774" s="41" t="n">
        <f aca="false">H771*H772-H773</f>
        <v>88.95744</v>
      </c>
      <c r="I774" s="41" t="n">
        <f aca="false">I771*I772-I773</f>
        <v>106.748928</v>
      </c>
      <c r="J774" s="41" t="n">
        <f aca="false">J771*J772-J773</f>
        <v>128.0987136</v>
      </c>
      <c r="K774" s="41" t="n">
        <f aca="false">K771*K772-K773</f>
        <v>153.71845632</v>
      </c>
      <c r="L774" s="41" t="n">
        <f aca="false">L771*L772-L773</f>
        <v>184.462147584</v>
      </c>
      <c r="M774" s="41" t="n">
        <f aca="false">M771*M772-M773</f>
        <v>221.3545771008</v>
      </c>
    </row>
    <row r="775" customFormat="false" ht="15" hidden="false" customHeight="false" outlineLevel="0" collapsed="false">
      <c r="A775" s="9" t="s">
        <v>291</v>
      </c>
      <c r="C775" s="36" t="n">
        <f aca="false">C771*a_da</f>
        <v>6.6</v>
      </c>
      <c r="D775" s="36" t="n">
        <f aca="false">D771*a_da</f>
        <v>5.148</v>
      </c>
      <c r="E775" s="36" t="n">
        <f aca="false">E771*a_da</f>
        <v>6.1776</v>
      </c>
      <c r="F775" s="36" t="n">
        <f aca="false">F771*a_da</f>
        <v>7.41312</v>
      </c>
      <c r="G775" s="36" t="n">
        <f aca="false">G771*a_da</f>
        <v>8.895744</v>
      </c>
      <c r="H775" s="36" t="n">
        <f aca="false">H771*a_da</f>
        <v>10.6748928</v>
      </c>
      <c r="I775" s="36" t="n">
        <f aca="false">I771*a_da</f>
        <v>12.80987136</v>
      </c>
      <c r="J775" s="36" t="n">
        <f aca="false">J771*a_da</f>
        <v>15.371845632</v>
      </c>
      <c r="K775" s="36" t="n">
        <f aca="false">K771*a_da</f>
        <v>18.4462147584</v>
      </c>
      <c r="L775" s="36" t="n">
        <f aca="false">L771*a_da</f>
        <v>22.13545771008</v>
      </c>
      <c r="M775" s="36" t="n">
        <f aca="false">M771*a_da</f>
        <v>26.562549252096</v>
      </c>
    </row>
    <row r="776" customFormat="false" ht="15" hidden="false" customHeight="false" outlineLevel="0" collapsed="false">
      <c r="A776" s="9" t="s">
        <v>292</v>
      </c>
      <c r="C776" s="36" t="n">
        <f aca="false">C774-C775</f>
        <v>-6.6</v>
      </c>
      <c r="D776" s="36" t="n">
        <f aca="false">D774-D775</f>
        <v>-40.458</v>
      </c>
      <c r="E776" s="36" t="n">
        <f aca="false">E774-E775</f>
        <v>14.4144</v>
      </c>
      <c r="F776" s="36" t="n">
        <f aca="false">F774-F775</f>
        <v>29.65248</v>
      </c>
      <c r="G776" s="36" t="n">
        <f aca="false">G774-G775</f>
        <v>50.409216</v>
      </c>
      <c r="H776" s="36" t="n">
        <f aca="false">H774-H775</f>
        <v>78.2825472</v>
      </c>
      <c r="I776" s="36" t="n">
        <f aca="false">I774-I775</f>
        <v>93.93905664</v>
      </c>
      <c r="J776" s="36" t="n">
        <f aca="false">J774-J775</f>
        <v>112.726867968</v>
      </c>
      <c r="K776" s="36" t="n">
        <f aca="false">K774-K775</f>
        <v>135.2722415616</v>
      </c>
      <c r="L776" s="36" t="n">
        <f aca="false">L774-L775</f>
        <v>162.32668987392</v>
      </c>
      <c r="M776" s="36" t="n">
        <f aca="false">M774-M775</f>
        <v>194.792027848704</v>
      </c>
    </row>
    <row r="777" customFormat="false" ht="15" hidden="false" customHeight="false" outlineLevel="0" collapsed="false">
      <c r="A777" s="9" t="s">
        <v>293</v>
      </c>
      <c r="C777" s="36" t="n">
        <f aca="false">MAX(0,C776)*a_tax</f>
        <v>0</v>
      </c>
      <c r="D777" s="36" t="n">
        <f aca="false">MAX(0,D776)*a_tax</f>
        <v>0</v>
      </c>
      <c r="E777" s="36" t="n">
        <f aca="false">MAX(0,E776)*a_tax</f>
        <v>3.6036</v>
      </c>
      <c r="F777" s="36" t="n">
        <f aca="false">MAX(0,F776)*a_tax</f>
        <v>7.41312</v>
      </c>
      <c r="G777" s="36" t="n">
        <f aca="false">MAX(0,G776)*a_tax</f>
        <v>12.602304</v>
      </c>
      <c r="H777" s="36" t="n">
        <f aca="false">MAX(0,H776)*a_tax</f>
        <v>19.5706368</v>
      </c>
      <c r="I777" s="36" t="n">
        <f aca="false">MAX(0,I776)*a_tax</f>
        <v>23.48476416</v>
      </c>
      <c r="J777" s="36" t="n">
        <f aca="false">MAX(0,J776)*a_tax</f>
        <v>28.181716992</v>
      </c>
      <c r="K777" s="36" t="n">
        <f aca="false">MAX(0,K776)*a_tax</f>
        <v>33.8180603904</v>
      </c>
      <c r="L777" s="36" t="n">
        <f aca="false">MAX(0,L776)*a_tax</f>
        <v>40.58167246848</v>
      </c>
      <c r="M777" s="36" t="n">
        <f aca="false">MAX(0,M776)*a_tax</f>
        <v>48.698006962176</v>
      </c>
    </row>
    <row r="778" customFormat="false" ht="15" hidden="false" customHeight="false" outlineLevel="0" collapsed="false">
      <c r="A778" s="4" t="s">
        <v>294</v>
      </c>
      <c r="C778" s="42" t="n">
        <f aca="false">cf_lim_pat</f>
        <v>0</v>
      </c>
      <c r="D778" s="41" t="n">
        <f aca="false">D776-D777</f>
        <v>-40.458</v>
      </c>
      <c r="E778" s="41" t="n">
        <f aca="false">E776-E777</f>
        <v>10.8108</v>
      </c>
      <c r="F778" s="41" t="n">
        <f aca="false">F776-F777</f>
        <v>22.23936</v>
      </c>
      <c r="G778" s="41" t="n">
        <f aca="false">G776-G777</f>
        <v>37.806912</v>
      </c>
      <c r="H778" s="41" t="n">
        <f aca="false">H776-H777</f>
        <v>58.7119104</v>
      </c>
      <c r="I778" s="41" t="n">
        <f aca="false">I776-I777</f>
        <v>70.45429248</v>
      </c>
      <c r="J778" s="41" t="n">
        <f aca="false">J776-J777</f>
        <v>84.545150976</v>
      </c>
      <c r="K778" s="41" t="n">
        <f aca="false">K776-K777</f>
        <v>101.4541811712</v>
      </c>
      <c r="L778" s="41" t="n">
        <f aca="false">L776-L777</f>
        <v>121.74501740544</v>
      </c>
      <c r="M778" s="41" t="n">
        <f aca="false">M776-M777</f>
        <v>146.094020886528</v>
      </c>
    </row>
    <row r="779" customFormat="false" ht="15" hidden="false" customHeight="false" outlineLevel="0" collapsed="false">
      <c r="A779" s="9" t="s">
        <v>295</v>
      </c>
      <c r="C779" s="36" t="n">
        <f aca="false">C771*a_capex</f>
        <v>6.6</v>
      </c>
      <c r="D779" s="36" t="n">
        <f aca="false">D771*a_capex</f>
        <v>5.148</v>
      </c>
      <c r="E779" s="36" t="n">
        <f aca="false">E771*a_capex</f>
        <v>6.1776</v>
      </c>
      <c r="F779" s="36" t="n">
        <f aca="false">F771*a_capex</f>
        <v>7.41312</v>
      </c>
      <c r="G779" s="36" t="n">
        <f aca="false">G771*a_capex</f>
        <v>8.895744</v>
      </c>
      <c r="H779" s="36" t="n">
        <f aca="false">H771*a_capex</f>
        <v>10.6748928</v>
      </c>
      <c r="I779" s="36" t="n">
        <f aca="false">I771*a_capex</f>
        <v>12.80987136</v>
      </c>
      <c r="J779" s="36" t="n">
        <f aca="false">J771*a_capex</f>
        <v>15.371845632</v>
      </c>
      <c r="K779" s="36" t="n">
        <f aca="false">K771*a_capex</f>
        <v>18.4462147584</v>
      </c>
      <c r="L779" s="36" t="n">
        <f aca="false">L771*a_capex</f>
        <v>22.13545771008</v>
      </c>
      <c r="M779" s="36" t="n">
        <f aca="false">M771*a_capex</f>
        <v>26.562549252096</v>
      </c>
    </row>
    <row r="780" customFormat="false" ht="15" hidden="false" customHeight="false" outlineLevel="0" collapsed="false">
      <c r="A780" s="9" t="s">
        <v>296</v>
      </c>
      <c r="C780" s="36" t="n">
        <f aca="false">0</f>
        <v>0</v>
      </c>
      <c r="D780" s="36" t="n">
        <f aca="false">a_wc*(D771-C771)</f>
        <v>-2.42</v>
      </c>
      <c r="E780" s="36" t="n">
        <f aca="false">a_wc*(E771-D771)</f>
        <v>1.716</v>
      </c>
      <c r="F780" s="36" t="n">
        <f aca="false">a_wc*(F771-E771)</f>
        <v>2.0592</v>
      </c>
      <c r="G780" s="36" t="n">
        <f aca="false">a_wc*(G771-F771)</f>
        <v>2.47104</v>
      </c>
      <c r="H780" s="36" t="n">
        <f aca="false">a_wc*(H771-G771)</f>
        <v>2.965248</v>
      </c>
      <c r="I780" s="36" t="n">
        <f aca="false">a_wc*(I771-H771)</f>
        <v>3.5582976</v>
      </c>
      <c r="J780" s="36" t="n">
        <f aca="false">a_wc*(J771-I771)</f>
        <v>4.26995712</v>
      </c>
      <c r="K780" s="36" t="n">
        <f aca="false">a_wc*(K771-J771)</f>
        <v>5.123948544</v>
      </c>
      <c r="L780" s="36" t="n">
        <f aca="false">a_wc*(L771-K771)</f>
        <v>6.1487382528</v>
      </c>
      <c r="M780" s="36" t="n">
        <f aca="false">a_wc*(M771-L771)</f>
        <v>7.37848590336</v>
      </c>
    </row>
    <row r="781" customFormat="false" ht="15" hidden="false" customHeight="false" outlineLevel="0" collapsed="false">
      <c r="A781" s="4" t="s">
        <v>297</v>
      </c>
      <c r="C781" s="36" t="n">
        <f aca="false">0</f>
        <v>0</v>
      </c>
      <c r="D781" s="41" t="n">
        <f aca="false">D778+D775-D779-D780</f>
        <v>-38.038</v>
      </c>
      <c r="E781" s="41" t="n">
        <f aca="false">E778+E775-E779-E780</f>
        <v>9.0948</v>
      </c>
      <c r="F781" s="41" t="n">
        <f aca="false">F778+F775-F779-F780</f>
        <v>20.18016</v>
      </c>
      <c r="G781" s="41" t="n">
        <f aca="false">G778+G775-G779-G780</f>
        <v>35.335872</v>
      </c>
      <c r="H781" s="41" t="n">
        <f aca="false">H778+H775-H779-H780</f>
        <v>55.7466624</v>
      </c>
      <c r="I781" s="41" t="n">
        <f aca="false">I778+I775-I779-I780</f>
        <v>66.89599488</v>
      </c>
      <c r="J781" s="41" t="n">
        <f aca="false">J778+J775-J779-J780</f>
        <v>80.275193856</v>
      </c>
      <c r="K781" s="41" t="n">
        <f aca="false">K778+K775-K779-K780</f>
        <v>96.3302326272</v>
      </c>
      <c r="L781" s="41" t="n">
        <f aca="false">L778+L775-L779-L780</f>
        <v>115.59627915264</v>
      </c>
      <c r="M781" s="41" t="n">
        <f aca="false">M778+M775-M779-M780</f>
        <v>138.715534983168</v>
      </c>
    </row>
    <row r="783" customFormat="false" ht="15" hidden="false" customHeight="false" outlineLevel="0" collapsed="false">
      <c r="A783" s="7" t="s">
        <v>656</v>
      </c>
      <c r="B783" s="8"/>
      <c r="C783" s="8"/>
      <c r="D783" s="8"/>
      <c r="E783" s="8"/>
      <c r="F783" s="8"/>
      <c r="G783" s="8"/>
      <c r="H783" s="8"/>
      <c r="I783" s="8"/>
      <c r="J783" s="8"/>
      <c r="K783" s="8"/>
      <c r="L783" s="8"/>
      <c r="M783" s="8"/>
      <c r="N783" s="8"/>
    </row>
    <row r="784" customFormat="false" ht="15" hidden="false" customHeight="false" outlineLevel="0" collapsed="false">
      <c r="A784" s="9" t="s">
        <v>482</v>
      </c>
      <c r="C784" s="35" t="n">
        <f aca="false">lv_mix_eq/(c_price*(1-a_issue_disc))</f>
        <v>1.024</v>
      </c>
    </row>
    <row r="785" customFormat="false" ht="15" hidden="false" customHeight="false" outlineLevel="0" collapsed="false">
      <c r="A785" s="9" t="s">
        <v>449</v>
      </c>
      <c r="C785" s="35" t="n">
        <f aca="false">cf_shares+C784</f>
        <v>65.024</v>
      </c>
    </row>
    <row r="786" customFormat="false" ht="15" hidden="false" customHeight="false" outlineLevel="0" collapsed="false">
      <c r="A786" s="9" t="s">
        <v>483</v>
      </c>
      <c r="C786" s="36" t="n">
        <f aca="false">lv_mix_cash*a_yield*(1-a_tax)+lv_mix_debt*a_kd*(1-a_tax)</f>
        <v>94.5</v>
      </c>
    </row>
    <row r="787" customFormat="false" ht="15" hidden="false" customHeight="false" outlineLevel="0" collapsed="false">
      <c r="A787" s="9" t="s">
        <v>484</v>
      </c>
      <c r="C787" s="36" t="n">
        <f aca="false">lv_price*a_ppa_share/a_ppa_life*(1-a_tax)</f>
        <v>93.75</v>
      </c>
    </row>
    <row r="788" customFormat="false" ht="15" hidden="false" customHeight="false" outlineLevel="0" collapsed="false">
      <c r="A788" s="9" t="s">
        <v>485</v>
      </c>
      <c r="C788" s="36" t="n">
        <f aca="false">a_ppa_on*C787</f>
        <v>0</v>
      </c>
    </row>
    <row r="789" customFormat="false" ht="15" hidden="false" customHeight="false" outlineLevel="0" collapsed="false">
      <c r="A789" s="9" t="s">
        <v>486</v>
      </c>
      <c r="C789" s="36" t="n">
        <f aca="false">lv_price*a_fees_pct+a_integ_full</f>
        <v>160</v>
      </c>
    </row>
    <row r="790" customFormat="false" ht="15" hidden="false" customHeight="false" outlineLevel="0" collapsed="false">
      <c r="A790" s="9" t="s">
        <v>487</v>
      </c>
      <c r="C790" s="36" t="n">
        <f aca="false">0</f>
        <v>0</v>
      </c>
      <c r="D790" s="36" t="n">
        <f aca="false">a_syn_on*(a_syn_partner_rev_y3+a_syn_xsell_y3)*a_mcap*IF(D768=1,a_syn_ramp1,IF(D768=2,a_syn_ramp2,1))+a_syn_on*IF(D768&gt;=2,a_syn_cost,0)</f>
        <v>0</v>
      </c>
      <c r="E790" s="36" t="n">
        <f aca="false">a_syn_on*(a_syn_partner_rev_y3+a_syn_xsell_y3)*a_mcap*IF(E768=1,a_syn_ramp1,IF(E768=2,a_syn_ramp2,1))+a_syn_on*IF(E768&gt;=2,a_syn_cost,0)</f>
        <v>0</v>
      </c>
      <c r="F790" s="36" t="n">
        <f aca="false">a_syn_on*(a_syn_partner_rev_y3+a_syn_xsell_y3)*a_mcap*IF(F768=1,a_syn_ramp1,IF(F768=2,a_syn_ramp2,1))+a_syn_on*IF(F768&gt;=2,a_syn_cost,0)</f>
        <v>0</v>
      </c>
      <c r="G790" s="36" t="n">
        <f aca="false">a_syn_on*(a_syn_partner_rev_y3+a_syn_xsell_y3)*a_mcap*IF(G768=1,a_syn_ramp1,IF(G768=2,a_syn_ramp2,1))+a_syn_on*IF(G768&gt;=2,a_syn_cost,0)</f>
        <v>0</v>
      </c>
      <c r="H790" s="36" t="n">
        <f aca="false">a_syn_on*(a_syn_partner_rev_y3+a_syn_xsell_y3)*a_mcap*IF(H768=1,a_syn_ramp1,IF(H768=2,a_syn_ramp2,1))+a_syn_on*IF(H768&gt;=2,a_syn_cost,0)</f>
        <v>0</v>
      </c>
      <c r="I790" s="36" t="n">
        <f aca="false">a_syn_on*(a_syn_partner_rev_y3+a_syn_xsell_y3)*a_mcap*IF(I768=1,a_syn_ramp1,IF(I768=2,a_syn_ramp2,1))+a_syn_on*IF(I768&gt;=2,a_syn_cost,0)</f>
        <v>0</v>
      </c>
      <c r="J790" s="36" t="n">
        <f aca="false">a_syn_on*(a_syn_partner_rev_y3+a_syn_xsell_y3)*a_mcap*IF(J768=1,a_syn_ramp1,IF(J768=2,a_syn_ramp2,1))+a_syn_on*IF(J768&gt;=2,a_syn_cost,0)</f>
        <v>0</v>
      </c>
      <c r="K790" s="36" t="n">
        <f aca="false">a_syn_on*(a_syn_partner_rev_y3+a_syn_xsell_y3)*a_mcap*IF(K768=1,a_syn_ramp1,IF(K768=2,a_syn_ramp2,1))+a_syn_on*IF(K768&gt;=2,a_syn_cost,0)</f>
        <v>0</v>
      </c>
      <c r="L790" s="36" t="n">
        <f aca="false">a_syn_on*(a_syn_partner_rev_y3+a_syn_xsell_y3)*a_mcap*IF(L768=1,a_syn_ramp1,IF(L768=2,a_syn_ramp2,1))+a_syn_on*IF(L768&gt;=2,a_syn_cost,0)</f>
        <v>0</v>
      </c>
      <c r="M790" s="36" t="n">
        <f aca="false">a_syn_on*(a_syn_partner_rev_y3+a_syn_xsell_y3)*a_mcap*IF(M768=1,a_syn_ramp1,IF(M768=2,a_syn_ramp2,1))+a_syn_on*IF(M768&gt;=2,a_syn_cost,0)</f>
        <v>0</v>
      </c>
    </row>
    <row r="791" customFormat="false" ht="15" hidden="false" customHeight="false" outlineLevel="0" collapsed="false">
      <c r="A791" s="9" t="s">
        <v>488</v>
      </c>
      <c r="C791" s="36" t="n">
        <f aca="false">0</f>
        <v>0</v>
      </c>
      <c r="D791" s="36" t="n">
        <f aca="false">CHOOSE(lv_drag_mode,0,0*D771/cf_arr,0*(1-a_tax))</f>
        <v>0</v>
      </c>
      <c r="E791" s="36" t="n">
        <f aca="false">CHOOSE(lv_drag_mode,0,0*E771/cf_arr,0*(1-a_tax))</f>
        <v>0</v>
      </c>
      <c r="F791" s="36" t="n">
        <f aca="false">CHOOSE(lv_drag_mode,0,0*F771/cf_arr,0*(1-a_tax))</f>
        <v>0</v>
      </c>
      <c r="G791" s="36" t="n">
        <f aca="false">CHOOSE(lv_drag_mode,0,0*G771/cf_arr,0*(1-a_tax))</f>
        <v>0</v>
      </c>
      <c r="H791" s="36" t="n">
        <f aca="false">CHOOSE(lv_drag_mode,0,0*H771/cf_arr,0*(1-a_tax))</f>
        <v>0</v>
      </c>
      <c r="I791" s="36" t="n">
        <f aca="false">CHOOSE(lv_drag_mode,0,0*I771/cf_arr,0*(1-a_tax))</f>
        <v>0</v>
      </c>
      <c r="J791" s="36" t="n">
        <f aca="false">CHOOSE(lv_drag_mode,0,0*J771/cf_arr,0*(1-a_tax))</f>
        <v>0</v>
      </c>
      <c r="K791" s="36" t="n">
        <f aca="false">CHOOSE(lv_drag_mode,0,0*K771/cf_arr,0*(1-a_tax))</f>
        <v>0</v>
      </c>
      <c r="L791" s="36" t="n">
        <f aca="false">CHOOSE(lv_drag_mode,0,0*L771/cf_arr,0*(1-a_tax))</f>
        <v>0</v>
      </c>
      <c r="M791" s="36" t="n">
        <f aca="false">CHOOSE(lv_drag_mode,0,0*M771/cf_arr,0*(1-a_tax))</f>
        <v>0</v>
      </c>
    </row>
    <row r="792" customFormat="false" ht="15" hidden="false" customHeight="false" outlineLevel="0" collapsed="false">
      <c r="A792" s="9" t="s">
        <v>489</v>
      </c>
      <c r="C792" s="36" t="n">
        <f aca="false">0</f>
        <v>0</v>
      </c>
      <c r="D792" s="36" t="n">
        <f aca="false">IF(lv_drag_mode=3,0*(1-a_tax),0)</f>
        <v>0</v>
      </c>
      <c r="E792" s="36" t="n">
        <f aca="false">IF(lv_drag_mode=3,0*(1-a_tax),0)</f>
        <v>0</v>
      </c>
      <c r="F792" s="36" t="n">
        <f aca="false">IF(lv_drag_mode=3,0*(1-a_tax),0)</f>
        <v>0</v>
      </c>
      <c r="G792" s="36" t="n">
        <f aca="false">IF(lv_drag_mode=3,0*(1-a_tax),0)</f>
        <v>0</v>
      </c>
      <c r="H792" s="36" t="n">
        <f aca="false">IF(lv_drag_mode=3,0*(1-a_tax),0)</f>
        <v>0</v>
      </c>
      <c r="I792" s="36" t="n">
        <f aca="false">IF(lv_drag_mode=3,0*(1-a_tax),0)</f>
        <v>0</v>
      </c>
      <c r="J792" s="36" t="n">
        <f aca="false">IF(lv_drag_mode=3,0*(1-a_tax),0)</f>
        <v>0</v>
      </c>
      <c r="K792" s="36" t="n">
        <f aca="false">IF(lv_drag_mode=3,0*(1-a_tax),0)</f>
        <v>0</v>
      </c>
      <c r="L792" s="36" t="n">
        <f aca="false">IF(lv_drag_mode=3,0*(1-a_tax),0)</f>
        <v>0</v>
      </c>
      <c r="M792" s="36" t="n">
        <f aca="false">IF(lv_drag_mode=3,0*(1-a_tax),0)</f>
        <v>0</v>
      </c>
    </row>
    <row r="793" customFormat="false" ht="15" hidden="false" customHeight="false" outlineLevel="0" collapsed="false">
      <c r="A793" s="9" t="s">
        <v>490</v>
      </c>
      <c r="C793" s="36" t="n">
        <f aca="false">0</f>
        <v>0</v>
      </c>
      <c r="D793" s="36" t="n">
        <f aca="false">IF(lv_drag_mode=3,0,C793+D791)</f>
        <v>0</v>
      </c>
      <c r="E793" s="36" t="n">
        <f aca="false">IF(lv_drag_mode=3,0,D793+E791)</f>
        <v>0</v>
      </c>
      <c r="F793" s="36" t="n">
        <f aca="false">IF(lv_drag_mode=3,0,E793+F791)</f>
        <v>0</v>
      </c>
      <c r="G793" s="36" t="n">
        <f aca="false">IF(lv_drag_mode=3,0,F793+G791)</f>
        <v>0</v>
      </c>
      <c r="H793" s="36" t="n">
        <f aca="false">IF(lv_drag_mode=3,0,G793+H791)</f>
        <v>0</v>
      </c>
      <c r="I793" s="36" t="n">
        <f aca="false">IF(lv_drag_mode=3,0,H793+I791)</f>
        <v>0</v>
      </c>
      <c r="J793" s="36" t="n">
        <f aca="false">IF(lv_drag_mode=3,0,I793+J791)</f>
        <v>0</v>
      </c>
      <c r="K793" s="36" t="n">
        <f aca="false">IF(lv_drag_mode=3,0,J793+K791)</f>
        <v>0</v>
      </c>
      <c r="L793" s="36" t="n">
        <f aca="false">IF(lv_drag_mode=3,0,K793+L791)</f>
        <v>0</v>
      </c>
      <c r="M793" s="36" t="n">
        <f aca="false">IF(lv_drag_mode=3,0,L793+M791)</f>
        <v>0</v>
      </c>
    </row>
    <row r="794" customFormat="false" ht="15" hidden="false" customHeight="false" outlineLevel="0" collapsed="false">
      <c r="A794" s="9" t="s">
        <v>491</v>
      </c>
      <c r="C794" s="36" t="n">
        <f aca="false">0</f>
        <v>0</v>
      </c>
      <c r="D794" s="36" t="n">
        <f aca="false">C793*a_yield*(1-a_tax)</f>
        <v>0</v>
      </c>
      <c r="E794" s="36" t="n">
        <f aca="false">D793*a_yield*(1-a_tax)</f>
        <v>0</v>
      </c>
      <c r="F794" s="36" t="n">
        <f aca="false">E793*a_yield*(1-a_tax)</f>
        <v>0</v>
      </c>
      <c r="G794" s="36" t="n">
        <f aca="false">F793*a_yield*(1-a_tax)</f>
        <v>0</v>
      </c>
      <c r="H794" s="36" t="n">
        <f aca="false">G793*a_yield*(1-a_tax)</f>
        <v>0</v>
      </c>
      <c r="I794" s="36" t="n">
        <f aca="false">H793*a_yield*(1-a_tax)</f>
        <v>0</v>
      </c>
      <c r="J794" s="36" t="n">
        <f aca="false">I793*a_yield*(1-a_tax)</f>
        <v>0</v>
      </c>
      <c r="K794" s="36" t="n">
        <f aca="false">J793*a_yield*(1-a_tax)</f>
        <v>0</v>
      </c>
      <c r="L794" s="36" t="n">
        <f aca="false">K793*a_yield*(1-a_tax)</f>
        <v>0</v>
      </c>
      <c r="M794" s="36" t="n">
        <f aca="false">L793*a_yield*(1-a_tax)</f>
        <v>0</v>
      </c>
    </row>
    <row r="795" customFormat="false" ht="15" hidden="false" customHeight="false" outlineLevel="0" collapsed="false">
      <c r="A795" s="9" t="s">
        <v>492</v>
      </c>
      <c r="C795" s="36" t="n">
        <f aca="false">cf_pat</f>
        <v>480</v>
      </c>
      <c r="D795" s="36" t="n">
        <f aca="false">cf_pat*(1+a_pat_growth)^D768</f>
        <v>480</v>
      </c>
      <c r="E795" s="36" t="n">
        <f aca="false">cf_pat*(1+a_pat_growth)^E768</f>
        <v>480</v>
      </c>
      <c r="F795" s="36" t="n">
        <f aca="false">cf_pat*(1+a_pat_growth)^F768</f>
        <v>480</v>
      </c>
      <c r="G795" s="36" t="n">
        <f aca="false">cf_pat*(1+a_pat_growth)^G768</f>
        <v>480</v>
      </c>
      <c r="H795" s="36" t="n">
        <f aca="false">cf_pat*(1+a_pat_growth)^H768</f>
        <v>480</v>
      </c>
      <c r="I795" s="36" t="n">
        <f aca="false">cf_pat*(1+a_pat_growth)^I768</f>
        <v>480</v>
      </c>
      <c r="J795" s="36" t="n">
        <f aca="false">cf_pat*(1+a_pat_growth)^J768</f>
        <v>480</v>
      </c>
      <c r="K795" s="36" t="n">
        <f aca="false">cf_pat*(1+a_pat_growth)^K768</f>
        <v>480</v>
      </c>
      <c r="L795" s="36" t="n">
        <f aca="false">cf_pat*(1+a_pat_growth)^L768</f>
        <v>480</v>
      </c>
      <c r="M795" s="36" t="n">
        <f aca="false">cf_pat*(1+a_pat_growth)^M768</f>
        <v>480</v>
      </c>
    </row>
    <row r="796" customFormat="false" ht="15" hidden="false" customHeight="false" outlineLevel="0" collapsed="false">
      <c r="A796" s="9" t="s">
        <v>493</v>
      </c>
      <c r="C796" s="36" t="n">
        <f aca="false">0</f>
        <v>0</v>
      </c>
      <c r="D796" s="36" t="n">
        <f aca="false">cf_mdr*a_mdr_flow*(1-a_tax)</f>
        <v>69</v>
      </c>
      <c r="E796" s="36" t="n">
        <f aca="false">cf_mdr*a_mdr_flow*(1-a_tax)</f>
        <v>69</v>
      </c>
      <c r="F796" s="36" t="n">
        <f aca="false">cf_mdr*a_mdr_flow*(1-a_tax)</f>
        <v>69</v>
      </c>
      <c r="G796" s="36" t="n">
        <f aca="false">cf_mdr*a_mdr_flow*(1-a_tax)</f>
        <v>69</v>
      </c>
      <c r="H796" s="36" t="n">
        <f aca="false">cf_mdr*a_mdr_flow*(1-a_tax)</f>
        <v>69</v>
      </c>
      <c r="I796" s="36" t="n">
        <f aca="false">cf_mdr*a_mdr_flow*(1-a_tax)</f>
        <v>69</v>
      </c>
      <c r="J796" s="36" t="n">
        <f aca="false">cf_mdr*a_mdr_flow*(1-a_tax)</f>
        <v>69</v>
      </c>
      <c r="K796" s="36" t="n">
        <f aca="false">cf_mdr*a_mdr_flow*(1-a_tax)</f>
        <v>69</v>
      </c>
      <c r="L796" s="36" t="n">
        <f aca="false">cf_mdr*a_mdr_flow*(1-a_tax)</f>
        <v>69</v>
      </c>
      <c r="M796" s="36" t="n">
        <f aca="false">cf_mdr*a_mdr_flow*(1-a_tax)</f>
        <v>69</v>
      </c>
    </row>
    <row r="797" customFormat="false" ht="15" hidden="false" customHeight="false" outlineLevel="0" collapsed="false">
      <c r="A797" s="9" t="s">
        <v>494</v>
      </c>
      <c r="C797" s="50" t="n">
        <f aca="false">cf_eps</f>
        <v>7.5</v>
      </c>
      <c r="D797" s="50" t="n">
        <f aca="false">D795/cf_shares</f>
        <v>7.5</v>
      </c>
      <c r="E797" s="50" t="n">
        <f aca="false">E795/cf_shares</f>
        <v>7.5</v>
      </c>
      <c r="F797" s="50" t="n">
        <f aca="false">F795/cf_shares</f>
        <v>7.5</v>
      </c>
      <c r="G797" s="50" t="n">
        <f aca="false">G795/cf_shares</f>
        <v>7.5</v>
      </c>
      <c r="H797" s="50" t="n">
        <f aca="false">H795/cf_shares</f>
        <v>7.5</v>
      </c>
      <c r="I797" s="50" t="n">
        <f aca="false">I795/cf_shares</f>
        <v>7.5</v>
      </c>
      <c r="J797" s="50" t="n">
        <f aca="false">J795/cf_shares</f>
        <v>7.5</v>
      </c>
      <c r="K797" s="50" t="n">
        <f aca="false">K795/cf_shares</f>
        <v>7.5</v>
      </c>
      <c r="L797" s="50" t="n">
        <f aca="false">L795/cf_shares</f>
        <v>7.5</v>
      </c>
      <c r="M797" s="50" t="n">
        <f aca="false">M795/cf_shares</f>
        <v>7.5</v>
      </c>
    </row>
    <row r="798" customFormat="false" ht="15" hidden="false" customHeight="false" outlineLevel="0" collapsed="false">
      <c r="A798" s="9" t="s">
        <v>495</v>
      </c>
      <c r="C798" s="50" t="n">
        <f aca="false">cf_eps</f>
        <v>7.5</v>
      </c>
      <c r="D798" s="50" t="n">
        <f aca="false">(D795+D796)/cf_shares</f>
        <v>8.578125</v>
      </c>
      <c r="E798" s="50" t="n">
        <f aca="false">(E795+E796)/cf_shares</f>
        <v>8.578125</v>
      </c>
      <c r="F798" s="50" t="n">
        <f aca="false">(F795+F796)/cf_shares</f>
        <v>8.578125</v>
      </c>
      <c r="G798" s="50" t="n">
        <f aca="false">(G795+G796)/cf_shares</f>
        <v>8.578125</v>
      </c>
      <c r="H798" s="50" t="n">
        <f aca="false">(H795+H796)/cf_shares</f>
        <v>8.578125</v>
      </c>
      <c r="I798" s="50" t="n">
        <f aca="false">(I795+I796)/cf_shares</f>
        <v>8.578125</v>
      </c>
      <c r="J798" s="50" t="n">
        <f aca="false">(J795+J796)/cf_shares</f>
        <v>8.578125</v>
      </c>
      <c r="K798" s="50" t="n">
        <f aca="false">(K795+K796)/cf_shares</f>
        <v>8.578125</v>
      </c>
      <c r="L798" s="50" t="n">
        <f aca="false">(L795+L796)/cf_shares</f>
        <v>8.578125</v>
      </c>
      <c r="M798" s="50" t="n">
        <f aca="false">(M795+M796)/cf_shares</f>
        <v>8.578125</v>
      </c>
    </row>
    <row r="799" customFormat="false" ht="15" hidden="false" customHeight="false" outlineLevel="0" collapsed="false">
      <c r="A799" s="4" t="s">
        <v>496</v>
      </c>
      <c r="C799" s="41" t="n">
        <f aca="false">-C786-C788</f>
        <v>-94.5</v>
      </c>
      <c r="D799" s="41" t="n">
        <f aca="false">D778+D790*(1-a_tax)-C786-C788-D792-D794</f>
        <v>-134.958</v>
      </c>
      <c r="E799" s="41" t="n">
        <f aca="false">E778+E790*(1-a_tax)-C786-C788-E792-E794</f>
        <v>-83.6892</v>
      </c>
      <c r="F799" s="41" t="n">
        <f aca="false">F778+F790*(1-a_tax)-C786-C788-F792-F794</f>
        <v>-72.26064</v>
      </c>
      <c r="G799" s="41" t="n">
        <f aca="false">G778+G790*(1-a_tax)-C786-C788-G792-G794</f>
        <v>-56.693088</v>
      </c>
      <c r="H799" s="41" t="n">
        <f aca="false">H778+H790*(1-a_tax)-C786-C788-H792-H794</f>
        <v>-35.7880896</v>
      </c>
      <c r="I799" s="41" t="n">
        <f aca="false">I778+I790*(1-a_tax)-C786-C788-I792-I794</f>
        <v>-24.04570752</v>
      </c>
      <c r="J799" s="41" t="n">
        <f aca="false">J778+J790*(1-a_tax)-C786-C788-J792-J794</f>
        <v>-9.954849024</v>
      </c>
      <c r="K799" s="41" t="n">
        <f aca="false">K778+K790*(1-a_tax)-C786-C788-K792-K794</f>
        <v>6.95418117119998</v>
      </c>
      <c r="L799" s="41" t="n">
        <f aca="false">L778+L790*(1-a_tax)-C786-C788-L792-L794</f>
        <v>27.24501740544</v>
      </c>
      <c r="M799" s="41" t="n">
        <f aca="false">M778+M790*(1-a_tax)-C786-C788-M792-M794</f>
        <v>51.594020886528</v>
      </c>
    </row>
    <row r="800" customFormat="false" ht="15" hidden="false" customHeight="false" outlineLevel="0" collapsed="false">
      <c r="A800" s="9" t="s">
        <v>497</v>
      </c>
      <c r="C800" s="36" t="n">
        <f aca="false">C795+C799</f>
        <v>385.5</v>
      </c>
      <c r="D800" s="36" t="n">
        <f aca="false">D795+D799</f>
        <v>345.042</v>
      </c>
      <c r="E800" s="36" t="n">
        <f aca="false">E795+E799</f>
        <v>396.3108</v>
      </c>
      <c r="F800" s="36" t="n">
        <f aca="false">F795+F799</f>
        <v>407.73936</v>
      </c>
      <c r="G800" s="36" t="n">
        <f aca="false">G795+G799</f>
        <v>423.306912</v>
      </c>
      <c r="H800" s="36" t="n">
        <f aca="false">H795+H799</f>
        <v>444.2119104</v>
      </c>
      <c r="I800" s="36" t="n">
        <f aca="false">I795+I799</f>
        <v>455.95429248</v>
      </c>
      <c r="J800" s="36" t="n">
        <f aca="false">J795+J799</f>
        <v>470.045150976</v>
      </c>
      <c r="K800" s="36" t="n">
        <f aca="false">K795+K799</f>
        <v>486.9541811712</v>
      </c>
      <c r="L800" s="36" t="n">
        <f aca="false">L795+L799</f>
        <v>507.24501740544</v>
      </c>
      <c r="M800" s="36" t="n">
        <f aca="false">M795+M799</f>
        <v>531.594020886528</v>
      </c>
    </row>
    <row r="801" customFormat="false" ht="15" hidden="false" customHeight="false" outlineLevel="0" collapsed="false">
      <c r="A801" s="4" t="s">
        <v>498</v>
      </c>
      <c r="C801" s="48" t="n">
        <f aca="false">C800/C785</f>
        <v>5.92858021653543</v>
      </c>
      <c r="D801" s="48" t="n">
        <f aca="false">D800/C785</f>
        <v>5.30637918307087</v>
      </c>
      <c r="E801" s="48" t="n">
        <f aca="false">E800/C785</f>
        <v>6.09483882874016</v>
      </c>
      <c r="F801" s="48" t="n">
        <f aca="false">F800/C785</f>
        <v>6.27059793307087</v>
      </c>
      <c r="G801" s="48" t="n">
        <f aca="false">G800/C785</f>
        <v>6.51001033464567</v>
      </c>
      <c r="H801" s="48" t="n">
        <f aca="false">H800/C785</f>
        <v>6.83150698818898</v>
      </c>
      <c r="I801" s="48" t="n">
        <f aca="false">I800/C785</f>
        <v>7.01209234251969</v>
      </c>
      <c r="J801" s="48" t="n">
        <f aca="false">J800/C785</f>
        <v>7.22879476771654</v>
      </c>
      <c r="K801" s="48" t="n">
        <f aca="false">K800/C785</f>
        <v>7.48883767795276</v>
      </c>
      <c r="L801" s="48" t="n">
        <f aca="false">L800/C785</f>
        <v>7.80088917023622</v>
      </c>
      <c r="M801" s="48" t="n">
        <f aca="false">M800/C785</f>
        <v>8.17535096097638</v>
      </c>
    </row>
    <row r="802" customFormat="false" ht="15" hidden="false" customHeight="false" outlineLevel="0" collapsed="false">
      <c r="A802" s="4" t="s">
        <v>499</v>
      </c>
      <c r="C802" s="14" t="n">
        <f aca="false">C801/cf_eps-1</f>
        <v>-0.209522637795276</v>
      </c>
      <c r="D802" s="14" t="n">
        <f aca="false">D801/cf_eps-1</f>
        <v>-0.292482775590551</v>
      </c>
      <c r="E802" s="14" t="n">
        <f aca="false">E801/cf_eps-1</f>
        <v>-0.187354822834646</v>
      </c>
      <c r="F802" s="14" t="n">
        <f aca="false">F801/cf_eps-1</f>
        <v>-0.163920275590551</v>
      </c>
      <c r="G802" s="14" t="n">
        <f aca="false">G801/cf_eps-1</f>
        <v>-0.131998622047244</v>
      </c>
      <c r="H802" s="14" t="n">
        <f aca="false">H801/cf_eps-1</f>
        <v>-0.0891324015748032</v>
      </c>
      <c r="I802" s="14" t="n">
        <f aca="false">I801/cf_eps-1</f>
        <v>-0.0650543543307087</v>
      </c>
      <c r="J802" s="14" t="n">
        <f aca="false">J801/cf_eps-1</f>
        <v>-0.0361606976377953</v>
      </c>
      <c r="K802" s="14" t="n">
        <f aca="false">K801/cf_eps-1</f>
        <v>-0.00148830960629931</v>
      </c>
      <c r="L802" s="14" t="n">
        <f aca="false">L801/cf_eps-1</f>
        <v>0.0401185560314958</v>
      </c>
      <c r="M802" s="14" t="n">
        <f aca="false">M801/cf_eps-1</f>
        <v>0.0900467947968502</v>
      </c>
    </row>
    <row r="803" customFormat="false" ht="15" hidden="false" customHeight="false" outlineLevel="0" collapsed="false">
      <c r="A803" s="9" t="s">
        <v>500</v>
      </c>
      <c r="C803" s="50" t="n">
        <f aca="false">C801</f>
        <v>5.92858021653543</v>
      </c>
      <c r="D803" s="50" t="n">
        <f aca="false">(D800+D796)/C785</f>
        <v>6.36752583661417</v>
      </c>
      <c r="E803" s="50" t="n">
        <f aca="false">(E800+E796)/C785</f>
        <v>7.15598548228346</v>
      </c>
      <c r="F803" s="50" t="n">
        <f aca="false">(F800+F796)/C785</f>
        <v>7.33174458661417</v>
      </c>
      <c r="G803" s="50" t="n">
        <f aca="false">(G800+G796)/C785</f>
        <v>7.57115698818898</v>
      </c>
      <c r="H803" s="50" t="n">
        <f aca="false">(H800+H796)/C785</f>
        <v>7.89265364173228</v>
      </c>
      <c r="I803" s="50" t="n">
        <f aca="false">(I800+I796)/C785</f>
        <v>8.07323899606299</v>
      </c>
      <c r="J803" s="50" t="n">
        <f aca="false">(J800+J796)/C785</f>
        <v>8.28994142125984</v>
      </c>
      <c r="K803" s="50" t="n">
        <f aca="false">(K800+K796)/C785</f>
        <v>8.54998433149606</v>
      </c>
      <c r="L803" s="50" t="n">
        <f aca="false">(L800+L796)/C785</f>
        <v>8.86203582377953</v>
      </c>
      <c r="M803" s="50" t="n">
        <f aca="false">(M800+M796)/C785</f>
        <v>9.23649761451968</v>
      </c>
    </row>
    <row r="804" customFormat="false" ht="15" hidden="false" customHeight="false" outlineLevel="0" collapsed="false">
      <c r="A804" s="9" t="s">
        <v>501</v>
      </c>
      <c r="C804" s="18" t="n">
        <f aca="false">C802</f>
        <v>-0.209522637795276</v>
      </c>
      <c r="D804" s="18" t="n">
        <f aca="false">D803/D798-1</f>
        <v>-0.257701906114195</v>
      </c>
      <c r="E804" s="18" t="n">
        <f aca="false">E803/E798-1</f>
        <v>-0.165786756163676</v>
      </c>
      <c r="F804" s="18" t="n">
        <f aca="false">F803/F798-1</f>
        <v>-0.145297534529495</v>
      </c>
      <c r="G804" s="18" t="n">
        <f aca="false">G803/G798-1</f>
        <v>-0.11738789208726</v>
      </c>
      <c r="H804" s="18" t="n">
        <f aca="false">H803/H798-1</f>
        <v>-0.0799092293791146</v>
      </c>
      <c r="I804" s="18" t="n">
        <f aca="false">I803/I798-1</f>
        <v>-0.0588573847941138</v>
      </c>
      <c r="J804" s="18" t="n">
        <f aca="false">J803/J798-1</f>
        <v>-0.033595171292113</v>
      </c>
      <c r="K804" s="18" t="n">
        <f aca="false">K803/K798-1</f>
        <v>-0.00328051508971239</v>
      </c>
      <c r="L804" s="18" t="n">
        <f aca="false">L803/L798-1</f>
        <v>0.0330970723531689</v>
      </c>
      <c r="M804" s="18" t="n">
        <f aca="false">M803/M798-1</f>
        <v>0.0767501772846262</v>
      </c>
    </row>
    <row r="805" customFormat="false" ht="15" hidden="false" customHeight="false" outlineLevel="0" collapsed="false">
      <c r="A805" s="9" t="s">
        <v>502</v>
      </c>
      <c r="C805" s="50" t="n">
        <f aca="false">(C800+C788)/C785</f>
        <v>5.92858021653543</v>
      </c>
      <c r="D805" s="50" t="n">
        <f aca="false">(D800+C788)/C785</f>
        <v>5.30637918307087</v>
      </c>
      <c r="E805" s="50" t="n">
        <f aca="false">(E800+C788)/C785</f>
        <v>6.09483882874016</v>
      </c>
      <c r="F805" s="50" t="n">
        <f aca="false">(F800+C788)/C785</f>
        <v>6.27059793307087</v>
      </c>
      <c r="G805" s="50" t="n">
        <f aca="false">(G800+C788)/C785</f>
        <v>6.51001033464567</v>
      </c>
      <c r="H805" s="50" t="n">
        <f aca="false">(H800+C788)/C785</f>
        <v>6.83150698818898</v>
      </c>
      <c r="I805" s="50" t="n">
        <f aca="false">(I800+C788)/C785</f>
        <v>7.01209234251969</v>
      </c>
      <c r="J805" s="50" t="n">
        <f aca="false">(J800+C788)/C785</f>
        <v>7.22879476771654</v>
      </c>
      <c r="K805" s="50" t="n">
        <f aca="false">(K800+C788)/C785</f>
        <v>7.48883767795276</v>
      </c>
      <c r="L805" s="50" t="n">
        <f aca="false">(L800+C788)/C785</f>
        <v>7.80088917023622</v>
      </c>
      <c r="M805" s="50" t="n">
        <f aca="false">(M800+C788)/C785</f>
        <v>8.17535096097638</v>
      </c>
    </row>
    <row r="806" customFormat="false" ht="15" hidden="false" customHeight="false" outlineLevel="0" collapsed="false">
      <c r="A806" s="9" t="s">
        <v>503</v>
      </c>
      <c r="C806" s="50" t="n">
        <f aca="false">(C800-C787+C788)/C785</f>
        <v>4.48680487204724</v>
      </c>
      <c r="D806" s="50" t="n">
        <f aca="false">(D800-C787+C788)/C785</f>
        <v>3.86460383858268</v>
      </c>
      <c r="E806" s="50" t="n">
        <f aca="false">(E800-C787+C788)/C785</f>
        <v>4.65306348425197</v>
      </c>
      <c r="F806" s="50" t="n">
        <f aca="false">(F800-C787+C788)/C785</f>
        <v>4.82882258858268</v>
      </c>
      <c r="G806" s="50" t="n">
        <f aca="false">(G800-C787+C788)/C785</f>
        <v>5.06823499015748</v>
      </c>
      <c r="H806" s="50" t="n">
        <f aca="false">(H800-C787+C788)/C785</f>
        <v>5.38973164370079</v>
      </c>
      <c r="I806" s="50" t="n">
        <f aca="false">(I800-C787+C788)/C785</f>
        <v>5.5703169980315</v>
      </c>
      <c r="J806" s="50" t="n">
        <f aca="false">(J800-C787+C788)/C785</f>
        <v>5.78701942322835</v>
      </c>
      <c r="K806" s="50" t="n">
        <f aca="false">(K800-C787+C788)/C785</f>
        <v>6.04706233346457</v>
      </c>
      <c r="L806" s="50" t="n">
        <f aca="false">(L800-C787+C788)/C785</f>
        <v>6.35911382574803</v>
      </c>
      <c r="M806" s="50" t="n">
        <f aca="false">(M800-C787+C788)/C785</f>
        <v>6.73357561648819</v>
      </c>
    </row>
    <row r="807" customFormat="false" ht="15" hidden="false" customHeight="false" outlineLevel="0" collapsed="false">
      <c r="A807" s="9" t="s">
        <v>504</v>
      </c>
      <c r="C807" s="50" t="n">
        <f aca="false">C795/C785</f>
        <v>7.38188976377953</v>
      </c>
      <c r="D807" s="50" t="n">
        <f aca="false">D795/C785</f>
        <v>7.38188976377953</v>
      </c>
      <c r="E807" s="50" t="n">
        <f aca="false">E795/C785</f>
        <v>7.38188976377953</v>
      </c>
      <c r="F807" s="50" t="n">
        <f aca="false">F795/C785</f>
        <v>7.38188976377953</v>
      </c>
      <c r="G807" s="50" t="n">
        <f aca="false">G795/C785</f>
        <v>7.38188976377953</v>
      </c>
      <c r="H807" s="50" t="n">
        <f aca="false">H795/C785</f>
        <v>7.38188976377953</v>
      </c>
      <c r="I807" s="50" t="n">
        <f aca="false">I795/C785</f>
        <v>7.38188976377953</v>
      </c>
      <c r="J807" s="50" t="n">
        <f aca="false">J795/C785</f>
        <v>7.38188976377953</v>
      </c>
      <c r="K807" s="50" t="n">
        <f aca="false">K795/C785</f>
        <v>7.38188976377953</v>
      </c>
      <c r="L807" s="50" t="n">
        <f aca="false">L795/C785</f>
        <v>7.38188976377953</v>
      </c>
      <c r="M807" s="50" t="n">
        <f aca="false">M795/C785</f>
        <v>7.38188976377953</v>
      </c>
    </row>
    <row r="808" customFormat="false" ht="15" hidden="false" customHeight="false" outlineLevel="0" collapsed="false">
      <c r="A808" s="9" t="s">
        <v>505</v>
      </c>
      <c r="D808" s="36" t="n">
        <f aca="false">D781+D790*(1-a_tax)-D791-IF(D768=1,C789,0)</f>
        <v>-198.038</v>
      </c>
      <c r="E808" s="36" t="n">
        <f aca="false">E781+E790*(1-a_tax)-E791-IF(E768=1,C789,0)</f>
        <v>9.0948</v>
      </c>
      <c r="F808" s="36" t="n">
        <f aca="false">F781+F790*(1-a_tax)-F791-IF(F768=1,C789,0)</f>
        <v>20.18016</v>
      </c>
      <c r="G808" s="36" t="n">
        <f aca="false">G781+G790*(1-a_tax)-G791-IF(G768=1,C789,0)</f>
        <v>35.335872</v>
      </c>
      <c r="H808" s="36" t="n">
        <f aca="false">H781+H790*(1-a_tax)-H791-IF(H768=1,C789,0)</f>
        <v>55.7466624</v>
      </c>
      <c r="I808" s="36" t="n">
        <f aca="false">I781+I790*(1-a_tax)-I791-IF(I768=1,C789,0)</f>
        <v>66.89599488</v>
      </c>
      <c r="J808" s="36" t="n">
        <f aca="false">J781+J790*(1-a_tax)-J791-IF(J768=1,C789,0)</f>
        <v>80.275193856</v>
      </c>
      <c r="K808" s="36" t="n">
        <f aca="false">K781+K790*(1-a_tax)-K791-IF(K768=1,C789,0)</f>
        <v>96.3302326272</v>
      </c>
      <c r="L808" s="36" t="n">
        <f aca="false">L781+L790*(1-a_tax)-L791-IF(L768=1,C789,0)</f>
        <v>115.59627915264</v>
      </c>
      <c r="M808" s="36" t="n">
        <f aca="false">M781+M790*(1-a_tax)-M791-IF(M768=1,C789,0)</f>
        <v>138.715534983168</v>
      </c>
    </row>
    <row r="809" customFormat="false" ht="15" hidden="false" customHeight="false" outlineLevel="0" collapsed="false">
      <c r="A809" s="4" t="s">
        <v>506</v>
      </c>
      <c r="D809" s="41" t="n">
        <f aca="false">D808-C786</f>
        <v>-292.538</v>
      </c>
      <c r="E809" s="41" t="n">
        <f aca="false">E808-C786</f>
        <v>-85.4052</v>
      </c>
      <c r="F809" s="41" t="n">
        <f aca="false">F808-C786</f>
        <v>-74.31984</v>
      </c>
      <c r="G809" s="41" t="n">
        <f aca="false">G808-C786</f>
        <v>-59.164128</v>
      </c>
      <c r="H809" s="41" t="n">
        <f aca="false">H808-C786</f>
        <v>-38.7533376</v>
      </c>
      <c r="I809" s="41" t="n">
        <f aca="false">I808-C786</f>
        <v>-27.60400512</v>
      </c>
      <c r="J809" s="41" t="n">
        <f aca="false">J808-C786</f>
        <v>-14.224806144</v>
      </c>
      <c r="K809" s="41" t="n">
        <f aca="false">K808-C786</f>
        <v>1.83023262719996</v>
      </c>
      <c r="L809" s="41" t="n">
        <f aca="false">L808-C786</f>
        <v>21.09627915264</v>
      </c>
      <c r="M809" s="41" t="n">
        <f aca="false">M808-C786</f>
        <v>44.215534983168</v>
      </c>
    </row>
    <row r="810" customFormat="false" ht="15" hidden="false" customHeight="false" outlineLevel="0" collapsed="false">
      <c r="A810" s="9" t="s">
        <v>507</v>
      </c>
      <c r="C810" s="36" t="n">
        <f aca="false">0</f>
        <v>0</v>
      </c>
      <c r="D810" s="36" t="n">
        <f aca="false">D796</f>
        <v>69</v>
      </c>
      <c r="E810" s="36" t="n">
        <f aca="false">E796</f>
        <v>69</v>
      </c>
      <c r="F810" s="36" t="n">
        <f aca="false">F796</f>
        <v>69</v>
      </c>
      <c r="G810" s="36" t="n">
        <f aca="false">G796</f>
        <v>69</v>
      </c>
      <c r="H810" s="36" t="n">
        <f aca="false">H796</f>
        <v>69</v>
      </c>
      <c r="I810" s="36" t="n">
        <f aca="false">I796</f>
        <v>69</v>
      </c>
      <c r="J810" s="36" t="n">
        <f aca="false">J796</f>
        <v>69</v>
      </c>
      <c r="K810" s="36" t="n">
        <f aca="false">K796</f>
        <v>69</v>
      </c>
      <c r="L810" s="36" t="n">
        <f aca="false">L796</f>
        <v>69</v>
      </c>
      <c r="M810" s="36" t="n">
        <f aca="false">M796</f>
        <v>69</v>
      </c>
    </row>
    <row r="811" customFormat="false" ht="15" hidden="false" customHeight="false" outlineLevel="0" collapsed="false">
      <c r="A811" s="9" t="s">
        <v>508</v>
      </c>
      <c r="D811" s="36" t="n">
        <f aca="false">D809+D810</f>
        <v>-223.538</v>
      </c>
      <c r="E811" s="36" t="n">
        <f aca="false">E809+E810</f>
        <v>-16.4052</v>
      </c>
      <c r="F811" s="36" t="n">
        <f aca="false">F809+F810</f>
        <v>-5.31984</v>
      </c>
      <c r="G811" s="36" t="n">
        <f aca="false">G809+G810</f>
        <v>9.835872</v>
      </c>
      <c r="H811" s="36" t="n">
        <f aca="false">H809+H810</f>
        <v>30.2466624</v>
      </c>
      <c r="I811" s="36" t="n">
        <f aca="false">I809+I810</f>
        <v>41.39599488</v>
      </c>
      <c r="J811" s="36" t="n">
        <f aca="false">J809+J810</f>
        <v>54.775193856</v>
      </c>
      <c r="K811" s="36" t="n">
        <f aca="false">K809+K810</f>
        <v>70.8302326272</v>
      </c>
      <c r="L811" s="36" t="n">
        <f aca="false">L809+L810</f>
        <v>90.09627915264</v>
      </c>
      <c r="M811" s="36" t="n">
        <f aca="false">M809+M810</f>
        <v>113.215534983168</v>
      </c>
    </row>
    <row r="812" customFormat="false" ht="15" hidden="false" customHeight="false" outlineLevel="0" collapsed="false">
      <c r="A812" s="9" t="s">
        <v>509</v>
      </c>
      <c r="D812" s="36" t="n">
        <f aca="false">IF(lv_mdr_in_deal=1,D811,D809)</f>
        <v>-292.538</v>
      </c>
      <c r="E812" s="36" t="n">
        <f aca="false">IF(lv_mdr_in_deal=1,E811,E809)</f>
        <v>-85.4052</v>
      </c>
      <c r="F812" s="36" t="n">
        <f aca="false">IF(lv_mdr_in_deal=1,F811,F809)</f>
        <v>-74.31984</v>
      </c>
      <c r="G812" s="36" t="n">
        <f aca="false">IF(lv_mdr_in_deal=1,G811,G809)</f>
        <v>-59.164128</v>
      </c>
      <c r="H812" s="36" t="n">
        <f aca="false">IF(lv_mdr_in_deal=1,H811,H809)</f>
        <v>-38.7533376</v>
      </c>
      <c r="I812" s="36" t="n">
        <f aca="false">IF(lv_mdr_in_deal=1,I811,I809)</f>
        <v>-27.60400512</v>
      </c>
      <c r="J812" s="36" t="n">
        <f aca="false">IF(lv_mdr_in_deal=1,J811,J809)</f>
        <v>-14.224806144</v>
      </c>
      <c r="K812" s="36" t="n">
        <f aca="false">IF(lv_mdr_in_deal=1,K811,K809)</f>
        <v>1.83023262719996</v>
      </c>
      <c r="L812" s="36" t="n">
        <f aca="false">IF(lv_mdr_in_deal=1,L811,L809)</f>
        <v>21.09627915264</v>
      </c>
      <c r="M812" s="36" t="n">
        <f aca="false">IF(lv_mdr_in_deal=1,M811,M809)</f>
        <v>44.215534983168</v>
      </c>
    </row>
    <row r="813" customFormat="false" ht="15" hidden="false" customHeight="false" outlineLevel="0" collapsed="false">
      <c r="A813" s="9" t="s">
        <v>510</v>
      </c>
      <c r="C813" s="36" t="n">
        <f aca="false">-lv_price</f>
        <v>-4000</v>
      </c>
      <c r="D813" s="36" t="n">
        <f aca="false">C813+D812</f>
        <v>-4292.538</v>
      </c>
      <c r="E813" s="36" t="n">
        <f aca="false">D813+E812</f>
        <v>-4377.9432</v>
      </c>
      <c r="F813" s="36" t="n">
        <f aca="false">E813+F812</f>
        <v>-4452.26304</v>
      </c>
      <c r="G813" s="36" t="n">
        <f aca="false">F813+G812</f>
        <v>-4511.427168</v>
      </c>
      <c r="H813" s="36" t="n">
        <f aca="false">G813+H812</f>
        <v>-4550.1805056</v>
      </c>
      <c r="I813" s="36" t="n">
        <f aca="false">H813+I812</f>
        <v>-4577.78451072</v>
      </c>
      <c r="J813" s="36" t="n">
        <f aca="false">I813+J812</f>
        <v>-4592.009316864</v>
      </c>
      <c r="K813" s="36" t="n">
        <f aca="false">J813+K812</f>
        <v>-4590.1790842368</v>
      </c>
      <c r="L813" s="36" t="n">
        <f aca="false">K813+L812</f>
        <v>-4569.08280508416</v>
      </c>
      <c r="M813" s="36" t="n">
        <f aca="false">L813+M812</f>
        <v>-4524.86727010099</v>
      </c>
    </row>
    <row r="814" customFormat="false" ht="15" hidden="false" customHeight="false" outlineLevel="0" collapsed="false">
      <c r="A814" s="9" t="s">
        <v>511</v>
      </c>
      <c r="C814" s="43" t="n">
        <f aca="false">1</f>
        <v>1</v>
      </c>
      <c r="D814" s="43" t="n">
        <f aca="false">1/(1+lv_wacc)^D768</f>
        <v>0.884955752212389</v>
      </c>
      <c r="E814" s="43" t="n">
        <f aca="false">1/(1+lv_wacc)^E768</f>
        <v>0.783146683373796</v>
      </c>
      <c r="F814" s="43" t="n">
        <f aca="false">1/(1+lv_wacc)^F768</f>
        <v>0.693050162277696</v>
      </c>
      <c r="G814" s="43" t="n">
        <f aca="false">1/(1+lv_wacc)^G768</f>
        <v>0.613318727679377</v>
      </c>
      <c r="H814" s="43" t="n">
        <f aca="false">1/(1+lv_wacc)^H768</f>
        <v>0.542759935999449</v>
      </c>
      <c r="I814" s="43" t="n">
        <f aca="false">1/(1+lv_wacc)^I768</f>
        <v>0.48031852743314</v>
      </c>
      <c r="J814" s="43" t="n">
        <f aca="false">1/(1+lv_wacc)^J768</f>
        <v>0.425060643746142</v>
      </c>
      <c r="K814" s="43" t="n">
        <f aca="false">1/(1+lv_wacc)^K768</f>
        <v>0.37615986172225</v>
      </c>
      <c r="L814" s="43" t="n">
        <f aca="false">1/(1+lv_wacc)^L768</f>
        <v>0.332884833382522</v>
      </c>
      <c r="M814" s="43" t="n">
        <f aca="false">1/(1+lv_wacc)^M768</f>
        <v>0.294588348126126</v>
      </c>
    </row>
    <row r="815" customFormat="false" ht="15" hidden="false" customHeight="false" outlineLevel="0" collapsed="false">
      <c r="A815" s="9" t="s">
        <v>512</v>
      </c>
      <c r="C815" s="46" t="n">
        <f aca="false">99</f>
        <v>99</v>
      </c>
      <c r="D815" s="46" t="n">
        <f aca="false">IF(D799&gt;=0,D768,99)</f>
        <v>99</v>
      </c>
      <c r="E815" s="46" t="n">
        <f aca="false">IF(E799&gt;=0,E768,99)</f>
        <v>99</v>
      </c>
      <c r="F815" s="46" t="n">
        <f aca="false">IF(F799&gt;=0,F768,99)</f>
        <v>99</v>
      </c>
      <c r="G815" s="46" t="n">
        <f aca="false">IF(G799&gt;=0,G768,99)</f>
        <v>99</v>
      </c>
      <c r="H815" s="46" t="n">
        <f aca="false">IF(H799&gt;=0,H768,99)</f>
        <v>99</v>
      </c>
      <c r="I815" s="46" t="n">
        <f aca="false">IF(I799&gt;=0,I768,99)</f>
        <v>99</v>
      </c>
      <c r="J815" s="46" t="n">
        <f aca="false">IF(J799&gt;=0,J768,99)</f>
        <v>99</v>
      </c>
      <c r="K815" s="46" t="n">
        <f aca="false">IF(K799&gt;=0,K768,99)</f>
        <v>8</v>
      </c>
      <c r="L815" s="46" t="n">
        <f aca="false">IF(L799&gt;=0,L768,99)</f>
        <v>9</v>
      </c>
      <c r="M815" s="46" t="n">
        <f aca="false">IF(M799&gt;=0,M768,99)</f>
        <v>10</v>
      </c>
    </row>
    <row r="816" customFormat="false" ht="15" hidden="false" customHeight="false" outlineLevel="0" collapsed="false">
      <c r="A816" s="9" t="s">
        <v>513</v>
      </c>
      <c r="C816" s="46" t="n">
        <f aca="false">99</f>
        <v>99</v>
      </c>
      <c r="D816" s="46" t="n">
        <f aca="false">IF(D799+D796&gt;=0,D768,99)</f>
        <v>99</v>
      </c>
      <c r="E816" s="46" t="n">
        <f aca="false">IF(E799+E796&gt;=0,E768,99)</f>
        <v>99</v>
      </c>
      <c r="F816" s="46" t="n">
        <f aca="false">IF(F799+F796&gt;=0,F768,99)</f>
        <v>99</v>
      </c>
      <c r="G816" s="46" t="n">
        <f aca="false">IF(G799+G796&gt;=0,G768,99)</f>
        <v>4</v>
      </c>
      <c r="H816" s="46" t="n">
        <f aca="false">IF(H799+H796&gt;=0,H768,99)</f>
        <v>5</v>
      </c>
      <c r="I816" s="46" t="n">
        <f aca="false">IF(I799+I796&gt;=0,I768,99)</f>
        <v>6</v>
      </c>
      <c r="J816" s="46" t="n">
        <f aca="false">IF(J799+J796&gt;=0,J768,99)</f>
        <v>7</v>
      </c>
      <c r="K816" s="46" t="n">
        <f aca="false">IF(K799+K796&gt;=0,K768,99)</f>
        <v>8</v>
      </c>
      <c r="L816" s="46" t="n">
        <f aca="false">IF(L799+L796&gt;=0,L768,99)</f>
        <v>9</v>
      </c>
      <c r="M816" s="46" t="n">
        <f aca="false">IF(M799+M796&gt;=0,M768,99)</f>
        <v>10</v>
      </c>
    </row>
    <row r="817" customFormat="false" ht="15" hidden="false" customHeight="false" outlineLevel="0" collapsed="false">
      <c r="A817" s="9" t="s">
        <v>514</v>
      </c>
      <c r="C817" s="46" t="n">
        <f aca="false">99</f>
        <v>99</v>
      </c>
      <c r="D817" s="46" t="n">
        <f aca="false">IF(D809&gt;=0,D768,99)</f>
        <v>99</v>
      </c>
      <c r="E817" s="46" t="n">
        <f aca="false">IF(E809&gt;=0,E768,99)</f>
        <v>99</v>
      </c>
      <c r="F817" s="46" t="n">
        <f aca="false">IF(F809&gt;=0,F768,99)</f>
        <v>99</v>
      </c>
      <c r="G817" s="46" t="n">
        <f aca="false">IF(G809&gt;=0,G768,99)</f>
        <v>99</v>
      </c>
      <c r="H817" s="46" t="n">
        <f aca="false">IF(H809&gt;=0,H768,99)</f>
        <v>99</v>
      </c>
      <c r="I817" s="46" t="n">
        <f aca="false">IF(I809&gt;=0,I768,99)</f>
        <v>99</v>
      </c>
      <c r="J817" s="46" t="n">
        <f aca="false">IF(J809&gt;=0,J768,99)</f>
        <v>99</v>
      </c>
      <c r="K817" s="46" t="n">
        <f aca="false">IF(K809&gt;=0,K768,99)</f>
        <v>8</v>
      </c>
      <c r="L817" s="46" t="n">
        <f aca="false">IF(L809&gt;=0,L768,99)</f>
        <v>9</v>
      </c>
      <c r="M817" s="46" t="n">
        <f aca="false">IF(M809&gt;=0,M768,99)</f>
        <v>10</v>
      </c>
    </row>
    <row r="818" customFormat="false" ht="15" hidden="false" customHeight="false" outlineLevel="0" collapsed="false">
      <c r="A818" s="9" t="s">
        <v>515</v>
      </c>
      <c r="C818" s="46" t="n">
        <f aca="false">99</f>
        <v>99</v>
      </c>
      <c r="D818" s="46" t="n">
        <f aca="false">IF(D811&gt;=0,D768,99)</f>
        <v>99</v>
      </c>
      <c r="E818" s="46" t="n">
        <f aca="false">IF(E811&gt;=0,E768,99)</f>
        <v>99</v>
      </c>
      <c r="F818" s="46" t="n">
        <f aca="false">IF(F811&gt;=0,F768,99)</f>
        <v>99</v>
      </c>
      <c r="G818" s="46" t="n">
        <f aca="false">IF(G811&gt;=0,G768,99)</f>
        <v>4</v>
      </c>
      <c r="H818" s="46" t="n">
        <f aca="false">IF(H811&gt;=0,H768,99)</f>
        <v>5</v>
      </c>
      <c r="I818" s="46" t="n">
        <f aca="false">IF(I811&gt;=0,I768,99)</f>
        <v>6</v>
      </c>
      <c r="J818" s="46" t="n">
        <f aca="false">IF(J811&gt;=0,J768,99)</f>
        <v>7</v>
      </c>
      <c r="K818" s="46" t="n">
        <f aca="false">IF(K811&gt;=0,K768,99)</f>
        <v>8</v>
      </c>
      <c r="L818" s="46" t="n">
        <f aca="false">IF(L811&gt;=0,L768,99)</f>
        <v>9</v>
      </c>
      <c r="M818" s="46" t="n">
        <f aca="false">IF(M811&gt;=0,M768,99)</f>
        <v>10</v>
      </c>
    </row>
    <row r="819" customFormat="false" ht="15" hidden="false" customHeight="false" outlineLevel="0" collapsed="false">
      <c r="A819" s="9" t="s">
        <v>516</v>
      </c>
      <c r="C819" s="46" t="n">
        <f aca="false">99</f>
        <v>99</v>
      </c>
      <c r="D819" s="46" t="n">
        <f aca="false">IF(D813&gt;=0,D768,99)</f>
        <v>99</v>
      </c>
      <c r="E819" s="46" t="n">
        <f aca="false">IF(E813&gt;=0,E768,99)</f>
        <v>99</v>
      </c>
      <c r="F819" s="46" t="n">
        <f aca="false">IF(F813&gt;=0,F768,99)</f>
        <v>99</v>
      </c>
      <c r="G819" s="46" t="n">
        <f aca="false">IF(G813&gt;=0,G768,99)</f>
        <v>99</v>
      </c>
      <c r="H819" s="46" t="n">
        <f aca="false">IF(H813&gt;=0,H768,99)</f>
        <v>99</v>
      </c>
      <c r="I819" s="46" t="n">
        <f aca="false">IF(I813&gt;=0,I768,99)</f>
        <v>99</v>
      </c>
      <c r="J819" s="46" t="n">
        <f aca="false">IF(J813&gt;=0,J768,99)</f>
        <v>99</v>
      </c>
      <c r="K819" s="46" t="n">
        <f aca="false">IF(K813&gt;=0,K768,99)</f>
        <v>99</v>
      </c>
      <c r="L819" s="46" t="n">
        <f aca="false">IF(L813&gt;=0,L768,99)</f>
        <v>99</v>
      </c>
      <c r="M819" s="46" t="n">
        <f aca="false">IF(M813&gt;=0,M768,99)</f>
        <v>99</v>
      </c>
    </row>
    <row r="820" customFormat="false" ht="15" hidden="false" customHeight="false" outlineLevel="0" collapsed="false">
      <c r="A820" s="4" t="s">
        <v>517</v>
      </c>
      <c r="C820" s="23" t="n">
        <f aca="false">MIN(D815:M815)</f>
        <v>8</v>
      </c>
    </row>
    <row r="821" customFormat="false" ht="15" hidden="false" customHeight="false" outlineLevel="0" collapsed="false">
      <c r="A821" s="9" t="s">
        <v>518</v>
      </c>
      <c r="C821" s="46" t="n">
        <f aca="false">MIN(D816:M816)</f>
        <v>4</v>
      </c>
    </row>
    <row r="822" customFormat="false" ht="15" hidden="false" customHeight="false" outlineLevel="0" collapsed="false">
      <c r="A822" s="4" t="s">
        <v>519</v>
      </c>
      <c r="C822" s="23" t="n">
        <f aca="false">MIN(D817:M817)</f>
        <v>8</v>
      </c>
    </row>
    <row r="823" customFormat="false" ht="15" hidden="false" customHeight="false" outlineLevel="0" collapsed="false">
      <c r="A823" s="9" t="s">
        <v>520</v>
      </c>
      <c r="C823" s="46" t="n">
        <f aca="false">MIN(D818:M818)</f>
        <v>4</v>
      </c>
    </row>
    <row r="824" customFormat="false" ht="15" hidden="false" customHeight="false" outlineLevel="0" collapsed="false">
      <c r="A824" s="9" t="s">
        <v>521</v>
      </c>
      <c r="C824" s="46" t="n">
        <f aca="false">MIN(D819:M819)</f>
        <v>99</v>
      </c>
    </row>
    <row r="825" customFormat="false" ht="15" hidden="false" customHeight="false" outlineLevel="0" collapsed="false">
      <c r="A825" s="4" t="s">
        <v>522</v>
      </c>
      <c r="C825" s="15" t="n">
        <f aca="false">M813</f>
        <v>-4524.86727010099</v>
      </c>
    </row>
    <row r="826" customFormat="false" ht="15" hidden="false" customHeight="false" outlineLevel="0" collapsed="false">
      <c r="A826" s="9" t="s">
        <v>523</v>
      </c>
      <c r="C826" s="36" t="n">
        <f aca="false">SUMPRODUCT(D781:M781,D814:M814)</f>
        <v>221.208692438394</v>
      </c>
    </row>
    <row r="827" customFormat="false" ht="15" hidden="false" customHeight="false" outlineLevel="0" collapsed="false">
      <c r="A827" s="9" t="s">
        <v>524</v>
      </c>
      <c r="C827" s="36" t="n">
        <f aca="false">M781*(1+a_tg)/(lv_wacc-a_tg)</f>
        <v>1820.64139665408</v>
      </c>
    </row>
    <row r="828" customFormat="false" ht="15" hidden="false" customHeight="false" outlineLevel="0" collapsed="false">
      <c r="A828" s="9" t="s">
        <v>314</v>
      </c>
      <c r="C828" s="36" t="n">
        <f aca="false">C827*M814</f>
        <v>536.339741570367</v>
      </c>
    </row>
    <row r="829" customFormat="false" ht="15" hidden="false" customHeight="false" outlineLevel="0" collapsed="false">
      <c r="A829" s="4" t="s">
        <v>525</v>
      </c>
      <c r="C829" s="15" t="n">
        <f aca="false">C826+C828</f>
        <v>757.548434008762</v>
      </c>
    </row>
    <row r="830" customFormat="false" ht="15" hidden="false" customHeight="false" outlineLevel="0" collapsed="false">
      <c r="A830" s="9" t="s">
        <v>526</v>
      </c>
      <c r="C830" s="32" t="n">
        <f aca="false">SUMPRODUCT(D791:M791,D814:M814)-a_recovery*M793*M814</f>
        <v>0</v>
      </c>
    </row>
    <row r="831" customFormat="false" ht="15" hidden="false" customHeight="false" outlineLevel="0" collapsed="false">
      <c r="A831" s="9" t="s">
        <v>527</v>
      </c>
      <c r="C831" s="36" t="n">
        <f aca="false">SUMPRODUCT(D790:M790,D814:M814)*(1-a_tax)</f>
        <v>0</v>
      </c>
    </row>
    <row r="832" customFormat="false" ht="15" hidden="false" customHeight="false" outlineLevel="0" collapsed="false">
      <c r="A832" s="9" t="s">
        <v>528</v>
      </c>
      <c r="C832" s="36" t="n">
        <f aca="false">C789*D814</f>
        <v>141.592920353982</v>
      </c>
    </row>
    <row r="833" customFormat="false" ht="15" hidden="false" customHeight="false" outlineLevel="0" collapsed="false">
      <c r="A833" s="4" t="s">
        <v>529</v>
      </c>
      <c r="C833" s="20" t="n">
        <f aca="false">C829+C831-C830-C832-lv_price</f>
        <v>-3384.04448634522</v>
      </c>
    </row>
    <row r="834" customFormat="false" ht="15" hidden="false" customHeight="false" outlineLevel="0" collapsed="false">
      <c r="A834" s="9" t="s">
        <v>530</v>
      </c>
      <c r="C834" s="32" t="n">
        <f aca="false">C833+SUMPRODUCT(D810:M810,D814:M814)</f>
        <v>-3009.63368650447</v>
      </c>
    </row>
    <row r="835" customFormat="false" ht="15" hidden="false" customHeight="false" outlineLevel="0" collapsed="false">
      <c r="A835" s="4" t="s">
        <v>531</v>
      </c>
      <c r="C835" s="59" t="n">
        <f aca="false">lv_price/D771</f>
        <v>23.3100233100233</v>
      </c>
    </row>
    <row r="836" customFormat="false" ht="15" hidden="false" customHeight="false" outlineLevel="0" collapsed="false">
      <c r="A836" s="9" t="s">
        <v>532</v>
      </c>
      <c r="C836" s="17" t="n">
        <f aca="false">(lv_price+C830)/D771</f>
        <v>23.3100233100233</v>
      </c>
    </row>
    <row r="837" customFormat="false" ht="15" hidden="false" customHeight="false" outlineLevel="0" collapsed="false">
      <c r="A837" s="4" t="s">
        <v>533</v>
      </c>
      <c r="C837" s="15" t="n">
        <f aca="false">(C833+C830)/SUMPRODUCT(D814:M814)</f>
        <v>-623.644055292038</v>
      </c>
    </row>
    <row r="838" customFormat="false" ht="15" hidden="false" customHeight="false" outlineLevel="0" collapsed="false">
      <c r="A838" s="4" t="s">
        <v>534</v>
      </c>
      <c r="C838" s="25" t="n">
        <f aca="false">D801</f>
        <v>5.30637918307087</v>
      </c>
    </row>
    <row r="839" customFormat="false" ht="15" hidden="false" customHeight="false" outlineLevel="0" collapsed="false">
      <c r="A839" s="9" t="s">
        <v>535</v>
      </c>
      <c r="C839" s="50" t="n">
        <f aca="false">F801</f>
        <v>6.27059793307087</v>
      </c>
    </row>
    <row r="840" customFormat="false" ht="15" hidden="false" customHeight="false" outlineLevel="0" collapsed="false">
      <c r="A840" s="4" t="s">
        <v>536</v>
      </c>
      <c r="C840" s="20" t="n">
        <f aca="false">D809</f>
        <v>-292.538</v>
      </c>
    </row>
    <row r="841" customFormat="false" ht="15" hidden="false" customHeight="false" outlineLevel="0" collapsed="false">
      <c r="A841" s="9" t="s">
        <v>537</v>
      </c>
      <c r="C841" s="32" t="n">
        <f aca="false">cf_cash-lv_mix_cash-C789</f>
        <v>6640</v>
      </c>
    </row>
    <row r="842" customFormat="false" ht="15" hidden="false" customHeight="false" outlineLevel="0" collapsed="false">
      <c r="A842" s="9" t="s">
        <v>538</v>
      </c>
      <c r="C842" s="32" t="n">
        <f aca="false">cf_debt+lv_mix_debt</f>
        <v>350</v>
      </c>
    </row>
    <row r="843" customFormat="false" ht="15" hidden="false" customHeight="false" outlineLevel="0" collapsed="false">
      <c r="A843" s="9" t="s">
        <v>539</v>
      </c>
      <c r="C843" s="34" t="n">
        <f aca="false">C842/cf_ebitda</f>
        <v>0.546875</v>
      </c>
    </row>
    <row r="844" customFormat="false" ht="15" hidden="false" customHeight="false" outlineLevel="0" collapsed="false">
      <c r="A844" s="9" t="s">
        <v>540</v>
      </c>
      <c r="C844" s="32" t="n">
        <f aca="false">C841+SUM(D812:F812)+3*cf_pat</f>
        <v>7627.73696</v>
      </c>
    </row>
    <row r="846" customFormat="false" ht="15" hidden="false" customHeight="false" outlineLevel="0" collapsed="false">
      <c r="A846" s="7" t="s">
        <v>657</v>
      </c>
      <c r="B846" s="8"/>
      <c r="C846" s="8"/>
      <c r="D846" s="8"/>
      <c r="E846" s="8"/>
      <c r="F846" s="8"/>
      <c r="G846" s="8"/>
      <c r="H846" s="8"/>
      <c r="I846" s="8"/>
      <c r="J846" s="8"/>
      <c r="K846" s="8"/>
      <c r="L846" s="8"/>
      <c r="M846" s="8"/>
      <c r="N846" s="8"/>
    </row>
    <row r="847" customFormat="false" ht="15" hidden="false" customHeight="false" outlineLevel="0" collapsed="false">
      <c r="A847" s="4" t="s">
        <v>284</v>
      </c>
      <c r="C847" s="39" t="n">
        <v>0</v>
      </c>
      <c r="D847" s="39" t="n">
        <v>1</v>
      </c>
      <c r="E847" s="39" t="n">
        <v>2</v>
      </c>
      <c r="F847" s="39" t="n">
        <v>3</v>
      </c>
      <c r="G847" s="39" t="n">
        <v>4</v>
      </c>
      <c r="H847" s="39" t="n">
        <v>5</v>
      </c>
      <c r="I847" s="39" t="n">
        <v>6</v>
      </c>
      <c r="J847" s="39" t="n">
        <v>7</v>
      </c>
      <c r="K847" s="39" t="n">
        <v>8</v>
      </c>
      <c r="L847" s="39" t="n">
        <v>9</v>
      </c>
      <c r="M847" s="39" t="n">
        <v>10</v>
      </c>
    </row>
    <row r="848" customFormat="false" ht="15" hidden="false" customHeight="false" outlineLevel="0" collapsed="false">
      <c r="A848" s="9" t="s">
        <v>285</v>
      </c>
      <c r="C848" s="40" t="n">
        <f aca="false">cf_arr</f>
        <v>220</v>
      </c>
      <c r="D848" s="36" t="n">
        <f aca="false">C848*(1+lv_g)</f>
        <v>264</v>
      </c>
      <c r="E848" s="36" t="n">
        <f aca="false">D848*(1+lv_g)</f>
        <v>316.8</v>
      </c>
      <c r="F848" s="36" t="n">
        <f aca="false">E848*(1+lv_g)</f>
        <v>380.16</v>
      </c>
      <c r="G848" s="36" t="n">
        <f aca="false">F848*(1+lv_g)</f>
        <v>456.192</v>
      </c>
      <c r="H848" s="36" t="n">
        <f aca="false">G848*(1+lv_g)</f>
        <v>547.4304</v>
      </c>
      <c r="I848" s="36" t="n">
        <f aca="false">H848*(1+lv_g)</f>
        <v>656.91648</v>
      </c>
      <c r="J848" s="36" t="n">
        <f aca="false">I848*(1+lv_g)</f>
        <v>788.299776</v>
      </c>
      <c r="K848" s="36" t="n">
        <f aca="false">J848*(1+lv_g)</f>
        <v>945.9597312</v>
      </c>
      <c r="L848" s="36" t="n">
        <f aca="false">K848*(1+lv_g)</f>
        <v>1135.15167744</v>
      </c>
      <c r="M848" s="36" t="n">
        <f aca="false">L848*(1+lv_g)</f>
        <v>1362.182012928</v>
      </c>
    </row>
    <row r="849" customFormat="false" ht="15" hidden="false" customHeight="false" outlineLevel="0" collapsed="false">
      <c r="A849" s="9" t="s">
        <v>286</v>
      </c>
      <c r="C849" s="18" t="n">
        <f aca="false">1</f>
        <v>1</v>
      </c>
      <c r="D849" s="18" t="n">
        <f aca="false">IF(D847&gt;=a_churn_year,1-Churn!$A$18,1)</f>
        <v>0.6</v>
      </c>
      <c r="E849" s="18" t="n">
        <f aca="false">IF(E847&gt;=a_churn_year,1-Churn!$A$18,1)</f>
        <v>0.6</v>
      </c>
      <c r="F849" s="18" t="n">
        <f aca="false">IF(F847&gt;=a_churn_year,1-Churn!$A$18,1)</f>
        <v>0.6</v>
      </c>
      <c r="G849" s="18" t="n">
        <f aca="false">IF(G847&gt;=a_churn_year,1-Churn!$A$18,1)</f>
        <v>0.6</v>
      </c>
      <c r="H849" s="18" t="n">
        <f aca="false">IF(H847&gt;=a_churn_year,1-Churn!$A$18,1)</f>
        <v>0.6</v>
      </c>
      <c r="I849" s="18" t="n">
        <f aca="false">IF(I847&gt;=a_churn_year,1-Churn!$A$18,1)</f>
        <v>0.6</v>
      </c>
      <c r="J849" s="18" t="n">
        <f aca="false">IF(J847&gt;=a_churn_year,1-Churn!$A$18,1)</f>
        <v>0.6</v>
      </c>
      <c r="K849" s="18" t="n">
        <f aca="false">IF(K847&gt;=a_churn_year,1-Churn!$A$18,1)</f>
        <v>0.6</v>
      </c>
      <c r="L849" s="18" t="n">
        <f aca="false">IF(L847&gt;=a_churn_year,1-Churn!$A$18,1)</f>
        <v>0.6</v>
      </c>
      <c r="M849" s="18" t="n">
        <f aca="false">IF(M847&gt;=a_churn_year,1-Churn!$A$18,1)</f>
        <v>0.6</v>
      </c>
    </row>
    <row r="850" customFormat="false" ht="15" hidden="false" customHeight="false" outlineLevel="0" collapsed="false">
      <c r="A850" s="4" t="s">
        <v>287</v>
      </c>
      <c r="C850" s="41" t="n">
        <f aca="false">C848*C849</f>
        <v>220</v>
      </c>
      <c r="D850" s="41" t="n">
        <f aca="false">D848*D849</f>
        <v>158.4</v>
      </c>
      <c r="E850" s="41" t="n">
        <f aca="false">E848*E849</f>
        <v>190.08</v>
      </c>
      <c r="F850" s="41" t="n">
        <f aca="false">F848*F849</f>
        <v>228.096</v>
      </c>
      <c r="G850" s="41" t="n">
        <f aca="false">G848*G849</f>
        <v>273.7152</v>
      </c>
      <c r="H850" s="41" t="n">
        <f aca="false">H848*H849</f>
        <v>328.45824</v>
      </c>
      <c r="I850" s="41" t="n">
        <f aca="false">I848*I849</f>
        <v>394.149888</v>
      </c>
      <c r="J850" s="41" t="n">
        <f aca="false">J848*J849</f>
        <v>472.9798656</v>
      </c>
      <c r="K850" s="41" t="n">
        <f aca="false">K848*K849</f>
        <v>567.57583872</v>
      </c>
      <c r="L850" s="41" t="n">
        <f aca="false">L848*L849</f>
        <v>681.091006464</v>
      </c>
      <c r="M850" s="41" t="n">
        <f aca="false">M848*M849</f>
        <v>817.3092077568</v>
      </c>
    </row>
    <row r="851" customFormat="false" ht="15" hidden="false" customHeight="false" outlineLevel="0" collapsed="false">
      <c r="A851" s="9" t="s">
        <v>288</v>
      </c>
      <c r="C851" s="18" t="n">
        <f aca="false">MIN(a_m0+a_mstep*C847,a_mcap)</f>
        <v>0</v>
      </c>
      <c r="D851" s="18" t="n">
        <f aca="false">MIN(a_m0+a_mstep*D847,a_mcap)</f>
        <v>0.05</v>
      </c>
      <c r="E851" s="18" t="n">
        <f aca="false">MIN(a_m0+a_mstep*E847,a_mcap)</f>
        <v>0.1</v>
      </c>
      <c r="F851" s="18" t="n">
        <f aca="false">MIN(a_m0+a_mstep*F847,a_mcap)</f>
        <v>0.15</v>
      </c>
      <c r="G851" s="18" t="n">
        <f aca="false">MIN(a_m0+a_mstep*G847,a_mcap)</f>
        <v>0.2</v>
      </c>
      <c r="H851" s="18" t="n">
        <f aca="false">MIN(a_m0+a_mstep*H847,a_mcap)</f>
        <v>0.25</v>
      </c>
      <c r="I851" s="18" t="n">
        <f aca="false">MIN(a_m0+a_mstep*I847,a_mcap)</f>
        <v>0.25</v>
      </c>
      <c r="J851" s="18" t="n">
        <f aca="false">MIN(a_m0+a_mstep*J847,a_mcap)</f>
        <v>0.25</v>
      </c>
      <c r="K851" s="18" t="n">
        <f aca="false">MIN(a_m0+a_mstep*K847,a_mcap)</f>
        <v>0.25</v>
      </c>
      <c r="L851" s="18" t="n">
        <f aca="false">MIN(a_m0+a_mstep*L847,a_mcap)</f>
        <v>0.25</v>
      </c>
      <c r="M851" s="18" t="n">
        <f aca="false">MIN(a_m0+a_mstep*M847,a_mcap)</f>
        <v>0.25</v>
      </c>
    </row>
    <row r="852" customFormat="false" ht="15" hidden="false" customHeight="false" outlineLevel="0" collapsed="false">
      <c r="A852" s="9" t="s">
        <v>289</v>
      </c>
      <c r="C852" s="36" t="n">
        <f aca="false">IF(C847=a_churn_year,a_sticky*(C848-C850)*(1-C851),0)</f>
        <v>0</v>
      </c>
      <c r="D852" s="36" t="n">
        <f aca="false">IF(D847=a_churn_year,a_sticky*(D848-D850)*(1-D851),0)</f>
        <v>50.16</v>
      </c>
      <c r="E852" s="36" t="n">
        <f aca="false">IF(E847=a_churn_year,a_sticky*(E848-E850)*(1-E851),0)</f>
        <v>0</v>
      </c>
      <c r="F852" s="36" t="n">
        <f aca="false">IF(F847=a_churn_year,a_sticky*(F848-F850)*(1-F851),0)</f>
        <v>0</v>
      </c>
      <c r="G852" s="36" t="n">
        <f aca="false">IF(G847=a_churn_year,a_sticky*(G848-G850)*(1-G851),0)</f>
        <v>0</v>
      </c>
      <c r="H852" s="36" t="n">
        <f aca="false">IF(H847=a_churn_year,a_sticky*(H848-H850)*(1-H851),0)</f>
        <v>0</v>
      </c>
      <c r="I852" s="36" t="n">
        <f aca="false">IF(I847=a_churn_year,a_sticky*(I848-I850)*(1-I851),0)</f>
        <v>0</v>
      </c>
      <c r="J852" s="36" t="n">
        <f aca="false">IF(J847=a_churn_year,a_sticky*(J848-J850)*(1-J851),0)</f>
        <v>0</v>
      </c>
      <c r="K852" s="36" t="n">
        <f aca="false">IF(K847=a_churn_year,a_sticky*(K848-K850)*(1-K851),0)</f>
        <v>0</v>
      </c>
      <c r="L852" s="36" t="n">
        <f aca="false">IF(L847=a_churn_year,a_sticky*(L848-L850)*(1-L851),0)</f>
        <v>0</v>
      </c>
      <c r="M852" s="36" t="n">
        <f aca="false">IF(M847=a_churn_year,a_sticky*(M848-M850)*(1-M851),0)</f>
        <v>0</v>
      </c>
    </row>
    <row r="853" customFormat="false" ht="15" hidden="false" customHeight="false" outlineLevel="0" collapsed="false">
      <c r="A853" s="4" t="s">
        <v>290</v>
      </c>
      <c r="C853" s="41" t="n">
        <f aca="false">C850*C851-C852</f>
        <v>0</v>
      </c>
      <c r="D853" s="41" t="n">
        <f aca="false">D850*D851-D852</f>
        <v>-42.24</v>
      </c>
      <c r="E853" s="41" t="n">
        <f aca="false">E850*E851-E852</f>
        <v>19.008</v>
      </c>
      <c r="F853" s="41" t="n">
        <f aca="false">F850*F851-F852</f>
        <v>34.2144</v>
      </c>
      <c r="G853" s="41" t="n">
        <f aca="false">G850*G851-G852</f>
        <v>54.74304</v>
      </c>
      <c r="H853" s="41" t="n">
        <f aca="false">H850*H851-H852</f>
        <v>82.11456</v>
      </c>
      <c r="I853" s="41" t="n">
        <f aca="false">I850*I851-I852</f>
        <v>98.537472</v>
      </c>
      <c r="J853" s="41" t="n">
        <f aca="false">J850*J851-J852</f>
        <v>118.2449664</v>
      </c>
      <c r="K853" s="41" t="n">
        <f aca="false">K850*K851-K852</f>
        <v>141.89395968</v>
      </c>
      <c r="L853" s="41" t="n">
        <f aca="false">L850*L851-L852</f>
        <v>170.272751616</v>
      </c>
      <c r="M853" s="41" t="n">
        <f aca="false">M850*M851-M852</f>
        <v>204.3273019392</v>
      </c>
    </row>
    <row r="854" customFormat="false" ht="15" hidden="false" customHeight="false" outlineLevel="0" collapsed="false">
      <c r="A854" s="9" t="s">
        <v>291</v>
      </c>
      <c r="C854" s="36" t="n">
        <f aca="false">C850*a_da</f>
        <v>6.6</v>
      </c>
      <c r="D854" s="36" t="n">
        <f aca="false">D850*a_da</f>
        <v>4.752</v>
      </c>
      <c r="E854" s="36" t="n">
        <f aca="false">E850*a_da</f>
        <v>5.7024</v>
      </c>
      <c r="F854" s="36" t="n">
        <f aca="false">F850*a_da</f>
        <v>6.84288</v>
      </c>
      <c r="G854" s="36" t="n">
        <f aca="false">G850*a_da</f>
        <v>8.211456</v>
      </c>
      <c r="H854" s="36" t="n">
        <f aca="false">H850*a_da</f>
        <v>9.8537472</v>
      </c>
      <c r="I854" s="36" t="n">
        <f aca="false">I850*a_da</f>
        <v>11.82449664</v>
      </c>
      <c r="J854" s="36" t="n">
        <f aca="false">J850*a_da</f>
        <v>14.189395968</v>
      </c>
      <c r="K854" s="36" t="n">
        <f aca="false">K850*a_da</f>
        <v>17.0272751616</v>
      </c>
      <c r="L854" s="36" t="n">
        <f aca="false">L850*a_da</f>
        <v>20.43273019392</v>
      </c>
      <c r="M854" s="36" t="n">
        <f aca="false">M850*a_da</f>
        <v>24.519276232704</v>
      </c>
    </row>
    <row r="855" customFormat="false" ht="15" hidden="false" customHeight="false" outlineLevel="0" collapsed="false">
      <c r="A855" s="9" t="s">
        <v>292</v>
      </c>
      <c r="C855" s="36" t="n">
        <f aca="false">C853-C854</f>
        <v>-6.6</v>
      </c>
      <c r="D855" s="36" t="n">
        <f aca="false">D853-D854</f>
        <v>-46.992</v>
      </c>
      <c r="E855" s="36" t="n">
        <f aca="false">E853-E854</f>
        <v>13.3056</v>
      </c>
      <c r="F855" s="36" t="n">
        <f aca="false">F853-F854</f>
        <v>27.37152</v>
      </c>
      <c r="G855" s="36" t="n">
        <f aca="false">G853-G854</f>
        <v>46.531584</v>
      </c>
      <c r="H855" s="36" t="n">
        <f aca="false">H853-H854</f>
        <v>72.2608128</v>
      </c>
      <c r="I855" s="36" t="n">
        <f aca="false">I853-I854</f>
        <v>86.71297536</v>
      </c>
      <c r="J855" s="36" t="n">
        <f aca="false">J853-J854</f>
        <v>104.055570432</v>
      </c>
      <c r="K855" s="36" t="n">
        <f aca="false">K853-K854</f>
        <v>124.8666845184</v>
      </c>
      <c r="L855" s="36" t="n">
        <f aca="false">L853-L854</f>
        <v>149.84002142208</v>
      </c>
      <c r="M855" s="36" t="n">
        <f aca="false">M853-M854</f>
        <v>179.808025706496</v>
      </c>
    </row>
    <row r="856" customFormat="false" ht="15" hidden="false" customHeight="false" outlineLevel="0" collapsed="false">
      <c r="A856" s="9" t="s">
        <v>293</v>
      </c>
      <c r="C856" s="36" t="n">
        <f aca="false">MAX(0,C855)*a_tax</f>
        <v>0</v>
      </c>
      <c r="D856" s="36" t="n">
        <f aca="false">MAX(0,D855)*a_tax</f>
        <v>0</v>
      </c>
      <c r="E856" s="36" t="n">
        <f aca="false">MAX(0,E855)*a_tax</f>
        <v>3.3264</v>
      </c>
      <c r="F856" s="36" t="n">
        <f aca="false">MAX(0,F855)*a_tax</f>
        <v>6.84288</v>
      </c>
      <c r="G856" s="36" t="n">
        <f aca="false">MAX(0,G855)*a_tax</f>
        <v>11.632896</v>
      </c>
      <c r="H856" s="36" t="n">
        <f aca="false">MAX(0,H855)*a_tax</f>
        <v>18.0652032</v>
      </c>
      <c r="I856" s="36" t="n">
        <f aca="false">MAX(0,I855)*a_tax</f>
        <v>21.67824384</v>
      </c>
      <c r="J856" s="36" t="n">
        <f aca="false">MAX(0,J855)*a_tax</f>
        <v>26.013892608</v>
      </c>
      <c r="K856" s="36" t="n">
        <f aca="false">MAX(0,K855)*a_tax</f>
        <v>31.2166711296</v>
      </c>
      <c r="L856" s="36" t="n">
        <f aca="false">MAX(0,L855)*a_tax</f>
        <v>37.46000535552</v>
      </c>
      <c r="M856" s="36" t="n">
        <f aca="false">MAX(0,M855)*a_tax</f>
        <v>44.952006426624</v>
      </c>
    </row>
    <row r="857" customFormat="false" ht="15" hidden="false" customHeight="false" outlineLevel="0" collapsed="false">
      <c r="A857" s="4" t="s">
        <v>294</v>
      </c>
      <c r="C857" s="42" t="n">
        <f aca="false">cf_lim_pat</f>
        <v>0</v>
      </c>
      <c r="D857" s="41" t="n">
        <f aca="false">D855-D856</f>
        <v>-46.992</v>
      </c>
      <c r="E857" s="41" t="n">
        <f aca="false">E855-E856</f>
        <v>9.9792</v>
      </c>
      <c r="F857" s="41" t="n">
        <f aca="false">F855-F856</f>
        <v>20.52864</v>
      </c>
      <c r="G857" s="41" t="n">
        <f aca="false">G855-G856</f>
        <v>34.898688</v>
      </c>
      <c r="H857" s="41" t="n">
        <f aca="false">H855-H856</f>
        <v>54.1956096</v>
      </c>
      <c r="I857" s="41" t="n">
        <f aca="false">I855-I856</f>
        <v>65.03473152</v>
      </c>
      <c r="J857" s="41" t="n">
        <f aca="false">J855-J856</f>
        <v>78.041677824</v>
      </c>
      <c r="K857" s="41" t="n">
        <f aca="false">K855-K856</f>
        <v>93.6500133888</v>
      </c>
      <c r="L857" s="41" t="n">
        <f aca="false">L855-L856</f>
        <v>112.38001606656</v>
      </c>
      <c r="M857" s="41" t="n">
        <f aca="false">M855-M856</f>
        <v>134.856019279872</v>
      </c>
    </row>
    <row r="858" customFormat="false" ht="15" hidden="false" customHeight="false" outlineLevel="0" collapsed="false">
      <c r="A858" s="9" t="s">
        <v>295</v>
      </c>
      <c r="C858" s="36" t="n">
        <f aca="false">C850*a_capex</f>
        <v>6.6</v>
      </c>
      <c r="D858" s="36" t="n">
        <f aca="false">D850*a_capex</f>
        <v>4.752</v>
      </c>
      <c r="E858" s="36" t="n">
        <f aca="false">E850*a_capex</f>
        <v>5.7024</v>
      </c>
      <c r="F858" s="36" t="n">
        <f aca="false">F850*a_capex</f>
        <v>6.84288</v>
      </c>
      <c r="G858" s="36" t="n">
        <f aca="false">G850*a_capex</f>
        <v>8.211456</v>
      </c>
      <c r="H858" s="36" t="n">
        <f aca="false">H850*a_capex</f>
        <v>9.8537472</v>
      </c>
      <c r="I858" s="36" t="n">
        <f aca="false">I850*a_capex</f>
        <v>11.82449664</v>
      </c>
      <c r="J858" s="36" t="n">
        <f aca="false">J850*a_capex</f>
        <v>14.189395968</v>
      </c>
      <c r="K858" s="36" t="n">
        <f aca="false">K850*a_capex</f>
        <v>17.0272751616</v>
      </c>
      <c r="L858" s="36" t="n">
        <f aca="false">L850*a_capex</f>
        <v>20.43273019392</v>
      </c>
      <c r="M858" s="36" t="n">
        <f aca="false">M850*a_capex</f>
        <v>24.519276232704</v>
      </c>
    </row>
    <row r="859" customFormat="false" ht="15" hidden="false" customHeight="false" outlineLevel="0" collapsed="false">
      <c r="A859" s="9" t="s">
        <v>296</v>
      </c>
      <c r="C859" s="36" t="n">
        <f aca="false">0</f>
        <v>0</v>
      </c>
      <c r="D859" s="36" t="n">
        <f aca="false">a_wc*(D850-C850)</f>
        <v>-3.08</v>
      </c>
      <c r="E859" s="36" t="n">
        <f aca="false">a_wc*(E850-D850)</f>
        <v>1.584</v>
      </c>
      <c r="F859" s="36" t="n">
        <f aca="false">a_wc*(F850-E850)</f>
        <v>1.9008</v>
      </c>
      <c r="G859" s="36" t="n">
        <f aca="false">a_wc*(G850-F850)</f>
        <v>2.28096</v>
      </c>
      <c r="H859" s="36" t="n">
        <f aca="false">a_wc*(H850-G850)</f>
        <v>2.737152</v>
      </c>
      <c r="I859" s="36" t="n">
        <f aca="false">a_wc*(I850-H850)</f>
        <v>3.2845824</v>
      </c>
      <c r="J859" s="36" t="n">
        <f aca="false">a_wc*(J850-I850)</f>
        <v>3.94149888</v>
      </c>
      <c r="K859" s="36" t="n">
        <f aca="false">a_wc*(K850-J850)</f>
        <v>4.729798656</v>
      </c>
      <c r="L859" s="36" t="n">
        <f aca="false">a_wc*(L850-K850)</f>
        <v>5.6757583872</v>
      </c>
      <c r="M859" s="36" t="n">
        <f aca="false">a_wc*(M850-L850)</f>
        <v>6.81091006464</v>
      </c>
    </row>
    <row r="860" customFormat="false" ht="15" hidden="false" customHeight="false" outlineLevel="0" collapsed="false">
      <c r="A860" s="4" t="s">
        <v>297</v>
      </c>
      <c r="C860" s="36" t="n">
        <f aca="false">0</f>
        <v>0</v>
      </c>
      <c r="D860" s="41" t="n">
        <f aca="false">D857+D854-D858-D859</f>
        <v>-43.912</v>
      </c>
      <c r="E860" s="41" t="n">
        <f aca="false">E857+E854-E858-E859</f>
        <v>8.3952</v>
      </c>
      <c r="F860" s="41" t="n">
        <f aca="false">F857+F854-F858-F859</f>
        <v>18.62784</v>
      </c>
      <c r="G860" s="41" t="n">
        <f aca="false">G857+G854-G858-G859</f>
        <v>32.617728</v>
      </c>
      <c r="H860" s="41" t="n">
        <f aca="false">H857+H854-H858-H859</f>
        <v>51.4584576</v>
      </c>
      <c r="I860" s="41" t="n">
        <f aca="false">I857+I854-I858-I859</f>
        <v>61.75014912</v>
      </c>
      <c r="J860" s="41" t="n">
        <f aca="false">J857+J854-J858-J859</f>
        <v>74.100178944</v>
      </c>
      <c r="K860" s="41" t="n">
        <f aca="false">K857+K854-K858-K859</f>
        <v>88.9202147328</v>
      </c>
      <c r="L860" s="41" t="n">
        <f aca="false">L857+L854-L858-L859</f>
        <v>106.70425767936</v>
      </c>
      <c r="M860" s="41" t="n">
        <f aca="false">M857+M854-M858-M859</f>
        <v>128.045109215232</v>
      </c>
    </row>
    <row r="862" customFormat="false" ht="15" hidden="false" customHeight="false" outlineLevel="0" collapsed="false">
      <c r="A862" s="7" t="s">
        <v>658</v>
      </c>
      <c r="B862" s="8"/>
      <c r="C862" s="8"/>
      <c r="D862" s="8"/>
      <c r="E862" s="8"/>
      <c r="F862" s="8"/>
      <c r="G862" s="8"/>
      <c r="H862" s="8"/>
      <c r="I862" s="8"/>
      <c r="J862" s="8"/>
      <c r="K862" s="8"/>
      <c r="L862" s="8"/>
      <c r="M862" s="8"/>
      <c r="N862" s="8"/>
    </row>
    <row r="863" customFormat="false" ht="15" hidden="false" customHeight="false" outlineLevel="0" collapsed="false">
      <c r="A863" s="9" t="s">
        <v>482</v>
      </c>
      <c r="C863" s="35" t="n">
        <f aca="false">lv_mix_eq/(c_price*(1-a_issue_disc))</f>
        <v>1.024</v>
      </c>
    </row>
    <row r="864" customFormat="false" ht="15" hidden="false" customHeight="false" outlineLevel="0" collapsed="false">
      <c r="A864" s="9" t="s">
        <v>449</v>
      </c>
      <c r="C864" s="35" t="n">
        <f aca="false">cf_shares+C863</f>
        <v>65.024</v>
      </c>
    </row>
    <row r="865" customFormat="false" ht="15" hidden="false" customHeight="false" outlineLevel="0" collapsed="false">
      <c r="A865" s="9" t="s">
        <v>483</v>
      </c>
      <c r="C865" s="36" t="n">
        <f aca="false">lv_mix_cash*a_yield*(1-a_tax)+lv_mix_debt*a_kd*(1-a_tax)</f>
        <v>94.5</v>
      </c>
    </row>
    <row r="866" customFormat="false" ht="15" hidden="false" customHeight="false" outlineLevel="0" collapsed="false">
      <c r="A866" s="9" t="s">
        <v>484</v>
      </c>
      <c r="C866" s="36" t="n">
        <f aca="false">lv_price*a_ppa_share/a_ppa_life*(1-a_tax)</f>
        <v>93.75</v>
      </c>
    </row>
    <row r="867" customFormat="false" ht="15" hidden="false" customHeight="false" outlineLevel="0" collapsed="false">
      <c r="A867" s="9" t="s">
        <v>485</v>
      </c>
      <c r="C867" s="36" t="n">
        <f aca="false">a_ppa_on*C866</f>
        <v>0</v>
      </c>
    </row>
    <row r="868" customFormat="false" ht="15" hidden="false" customHeight="false" outlineLevel="0" collapsed="false">
      <c r="A868" s="9" t="s">
        <v>486</v>
      </c>
      <c r="C868" s="36" t="n">
        <f aca="false">lv_price*a_fees_pct+a_integ_full</f>
        <v>160</v>
      </c>
    </row>
    <row r="869" customFormat="false" ht="15" hidden="false" customHeight="false" outlineLevel="0" collapsed="false">
      <c r="A869" s="9" t="s">
        <v>487</v>
      </c>
      <c r="C869" s="36" t="n">
        <f aca="false">0</f>
        <v>0</v>
      </c>
      <c r="D869" s="36" t="n">
        <f aca="false">a_syn_on*(a_syn_partner_rev_y3+a_syn_xsell_y3)*a_mcap*IF(D847=1,a_syn_ramp1,IF(D847=2,a_syn_ramp2,1))+a_syn_on*IF(D847&gt;=2,a_syn_cost,0)</f>
        <v>0</v>
      </c>
      <c r="E869" s="36" t="n">
        <f aca="false">a_syn_on*(a_syn_partner_rev_y3+a_syn_xsell_y3)*a_mcap*IF(E847=1,a_syn_ramp1,IF(E847=2,a_syn_ramp2,1))+a_syn_on*IF(E847&gt;=2,a_syn_cost,0)</f>
        <v>0</v>
      </c>
      <c r="F869" s="36" t="n">
        <f aca="false">a_syn_on*(a_syn_partner_rev_y3+a_syn_xsell_y3)*a_mcap*IF(F847=1,a_syn_ramp1,IF(F847=2,a_syn_ramp2,1))+a_syn_on*IF(F847&gt;=2,a_syn_cost,0)</f>
        <v>0</v>
      </c>
      <c r="G869" s="36" t="n">
        <f aca="false">a_syn_on*(a_syn_partner_rev_y3+a_syn_xsell_y3)*a_mcap*IF(G847=1,a_syn_ramp1,IF(G847=2,a_syn_ramp2,1))+a_syn_on*IF(G847&gt;=2,a_syn_cost,0)</f>
        <v>0</v>
      </c>
      <c r="H869" s="36" t="n">
        <f aca="false">a_syn_on*(a_syn_partner_rev_y3+a_syn_xsell_y3)*a_mcap*IF(H847=1,a_syn_ramp1,IF(H847=2,a_syn_ramp2,1))+a_syn_on*IF(H847&gt;=2,a_syn_cost,0)</f>
        <v>0</v>
      </c>
      <c r="I869" s="36" t="n">
        <f aca="false">a_syn_on*(a_syn_partner_rev_y3+a_syn_xsell_y3)*a_mcap*IF(I847=1,a_syn_ramp1,IF(I847=2,a_syn_ramp2,1))+a_syn_on*IF(I847&gt;=2,a_syn_cost,0)</f>
        <v>0</v>
      </c>
      <c r="J869" s="36" t="n">
        <f aca="false">a_syn_on*(a_syn_partner_rev_y3+a_syn_xsell_y3)*a_mcap*IF(J847=1,a_syn_ramp1,IF(J847=2,a_syn_ramp2,1))+a_syn_on*IF(J847&gt;=2,a_syn_cost,0)</f>
        <v>0</v>
      </c>
      <c r="K869" s="36" t="n">
        <f aca="false">a_syn_on*(a_syn_partner_rev_y3+a_syn_xsell_y3)*a_mcap*IF(K847=1,a_syn_ramp1,IF(K847=2,a_syn_ramp2,1))+a_syn_on*IF(K847&gt;=2,a_syn_cost,0)</f>
        <v>0</v>
      </c>
      <c r="L869" s="36" t="n">
        <f aca="false">a_syn_on*(a_syn_partner_rev_y3+a_syn_xsell_y3)*a_mcap*IF(L847=1,a_syn_ramp1,IF(L847=2,a_syn_ramp2,1))+a_syn_on*IF(L847&gt;=2,a_syn_cost,0)</f>
        <v>0</v>
      </c>
      <c r="M869" s="36" t="n">
        <f aca="false">a_syn_on*(a_syn_partner_rev_y3+a_syn_xsell_y3)*a_mcap*IF(M847=1,a_syn_ramp1,IF(M847=2,a_syn_ramp2,1))+a_syn_on*IF(M847&gt;=2,a_syn_cost,0)</f>
        <v>0</v>
      </c>
    </row>
    <row r="870" customFormat="false" ht="15" hidden="false" customHeight="false" outlineLevel="0" collapsed="false">
      <c r="A870" s="9" t="s">
        <v>488</v>
      </c>
      <c r="C870" s="36" t="n">
        <f aca="false">0</f>
        <v>0</v>
      </c>
      <c r="D870" s="36" t="n">
        <f aca="false">CHOOSE(lv_drag_mode,lv_drag,lv_drag*D850/cf_arr,lv_drag*(1-a_tax))</f>
        <v>750</v>
      </c>
      <c r="E870" s="36" t="n">
        <f aca="false">CHOOSE(lv_drag_mode,lv_drag,lv_drag*E850/cf_arr,lv_drag*(1-a_tax))</f>
        <v>750</v>
      </c>
      <c r="F870" s="36" t="n">
        <f aca="false">CHOOSE(lv_drag_mode,lv_drag,lv_drag*F850/cf_arr,lv_drag*(1-a_tax))</f>
        <v>750</v>
      </c>
      <c r="G870" s="36" t="n">
        <f aca="false">CHOOSE(lv_drag_mode,lv_drag,lv_drag*G850/cf_arr,lv_drag*(1-a_tax))</f>
        <v>750</v>
      </c>
      <c r="H870" s="36" t="n">
        <f aca="false">CHOOSE(lv_drag_mode,lv_drag,lv_drag*H850/cf_arr,lv_drag*(1-a_tax))</f>
        <v>750</v>
      </c>
      <c r="I870" s="36" t="n">
        <f aca="false">CHOOSE(lv_drag_mode,lv_drag,lv_drag*I850/cf_arr,lv_drag*(1-a_tax))</f>
        <v>750</v>
      </c>
      <c r="J870" s="36" t="n">
        <f aca="false">CHOOSE(lv_drag_mode,lv_drag,lv_drag*J850/cf_arr,lv_drag*(1-a_tax))</f>
        <v>750</v>
      </c>
      <c r="K870" s="36" t="n">
        <f aca="false">CHOOSE(lv_drag_mode,lv_drag,lv_drag*K850/cf_arr,lv_drag*(1-a_tax))</f>
        <v>750</v>
      </c>
      <c r="L870" s="36" t="n">
        <f aca="false">CHOOSE(lv_drag_mode,lv_drag,lv_drag*L850/cf_arr,lv_drag*(1-a_tax))</f>
        <v>750</v>
      </c>
      <c r="M870" s="36" t="n">
        <f aca="false">CHOOSE(lv_drag_mode,lv_drag,lv_drag*M850/cf_arr,lv_drag*(1-a_tax))</f>
        <v>750</v>
      </c>
    </row>
    <row r="871" customFormat="false" ht="15" hidden="false" customHeight="false" outlineLevel="0" collapsed="false">
      <c r="A871" s="9" t="s">
        <v>489</v>
      </c>
      <c r="C871" s="36" t="n">
        <f aca="false">0</f>
        <v>0</v>
      </c>
      <c r="D871" s="36" t="n">
        <f aca="false">IF(lv_drag_mode=3,lv_drag*(1-a_tax),0)</f>
        <v>0</v>
      </c>
      <c r="E871" s="36" t="n">
        <f aca="false">IF(lv_drag_mode=3,lv_drag*(1-a_tax),0)</f>
        <v>0</v>
      </c>
      <c r="F871" s="36" t="n">
        <f aca="false">IF(lv_drag_mode=3,lv_drag*(1-a_tax),0)</f>
        <v>0</v>
      </c>
      <c r="G871" s="36" t="n">
        <f aca="false">IF(lv_drag_mode=3,lv_drag*(1-a_tax),0)</f>
        <v>0</v>
      </c>
      <c r="H871" s="36" t="n">
        <f aca="false">IF(lv_drag_mode=3,lv_drag*(1-a_tax),0)</f>
        <v>0</v>
      </c>
      <c r="I871" s="36" t="n">
        <f aca="false">IF(lv_drag_mode=3,lv_drag*(1-a_tax),0)</f>
        <v>0</v>
      </c>
      <c r="J871" s="36" t="n">
        <f aca="false">IF(lv_drag_mode=3,lv_drag*(1-a_tax),0)</f>
        <v>0</v>
      </c>
      <c r="K871" s="36" t="n">
        <f aca="false">IF(lv_drag_mode=3,lv_drag*(1-a_tax),0)</f>
        <v>0</v>
      </c>
      <c r="L871" s="36" t="n">
        <f aca="false">IF(lv_drag_mode=3,lv_drag*(1-a_tax),0)</f>
        <v>0</v>
      </c>
      <c r="M871" s="36" t="n">
        <f aca="false">IF(lv_drag_mode=3,lv_drag*(1-a_tax),0)</f>
        <v>0</v>
      </c>
    </row>
    <row r="872" customFormat="false" ht="15" hidden="false" customHeight="false" outlineLevel="0" collapsed="false">
      <c r="A872" s="9" t="s">
        <v>490</v>
      </c>
      <c r="C872" s="36" t="n">
        <f aca="false">0</f>
        <v>0</v>
      </c>
      <c r="D872" s="36" t="n">
        <f aca="false">IF(lv_drag_mode=3,0,C872+D870)</f>
        <v>750</v>
      </c>
      <c r="E872" s="36" t="n">
        <f aca="false">IF(lv_drag_mode=3,0,D872+E870)</f>
        <v>1500</v>
      </c>
      <c r="F872" s="36" t="n">
        <f aca="false">IF(lv_drag_mode=3,0,E872+F870)</f>
        <v>2250</v>
      </c>
      <c r="G872" s="36" t="n">
        <f aca="false">IF(lv_drag_mode=3,0,F872+G870)</f>
        <v>3000</v>
      </c>
      <c r="H872" s="36" t="n">
        <f aca="false">IF(lv_drag_mode=3,0,G872+H870)</f>
        <v>3750</v>
      </c>
      <c r="I872" s="36" t="n">
        <f aca="false">IF(lv_drag_mode=3,0,H872+I870)</f>
        <v>4500</v>
      </c>
      <c r="J872" s="36" t="n">
        <f aca="false">IF(lv_drag_mode=3,0,I872+J870)</f>
        <v>5250</v>
      </c>
      <c r="K872" s="36" t="n">
        <f aca="false">IF(lv_drag_mode=3,0,J872+K870)</f>
        <v>6000</v>
      </c>
      <c r="L872" s="36" t="n">
        <f aca="false">IF(lv_drag_mode=3,0,K872+L870)</f>
        <v>6750</v>
      </c>
      <c r="M872" s="36" t="n">
        <f aca="false">IF(lv_drag_mode=3,0,L872+M870)</f>
        <v>7500</v>
      </c>
    </row>
    <row r="873" customFormat="false" ht="15" hidden="false" customHeight="false" outlineLevel="0" collapsed="false">
      <c r="A873" s="9" t="s">
        <v>491</v>
      </c>
      <c r="C873" s="36" t="n">
        <f aca="false">0</f>
        <v>0</v>
      </c>
      <c r="D873" s="36" t="n">
        <f aca="false">C872*a_yield*(1-a_tax)</f>
        <v>0</v>
      </c>
      <c r="E873" s="36" t="n">
        <f aca="false">D872*a_yield*(1-a_tax)</f>
        <v>33.75</v>
      </c>
      <c r="F873" s="36" t="n">
        <f aca="false">E872*a_yield*(1-a_tax)</f>
        <v>67.5</v>
      </c>
      <c r="G873" s="36" t="n">
        <f aca="false">F872*a_yield*(1-a_tax)</f>
        <v>101.25</v>
      </c>
      <c r="H873" s="36" t="n">
        <f aca="false">G872*a_yield*(1-a_tax)</f>
        <v>135</v>
      </c>
      <c r="I873" s="36" t="n">
        <f aca="false">H872*a_yield*(1-a_tax)</f>
        <v>168.75</v>
      </c>
      <c r="J873" s="36" t="n">
        <f aca="false">I872*a_yield*(1-a_tax)</f>
        <v>202.5</v>
      </c>
      <c r="K873" s="36" t="n">
        <f aca="false">J872*a_yield*(1-a_tax)</f>
        <v>236.25</v>
      </c>
      <c r="L873" s="36" t="n">
        <f aca="false">K872*a_yield*(1-a_tax)</f>
        <v>270</v>
      </c>
      <c r="M873" s="36" t="n">
        <f aca="false">L872*a_yield*(1-a_tax)</f>
        <v>303.75</v>
      </c>
    </row>
    <row r="874" customFormat="false" ht="15" hidden="false" customHeight="false" outlineLevel="0" collapsed="false">
      <c r="A874" s="9" t="s">
        <v>492</v>
      </c>
      <c r="C874" s="36" t="n">
        <f aca="false">cf_pat</f>
        <v>480</v>
      </c>
      <c r="D874" s="36" t="n">
        <f aca="false">cf_pat*(1+a_pat_growth)^D847</f>
        <v>480</v>
      </c>
      <c r="E874" s="36" t="n">
        <f aca="false">cf_pat*(1+a_pat_growth)^E847</f>
        <v>480</v>
      </c>
      <c r="F874" s="36" t="n">
        <f aca="false">cf_pat*(1+a_pat_growth)^F847</f>
        <v>480</v>
      </c>
      <c r="G874" s="36" t="n">
        <f aca="false">cf_pat*(1+a_pat_growth)^G847</f>
        <v>480</v>
      </c>
      <c r="H874" s="36" t="n">
        <f aca="false">cf_pat*(1+a_pat_growth)^H847</f>
        <v>480</v>
      </c>
      <c r="I874" s="36" t="n">
        <f aca="false">cf_pat*(1+a_pat_growth)^I847</f>
        <v>480</v>
      </c>
      <c r="J874" s="36" t="n">
        <f aca="false">cf_pat*(1+a_pat_growth)^J847</f>
        <v>480</v>
      </c>
      <c r="K874" s="36" t="n">
        <f aca="false">cf_pat*(1+a_pat_growth)^K847</f>
        <v>480</v>
      </c>
      <c r="L874" s="36" t="n">
        <f aca="false">cf_pat*(1+a_pat_growth)^L847</f>
        <v>480</v>
      </c>
      <c r="M874" s="36" t="n">
        <f aca="false">cf_pat*(1+a_pat_growth)^M847</f>
        <v>480</v>
      </c>
    </row>
    <row r="875" customFormat="false" ht="15" hidden="false" customHeight="false" outlineLevel="0" collapsed="false">
      <c r="A875" s="9" t="s">
        <v>493</v>
      </c>
      <c r="C875" s="36" t="n">
        <f aca="false">0</f>
        <v>0</v>
      </c>
      <c r="D875" s="36" t="n">
        <f aca="false">cf_mdr*a_mdr_flow*(1-a_tax)</f>
        <v>69</v>
      </c>
      <c r="E875" s="36" t="n">
        <f aca="false">cf_mdr*a_mdr_flow*(1-a_tax)</f>
        <v>69</v>
      </c>
      <c r="F875" s="36" t="n">
        <f aca="false">cf_mdr*a_mdr_flow*(1-a_tax)</f>
        <v>69</v>
      </c>
      <c r="G875" s="36" t="n">
        <f aca="false">cf_mdr*a_mdr_flow*(1-a_tax)</f>
        <v>69</v>
      </c>
      <c r="H875" s="36" t="n">
        <f aca="false">cf_mdr*a_mdr_flow*(1-a_tax)</f>
        <v>69</v>
      </c>
      <c r="I875" s="36" t="n">
        <f aca="false">cf_mdr*a_mdr_flow*(1-a_tax)</f>
        <v>69</v>
      </c>
      <c r="J875" s="36" t="n">
        <f aca="false">cf_mdr*a_mdr_flow*(1-a_tax)</f>
        <v>69</v>
      </c>
      <c r="K875" s="36" t="n">
        <f aca="false">cf_mdr*a_mdr_flow*(1-a_tax)</f>
        <v>69</v>
      </c>
      <c r="L875" s="36" t="n">
        <f aca="false">cf_mdr*a_mdr_flow*(1-a_tax)</f>
        <v>69</v>
      </c>
      <c r="M875" s="36" t="n">
        <f aca="false">cf_mdr*a_mdr_flow*(1-a_tax)</f>
        <v>69</v>
      </c>
    </row>
    <row r="876" customFormat="false" ht="15" hidden="false" customHeight="false" outlineLevel="0" collapsed="false">
      <c r="A876" s="9" t="s">
        <v>494</v>
      </c>
      <c r="C876" s="50" t="n">
        <f aca="false">cf_eps</f>
        <v>7.5</v>
      </c>
      <c r="D876" s="50" t="n">
        <f aca="false">D874/cf_shares</f>
        <v>7.5</v>
      </c>
      <c r="E876" s="50" t="n">
        <f aca="false">E874/cf_shares</f>
        <v>7.5</v>
      </c>
      <c r="F876" s="50" t="n">
        <f aca="false">F874/cf_shares</f>
        <v>7.5</v>
      </c>
      <c r="G876" s="50" t="n">
        <f aca="false">G874/cf_shares</f>
        <v>7.5</v>
      </c>
      <c r="H876" s="50" t="n">
        <f aca="false">H874/cf_shares</f>
        <v>7.5</v>
      </c>
      <c r="I876" s="50" t="n">
        <f aca="false">I874/cf_shares</f>
        <v>7.5</v>
      </c>
      <c r="J876" s="50" t="n">
        <f aca="false">J874/cf_shares</f>
        <v>7.5</v>
      </c>
      <c r="K876" s="50" t="n">
        <f aca="false">K874/cf_shares</f>
        <v>7.5</v>
      </c>
      <c r="L876" s="50" t="n">
        <f aca="false">L874/cf_shares</f>
        <v>7.5</v>
      </c>
      <c r="M876" s="50" t="n">
        <f aca="false">M874/cf_shares</f>
        <v>7.5</v>
      </c>
    </row>
    <row r="877" customFormat="false" ht="15" hidden="false" customHeight="false" outlineLevel="0" collapsed="false">
      <c r="A877" s="9" t="s">
        <v>495</v>
      </c>
      <c r="C877" s="50" t="n">
        <f aca="false">cf_eps</f>
        <v>7.5</v>
      </c>
      <c r="D877" s="50" t="n">
        <f aca="false">(D874+D875)/cf_shares</f>
        <v>8.578125</v>
      </c>
      <c r="E877" s="50" t="n">
        <f aca="false">(E874+E875)/cf_shares</f>
        <v>8.578125</v>
      </c>
      <c r="F877" s="50" t="n">
        <f aca="false">(F874+F875)/cf_shares</f>
        <v>8.578125</v>
      </c>
      <c r="G877" s="50" t="n">
        <f aca="false">(G874+G875)/cf_shares</f>
        <v>8.578125</v>
      </c>
      <c r="H877" s="50" t="n">
        <f aca="false">(H874+H875)/cf_shares</f>
        <v>8.578125</v>
      </c>
      <c r="I877" s="50" t="n">
        <f aca="false">(I874+I875)/cf_shares</f>
        <v>8.578125</v>
      </c>
      <c r="J877" s="50" t="n">
        <f aca="false">(J874+J875)/cf_shares</f>
        <v>8.578125</v>
      </c>
      <c r="K877" s="50" t="n">
        <f aca="false">(K874+K875)/cf_shares</f>
        <v>8.578125</v>
      </c>
      <c r="L877" s="50" t="n">
        <f aca="false">(L874+L875)/cf_shares</f>
        <v>8.578125</v>
      </c>
      <c r="M877" s="50" t="n">
        <f aca="false">(M874+M875)/cf_shares</f>
        <v>8.578125</v>
      </c>
    </row>
    <row r="878" customFormat="false" ht="15" hidden="false" customHeight="false" outlineLevel="0" collapsed="false">
      <c r="A878" s="4" t="s">
        <v>496</v>
      </c>
      <c r="C878" s="41" t="n">
        <f aca="false">-C865-C867</f>
        <v>-94.5</v>
      </c>
      <c r="D878" s="41" t="n">
        <f aca="false">D857+D869*(1-a_tax)-C865-C867-D871-D873</f>
        <v>-141.492</v>
      </c>
      <c r="E878" s="41" t="n">
        <f aca="false">E857+E869*(1-a_tax)-C865-C867-E871-E873</f>
        <v>-118.2708</v>
      </c>
      <c r="F878" s="41" t="n">
        <f aca="false">F857+F869*(1-a_tax)-C865-C867-F871-F873</f>
        <v>-141.47136</v>
      </c>
      <c r="G878" s="41" t="n">
        <f aca="false">G857+G869*(1-a_tax)-C865-C867-G871-G873</f>
        <v>-160.851312</v>
      </c>
      <c r="H878" s="41" t="n">
        <f aca="false">H857+H869*(1-a_tax)-C865-C867-H871-H873</f>
        <v>-175.3043904</v>
      </c>
      <c r="I878" s="41" t="n">
        <f aca="false">I857+I869*(1-a_tax)-C865-C867-I871-I873</f>
        <v>-198.21526848</v>
      </c>
      <c r="J878" s="41" t="n">
        <f aca="false">J857+J869*(1-a_tax)-C865-C867-J871-J873</f>
        <v>-218.958322176</v>
      </c>
      <c r="K878" s="41" t="n">
        <f aca="false">K857+K869*(1-a_tax)-C865-C867-K871-K873</f>
        <v>-237.0999866112</v>
      </c>
      <c r="L878" s="41" t="n">
        <f aca="false">L857+L869*(1-a_tax)-C865-C867-L871-L873</f>
        <v>-252.11998393344</v>
      </c>
      <c r="M878" s="41" t="n">
        <f aca="false">M857+M869*(1-a_tax)-C865-C867-M871-M873</f>
        <v>-263.393980720128</v>
      </c>
    </row>
    <row r="879" customFormat="false" ht="15" hidden="false" customHeight="false" outlineLevel="0" collapsed="false">
      <c r="A879" s="9" t="s">
        <v>497</v>
      </c>
      <c r="C879" s="36" t="n">
        <f aca="false">C874+C878</f>
        <v>385.5</v>
      </c>
      <c r="D879" s="36" t="n">
        <f aca="false">D874+D878</f>
        <v>338.508</v>
      </c>
      <c r="E879" s="36" t="n">
        <f aca="false">E874+E878</f>
        <v>361.7292</v>
      </c>
      <c r="F879" s="36" t="n">
        <f aca="false">F874+F878</f>
        <v>338.52864</v>
      </c>
      <c r="G879" s="36" t="n">
        <f aca="false">G874+G878</f>
        <v>319.148688</v>
      </c>
      <c r="H879" s="36" t="n">
        <f aca="false">H874+H878</f>
        <v>304.6956096</v>
      </c>
      <c r="I879" s="36" t="n">
        <f aca="false">I874+I878</f>
        <v>281.78473152</v>
      </c>
      <c r="J879" s="36" t="n">
        <f aca="false">J874+J878</f>
        <v>261.041677824</v>
      </c>
      <c r="K879" s="36" t="n">
        <f aca="false">K874+K878</f>
        <v>242.9000133888</v>
      </c>
      <c r="L879" s="36" t="n">
        <f aca="false">L874+L878</f>
        <v>227.88001606656</v>
      </c>
      <c r="M879" s="36" t="n">
        <f aca="false">M874+M878</f>
        <v>216.606019279872</v>
      </c>
    </row>
    <row r="880" customFormat="false" ht="15" hidden="false" customHeight="false" outlineLevel="0" collapsed="false">
      <c r="A880" s="4" t="s">
        <v>498</v>
      </c>
      <c r="C880" s="48" t="n">
        <f aca="false">C879/C864</f>
        <v>5.92858021653543</v>
      </c>
      <c r="D880" s="48" t="n">
        <f aca="false">D879/C864</f>
        <v>5.20589320866142</v>
      </c>
      <c r="E880" s="48" t="n">
        <f aca="false">E879/C864</f>
        <v>5.56301058070866</v>
      </c>
      <c r="F880" s="48" t="n">
        <f aca="false">F879/C864</f>
        <v>5.20621062992126</v>
      </c>
      <c r="G880" s="48" t="n">
        <f aca="false">G879/C864</f>
        <v>4.90816756889764</v>
      </c>
      <c r="H880" s="48" t="n">
        <f aca="false">H879/C864</f>
        <v>4.68589458661417</v>
      </c>
      <c r="I880" s="48" t="n">
        <f aca="false">I879/C864</f>
        <v>4.33354963582677</v>
      </c>
      <c r="J880" s="48" t="n">
        <f aca="false">J879/C864</f>
        <v>4.01454351968504</v>
      </c>
      <c r="K880" s="48" t="n">
        <f aca="false">K879/C864</f>
        <v>3.73554400511811</v>
      </c>
      <c r="L880" s="48" t="n">
        <f aca="false">L879/C864</f>
        <v>3.50455241244095</v>
      </c>
      <c r="M880" s="48" t="n">
        <f aca="false">M879/C864</f>
        <v>3.3311703260315</v>
      </c>
    </row>
    <row r="881" customFormat="false" ht="15" hidden="false" customHeight="false" outlineLevel="0" collapsed="false">
      <c r="A881" s="4" t="s">
        <v>499</v>
      </c>
      <c r="C881" s="14" t="n">
        <f aca="false">C880/cf_eps-1</f>
        <v>-0.209522637795276</v>
      </c>
      <c r="D881" s="14" t="n">
        <f aca="false">D880/cf_eps-1</f>
        <v>-0.305880905511811</v>
      </c>
      <c r="E881" s="14" t="n">
        <f aca="false">E880/cf_eps-1</f>
        <v>-0.258265255905512</v>
      </c>
      <c r="F881" s="14" t="n">
        <f aca="false">F880/cf_eps-1</f>
        <v>-0.305838582677165</v>
      </c>
      <c r="G881" s="14" t="n">
        <f aca="false">G880/cf_eps-1</f>
        <v>-0.345577657480315</v>
      </c>
      <c r="H881" s="14" t="n">
        <f aca="false">H880/cf_eps-1</f>
        <v>-0.37521405511811</v>
      </c>
      <c r="I881" s="14" t="n">
        <f aca="false">I880/cf_eps-1</f>
        <v>-0.422193381889764</v>
      </c>
      <c r="J881" s="14" t="n">
        <f aca="false">J880/cf_eps-1</f>
        <v>-0.464727530708661</v>
      </c>
      <c r="K881" s="14" t="n">
        <f aca="false">K880/cf_eps-1</f>
        <v>-0.501927465984252</v>
      </c>
      <c r="L881" s="14" t="n">
        <f aca="false">L880/cf_eps-1</f>
        <v>-0.532726345007874</v>
      </c>
      <c r="M881" s="14" t="n">
        <f aca="false">M880/cf_eps-1</f>
        <v>-0.555843956529134</v>
      </c>
    </row>
    <row r="882" customFormat="false" ht="15" hidden="false" customHeight="false" outlineLevel="0" collapsed="false">
      <c r="A882" s="9" t="s">
        <v>500</v>
      </c>
      <c r="C882" s="50" t="n">
        <f aca="false">C880</f>
        <v>5.92858021653543</v>
      </c>
      <c r="D882" s="50" t="n">
        <f aca="false">(D879+D875)/C864</f>
        <v>6.26703986220473</v>
      </c>
      <c r="E882" s="50" t="n">
        <f aca="false">(E879+E875)/C864</f>
        <v>6.62415723425197</v>
      </c>
      <c r="F882" s="50" t="n">
        <f aca="false">(F879+F875)/C864</f>
        <v>6.26735728346457</v>
      </c>
      <c r="G882" s="50" t="n">
        <f aca="false">(G879+G875)/C864</f>
        <v>5.96931422244095</v>
      </c>
      <c r="H882" s="50" t="n">
        <f aca="false">(H879+H875)/C864</f>
        <v>5.74704124015748</v>
      </c>
      <c r="I882" s="50" t="n">
        <f aca="false">(I879+I875)/C864</f>
        <v>5.39469628937008</v>
      </c>
      <c r="J882" s="50" t="n">
        <f aca="false">(J879+J875)/C864</f>
        <v>5.07569017322835</v>
      </c>
      <c r="K882" s="50" t="n">
        <f aca="false">(K879+K875)/C864</f>
        <v>4.79669065866142</v>
      </c>
      <c r="L882" s="50" t="n">
        <f aca="false">(L879+L875)/C864</f>
        <v>4.56569906598425</v>
      </c>
      <c r="M882" s="50" t="n">
        <f aca="false">(M879+M875)/C864</f>
        <v>4.3923169795748</v>
      </c>
    </row>
    <row r="883" customFormat="false" ht="15" hidden="false" customHeight="false" outlineLevel="0" collapsed="false">
      <c r="A883" s="9" t="s">
        <v>501</v>
      </c>
      <c r="C883" s="18" t="n">
        <f aca="false">C881</f>
        <v>-0.209522637795276</v>
      </c>
      <c r="D883" s="18" t="n">
        <f aca="false">D882/D877-1</f>
        <v>-0.269416118067209</v>
      </c>
      <c r="E883" s="18" t="n">
        <f aca="false">E882/E877-1</f>
        <v>-0.227784949012521</v>
      </c>
      <c r="F883" s="18" t="n">
        <f aca="false">F882/F877-1</f>
        <v>-0.269379114495934</v>
      </c>
      <c r="G883" s="18" t="n">
        <f aca="false">G882/G877-1</f>
        <v>-0.304123660771912</v>
      </c>
      <c r="H883" s="18" t="n">
        <f aca="false">H882/H877-1</f>
        <v>-0.330035265263973</v>
      </c>
      <c r="I883" s="18" t="n">
        <f aca="false">I882/I877-1</f>
        <v>-0.371110086485091</v>
      </c>
      <c r="J883" s="18" t="n">
        <f aca="false">J882/J877-1</f>
        <v>-0.408298413321286</v>
      </c>
      <c r="K883" s="18" t="n">
        <f aca="false">K882/K877-1</f>
        <v>-0.440822946895573</v>
      </c>
      <c r="L883" s="18" t="n">
        <f aca="false">L882/L877-1</f>
        <v>-0.46775092855557</v>
      </c>
      <c r="M883" s="18" t="n">
        <f aca="false">M882/M877-1</f>
        <v>-0.48796304791842</v>
      </c>
    </row>
    <row r="884" customFormat="false" ht="15" hidden="false" customHeight="false" outlineLevel="0" collapsed="false">
      <c r="A884" s="9" t="s">
        <v>502</v>
      </c>
      <c r="C884" s="50" t="n">
        <f aca="false">(C879+C867)/C864</f>
        <v>5.92858021653543</v>
      </c>
      <c r="D884" s="50" t="n">
        <f aca="false">(D879+C867)/C864</f>
        <v>5.20589320866142</v>
      </c>
      <c r="E884" s="50" t="n">
        <f aca="false">(E879+C867)/C864</f>
        <v>5.56301058070866</v>
      </c>
      <c r="F884" s="50" t="n">
        <f aca="false">(F879+C867)/C864</f>
        <v>5.20621062992126</v>
      </c>
      <c r="G884" s="50" t="n">
        <f aca="false">(G879+C867)/C864</f>
        <v>4.90816756889764</v>
      </c>
      <c r="H884" s="50" t="n">
        <f aca="false">(H879+C867)/C864</f>
        <v>4.68589458661417</v>
      </c>
      <c r="I884" s="50" t="n">
        <f aca="false">(I879+C867)/C864</f>
        <v>4.33354963582677</v>
      </c>
      <c r="J884" s="50" t="n">
        <f aca="false">(J879+C867)/C864</f>
        <v>4.01454351968504</v>
      </c>
      <c r="K884" s="50" t="n">
        <f aca="false">(K879+C867)/C864</f>
        <v>3.73554400511811</v>
      </c>
      <c r="L884" s="50" t="n">
        <f aca="false">(L879+C867)/C864</f>
        <v>3.50455241244095</v>
      </c>
      <c r="M884" s="50" t="n">
        <f aca="false">(M879+C867)/C864</f>
        <v>3.3311703260315</v>
      </c>
    </row>
    <row r="885" customFormat="false" ht="15" hidden="false" customHeight="false" outlineLevel="0" collapsed="false">
      <c r="A885" s="9" t="s">
        <v>503</v>
      </c>
      <c r="C885" s="50" t="n">
        <f aca="false">(C879-C866+C867)/C864</f>
        <v>4.48680487204724</v>
      </c>
      <c r="D885" s="50" t="n">
        <f aca="false">(D879-C866+C867)/C864</f>
        <v>3.76411786417323</v>
      </c>
      <c r="E885" s="50" t="n">
        <f aca="false">(E879-C866+C867)/C864</f>
        <v>4.12123523622047</v>
      </c>
      <c r="F885" s="50" t="n">
        <f aca="false">(F879-C866+C867)/C864</f>
        <v>3.76443528543307</v>
      </c>
      <c r="G885" s="50" t="n">
        <f aca="false">(G879-C866+C867)/C864</f>
        <v>3.46639222440945</v>
      </c>
      <c r="H885" s="50" t="n">
        <f aca="false">(H879-C866+C867)/C864</f>
        <v>3.24411924212598</v>
      </c>
      <c r="I885" s="50" t="n">
        <f aca="false">(I879-C866+C867)/C864</f>
        <v>2.89177429133858</v>
      </c>
      <c r="J885" s="50" t="n">
        <f aca="false">(J879-C866+C867)/C864</f>
        <v>2.57276817519685</v>
      </c>
      <c r="K885" s="50" t="n">
        <f aca="false">(K879-C866+C867)/C864</f>
        <v>2.29376866062992</v>
      </c>
      <c r="L885" s="50" t="n">
        <f aca="false">(L879-C866+C867)/C864</f>
        <v>2.06277706795276</v>
      </c>
      <c r="M885" s="50" t="n">
        <f aca="false">(M879-C866+C867)/C864</f>
        <v>1.88939498154331</v>
      </c>
    </row>
    <row r="886" customFormat="false" ht="15" hidden="false" customHeight="false" outlineLevel="0" collapsed="false">
      <c r="A886" s="9" t="s">
        <v>504</v>
      </c>
      <c r="C886" s="50" t="n">
        <f aca="false">C874/C864</f>
        <v>7.38188976377953</v>
      </c>
      <c r="D886" s="50" t="n">
        <f aca="false">D874/C864</f>
        <v>7.38188976377953</v>
      </c>
      <c r="E886" s="50" t="n">
        <f aca="false">E874/C864</f>
        <v>7.38188976377953</v>
      </c>
      <c r="F886" s="50" t="n">
        <f aca="false">F874/C864</f>
        <v>7.38188976377953</v>
      </c>
      <c r="G886" s="50" t="n">
        <f aca="false">G874/C864</f>
        <v>7.38188976377953</v>
      </c>
      <c r="H886" s="50" t="n">
        <f aca="false">H874/C864</f>
        <v>7.38188976377953</v>
      </c>
      <c r="I886" s="50" t="n">
        <f aca="false">I874/C864</f>
        <v>7.38188976377953</v>
      </c>
      <c r="J886" s="50" t="n">
        <f aca="false">J874/C864</f>
        <v>7.38188976377953</v>
      </c>
      <c r="K886" s="50" t="n">
        <f aca="false">K874/C864</f>
        <v>7.38188976377953</v>
      </c>
      <c r="L886" s="50" t="n">
        <f aca="false">L874/C864</f>
        <v>7.38188976377953</v>
      </c>
      <c r="M886" s="50" t="n">
        <f aca="false">M874/C864</f>
        <v>7.38188976377953</v>
      </c>
    </row>
    <row r="887" customFormat="false" ht="15" hidden="false" customHeight="false" outlineLevel="0" collapsed="false">
      <c r="A887" s="9" t="s">
        <v>505</v>
      </c>
      <c r="D887" s="36" t="n">
        <f aca="false">D860+D869*(1-a_tax)-D870-IF(D847=1,C868,0)</f>
        <v>-953.912</v>
      </c>
      <c r="E887" s="36" t="n">
        <f aca="false">E860+E869*(1-a_tax)-E870-IF(E847=1,C868,0)</f>
        <v>-741.6048</v>
      </c>
      <c r="F887" s="36" t="n">
        <f aca="false">F860+F869*(1-a_tax)-F870-IF(F847=1,C868,0)</f>
        <v>-731.37216</v>
      </c>
      <c r="G887" s="36" t="n">
        <f aca="false">G860+G869*(1-a_tax)-G870-IF(G847=1,C868,0)</f>
        <v>-717.382272</v>
      </c>
      <c r="H887" s="36" t="n">
        <f aca="false">H860+H869*(1-a_tax)-H870-IF(H847=1,C868,0)</f>
        <v>-698.5415424</v>
      </c>
      <c r="I887" s="36" t="n">
        <f aca="false">I860+I869*(1-a_tax)-I870-IF(I847=1,C868,0)</f>
        <v>-688.24985088</v>
      </c>
      <c r="J887" s="36" t="n">
        <f aca="false">J860+J869*(1-a_tax)-J870-IF(J847=1,C868,0)</f>
        <v>-675.899821056</v>
      </c>
      <c r="K887" s="36" t="n">
        <f aca="false">K860+K869*(1-a_tax)-K870-IF(K847=1,C868,0)</f>
        <v>-661.0797852672</v>
      </c>
      <c r="L887" s="36" t="n">
        <f aca="false">L860+L869*(1-a_tax)-L870-IF(L847=1,C868,0)</f>
        <v>-643.29574232064</v>
      </c>
      <c r="M887" s="36" t="n">
        <f aca="false">M860+M869*(1-a_tax)-M870-IF(M847=1,C868,0)</f>
        <v>-621.954890784768</v>
      </c>
    </row>
    <row r="888" customFormat="false" ht="15" hidden="false" customHeight="false" outlineLevel="0" collapsed="false">
      <c r="A888" s="4" t="s">
        <v>506</v>
      </c>
      <c r="D888" s="41" t="n">
        <f aca="false">D887-C865</f>
        <v>-1048.412</v>
      </c>
      <c r="E888" s="41" t="n">
        <f aca="false">E887-C865</f>
        <v>-836.1048</v>
      </c>
      <c r="F888" s="41" t="n">
        <f aca="false">F887-C865</f>
        <v>-825.87216</v>
      </c>
      <c r="G888" s="41" t="n">
        <f aca="false">G887-C865</f>
        <v>-811.882272</v>
      </c>
      <c r="H888" s="41" t="n">
        <f aca="false">H887-C865</f>
        <v>-793.0415424</v>
      </c>
      <c r="I888" s="41" t="n">
        <f aca="false">I887-C865</f>
        <v>-782.74985088</v>
      </c>
      <c r="J888" s="41" t="n">
        <f aca="false">J887-C865</f>
        <v>-770.399821056</v>
      </c>
      <c r="K888" s="41" t="n">
        <f aca="false">K887-C865</f>
        <v>-755.5797852672</v>
      </c>
      <c r="L888" s="41" t="n">
        <f aca="false">L887-C865</f>
        <v>-737.79574232064</v>
      </c>
      <c r="M888" s="41" t="n">
        <f aca="false">M887-C865</f>
        <v>-716.454890784768</v>
      </c>
    </row>
    <row r="889" customFormat="false" ht="15" hidden="false" customHeight="false" outlineLevel="0" collapsed="false">
      <c r="A889" s="9" t="s">
        <v>507</v>
      </c>
      <c r="C889" s="36" t="n">
        <f aca="false">0</f>
        <v>0</v>
      </c>
      <c r="D889" s="36" t="n">
        <f aca="false">D875</f>
        <v>69</v>
      </c>
      <c r="E889" s="36" t="n">
        <f aca="false">E875</f>
        <v>69</v>
      </c>
      <c r="F889" s="36" t="n">
        <f aca="false">F875</f>
        <v>69</v>
      </c>
      <c r="G889" s="36" t="n">
        <f aca="false">G875</f>
        <v>69</v>
      </c>
      <c r="H889" s="36" t="n">
        <f aca="false">H875</f>
        <v>69</v>
      </c>
      <c r="I889" s="36" t="n">
        <f aca="false">I875</f>
        <v>69</v>
      </c>
      <c r="J889" s="36" t="n">
        <f aca="false">J875</f>
        <v>69</v>
      </c>
      <c r="K889" s="36" t="n">
        <f aca="false">K875</f>
        <v>69</v>
      </c>
      <c r="L889" s="36" t="n">
        <f aca="false">L875</f>
        <v>69</v>
      </c>
      <c r="M889" s="36" t="n">
        <f aca="false">M875</f>
        <v>69</v>
      </c>
    </row>
    <row r="890" customFormat="false" ht="15" hidden="false" customHeight="false" outlineLevel="0" collapsed="false">
      <c r="A890" s="9" t="s">
        <v>508</v>
      </c>
      <c r="D890" s="36" t="n">
        <f aca="false">D888+D889</f>
        <v>-979.412</v>
      </c>
      <c r="E890" s="36" t="n">
        <f aca="false">E888+E889</f>
        <v>-767.1048</v>
      </c>
      <c r="F890" s="36" t="n">
        <f aca="false">F888+F889</f>
        <v>-756.87216</v>
      </c>
      <c r="G890" s="36" t="n">
        <f aca="false">G888+G889</f>
        <v>-742.882272</v>
      </c>
      <c r="H890" s="36" t="n">
        <f aca="false">H888+H889</f>
        <v>-724.0415424</v>
      </c>
      <c r="I890" s="36" t="n">
        <f aca="false">I888+I889</f>
        <v>-713.74985088</v>
      </c>
      <c r="J890" s="36" t="n">
        <f aca="false">J888+J889</f>
        <v>-701.399821056</v>
      </c>
      <c r="K890" s="36" t="n">
        <f aca="false">K888+K889</f>
        <v>-686.5797852672</v>
      </c>
      <c r="L890" s="36" t="n">
        <f aca="false">L888+L889</f>
        <v>-668.79574232064</v>
      </c>
      <c r="M890" s="36" t="n">
        <f aca="false">M888+M889</f>
        <v>-647.454890784768</v>
      </c>
    </row>
    <row r="891" customFormat="false" ht="15" hidden="false" customHeight="false" outlineLevel="0" collapsed="false">
      <c r="A891" s="9" t="s">
        <v>509</v>
      </c>
      <c r="D891" s="36" t="n">
        <f aca="false">IF(lv_mdr_in_deal=1,D890,D888)</f>
        <v>-1048.412</v>
      </c>
      <c r="E891" s="36" t="n">
        <f aca="false">IF(lv_mdr_in_deal=1,E890,E888)</f>
        <v>-836.1048</v>
      </c>
      <c r="F891" s="36" t="n">
        <f aca="false">IF(lv_mdr_in_deal=1,F890,F888)</f>
        <v>-825.87216</v>
      </c>
      <c r="G891" s="36" t="n">
        <f aca="false">IF(lv_mdr_in_deal=1,G890,G888)</f>
        <v>-811.882272</v>
      </c>
      <c r="H891" s="36" t="n">
        <f aca="false">IF(lv_mdr_in_deal=1,H890,H888)</f>
        <v>-793.0415424</v>
      </c>
      <c r="I891" s="36" t="n">
        <f aca="false">IF(lv_mdr_in_deal=1,I890,I888)</f>
        <v>-782.74985088</v>
      </c>
      <c r="J891" s="36" t="n">
        <f aca="false">IF(lv_mdr_in_deal=1,J890,J888)</f>
        <v>-770.399821056</v>
      </c>
      <c r="K891" s="36" t="n">
        <f aca="false">IF(lv_mdr_in_deal=1,K890,K888)</f>
        <v>-755.5797852672</v>
      </c>
      <c r="L891" s="36" t="n">
        <f aca="false">IF(lv_mdr_in_deal=1,L890,L888)</f>
        <v>-737.79574232064</v>
      </c>
      <c r="M891" s="36" t="n">
        <f aca="false">IF(lv_mdr_in_deal=1,M890,M888)</f>
        <v>-716.454890784768</v>
      </c>
    </row>
    <row r="892" customFormat="false" ht="15" hidden="false" customHeight="false" outlineLevel="0" collapsed="false">
      <c r="A892" s="9" t="s">
        <v>510</v>
      </c>
      <c r="C892" s="36" t="n">
        <f aca="false">-lv_price</f>
        <v>-4000</v>
      </c>
      <c r="D892" s="36" t="n">
        <f aca="false">C892+D891</f>
        <v>-5048.412</v>
      </c>
      <c r="E892" s="36" t="n">
        <f aca="false">D892+E891</f>
        <v>-5884.5168</v>
      </c>
      <c r="F892" s="36" t="n">
        <f aca="false">E892+F891</f>
        <v>-6710.38896</v>
      </c>
      <c r="G892" s="36" t="n">
        <f aca="false">F892+G891</f>
        <v>-7522.271232</v>
      </c>
      <c r="H892" s="36" t="n">
        <f aca="false">G892+H891</f>
        <v>-8315.3127744</v>
      </c>
      <c r="I892" s="36" t="n">
        <f aca="false">H892+I891</f>
        <v>-9098.06262528</v>
      </c>
      <c r="J892" s="36" t="n">
        <f aca="false">I892+J891</f>
        <v>-9868.462446336</v>
      </c>
      <c r="K892" s="36" t="n">
        <f aca="false">J892+K891</f>
        <v>-10624.0422316032</v>
      </c>
      <c r="L892" s="36" t="n">
        <f aca="false">K892+L891</f>
        <v>-11361.8379739238</v>
      </c>
      <c r="M892" s="36" t="n">
        <f aca="false">L892+M891</f>
        <v>-12078.2928647086</v>
      </c>
    </row>
    <row r="893" customFormat="false" ht="15" hidden="false" customHeight="false" outlineLevel="0" collapsed="false">
      <c r="A893" s="9" t="s">
        <v>511</v>
      </c>
      <c r="C893" s="43" t="n">
        <f aca="false">1</f>
        <v>1</v>
      </c>
      <c r="D893" s="43" t="n">
        <f aca="false">1/(1+lv_wacc)^D847</f>
        <v>0.884955752212389</v>
      </c>
      <c r="E893" s="43" t="n">
        <f aca="false">1/(1+lv_wacc)^E847</f>
        <v>0.783146683373796</v>
      </c>
      <c r="F893" s="43" t="n">
        <f aca="false">1/(1+lv_wacc)^F847</f>
        <v>0.693050162277696</v>
      </c>
      <c r="G893" s="43" t="n">
        <f aca="false">1/(1+lv_wacc)^G847</f>
        <v>0.613318727679377</v>
      </c>
      <c r="H893" s="43" t="n">
        <f aca="false">1/(1+lv_wacc)^H847</f>
        <v>0.542759935999449</v>
      </c>
      <c r="I893" s="43" t="n">
        <f aca="false">1/(1+lv_wacc)^I847</f>
        <v>0.48031852743314</v>
      </c>
      <c r="J893" s="43" t="n">
        <f aca="false">1/(1+lv_wacc)^J847</f>
        <v>0.425060643746142</v>
      </c>
      <c r="K893" s="43" t="n">
        <f aca="false">1/(1+lv_wacc)^K847</f>
        <v>0.37615986172225</v>
      </c>
      <c r="L893" s="43" t="n">
        <f aca="false">1/(1+lv_wacc)^L847</f>
        <v>0.332884833382522</v>
      </c>
      <c r="M893" s="43" t="n">
        <f aca="false">1/(1+lv_wacc)^M847</f>
        <v>0.294588348126126</v>
      </c>
    </row>
    <row r="894" customFormat="false" ht="15" hidden="false" customHeight="false" outlineLevel="0" collapsed="false">
      <c r="A894" s="9" t="s">
        <v>512</v>
      </c>
      <c r="C894" s="46" t="n">
        <f aca="false">99</f>
        <v>99</v>
      </c>
      <c r="D894" s="46" t="n">
        <f aca="false">IF(D878&gt;=0,D847,99)</f>
        <v>99</v>
      </c>
      <c r="E894" s="46" t="n">
        <f aca="false">IF(E878&gt;=0,E847,99)</f>
        <v>99</v>
      </c>
      <c r="F894" s="46" t="n">
        <f aca="false">IF(F878&gt;=0,F847,99)</f>
        <v>99</v>
      </c>
      <c r="G894" s="46" t="n">
        <f aca="false">IF(G878&gt;=0,G847,99)</f>
        <v>99</v>
      </c>
      <c r="H894" s="46" t="n">
        <f aca="false">IF(H878&gt;=0,H847,99)</f>
        <v>99</v>
      </c>
      <c r="I894" s="46" t="n">
        <f aca="false">IF(I878&gt;=0,I847,99)</f>
        <v>99</v>
      </c>
      <c r="J894" s="46" t="n">
        <f aca="false">IF(J878&gt;=0,J847,99)</f>
        <v>99</v>
      </c>
      <c r="K894" s="46" t="n">
        <f aca="false">IF(K878&gt;=0,K847,99)</f>
        <v>99</v>
      </c>
      <c r="L894" s="46" t="n">
        <f aca="false">IF(L878&gt;=0,L847,99)</f>
        <v>99</v>
      </c>
      <c r="M894" s="46" t="n">
        <f aca="false">IF(M878&gt;=0,M847,99)</f>
        <v>99</v>
      </c>
    </row>
    <row r="895" customFormat="false" ht="15" hidden="false" customHeight="false" outlineLevel="0" collapsed="false">
      <c r="A895" s="9" t="s">
        <v>513</v>
      </c>
      <c r="C895" s="46" t="n">
        <f aca="false">99</f>
        <v>99</v>
      </c>
      <c r="D895" s="46" t="n">
        <f aca="false">IF(D878+D875&gt;=0,D847,99)</f>
        <v>99</v>
      </c>
      <c r="E895" s="46" t="n">
        <f aca="false">IF(E878+E875&gt;=0,E847,99)</f>
        <v>99</v>
      </c>
      <c r="F895" s="46" t="n">
        <f aca="false">IF(F878+F875&gt;=0,F847,99)</f>
        <v>99</v>
      </c>
      <c r="G895" s="46" t="n">
        <f aca="false">IF(G878+G875&gt;=0,G847,99)</f>
        <v>99</v>
      </c>
      <c r="H895" s="46" t="n">
        <f aca="false">IF(H878+H875&gt;=0,H847,99)</f>
        <v>99</v>
      </c>
      <c r="I895" s="46" t="n">
        <f aca="false">IF(I878+I875&gt;=0,I847,99)</f>
        <v>99</v>
      </c>
      <c r="J895" s="46" t="n">
        <f aca="false">IF(J878+J875&gt;=0,J847,99)</f>
        <v>99</v>
      </c>
      <c r="K895" s="46" t="n">
        <f aca="false">IF(K878+K875&gt;=0,K847,99)</f>
        <v>99</v>
      </c>
      <c r="L895" s="46" t="n">
        <f aca="false">IF(L878+L875&gt;=0,L847,99)</f>
        <v>99</v>
      </c>
      <c r="M895" s="46" t="n">
        <f aca="false">IF(M878+M875&gt;=0,M847,99)</f>
        <v>99</v>
      </c>
    </row>
    <row r="896" customFormat="false" ht="15" hidden="false" customHeight="false" outlineLevel="0" collapsed="false">
      <c r="A896" s="9" t="s">
        <v>514</v>
      </c>
      <c r="C896" s="46" t="n">
        <f aca="false">99</f>
        <v>99</v>
      </c>
      <c r="D896" s="46" t="n">
        <f aca="false">IF(D888&gt;=0,D847,99)</f>
        <v>99</v>
      </c>
      <c r="E896" s="46" t="n">
        <f aca="false">IF(E888&gt;=0,E847,99)</f>
        <v>99</v>
      </c>
      <c r="F896" s="46" t="n">
        <f aca="false">IF(F888&gt;=0,F847,99)</f>
        <v>99</v>
      </c>
      <c r="G896" s="46" t="n">
        <f aca="false">IF(G888&gt;=0,G847,99)</f>
        <v>99</v>
      </c>
      <c r="H896" s="46" t="n">
        <f aca="false">IF(H888&gt;=0,H847,99)</f>
        <v>99</v>
      </c>
      <c r="I896" s="46" t="n">
        <f aca="false">IF(I888&gt;=0,I847,99)</f>
        <v>99</v>
      </c>
      <c r="J896" s="46" t="n">
        <f aca="false">IF(J888&gt;=0,J847,99)</f>
        <v>99</v>
      </c>
      <c r="K896" s="46" t="n">
        <f aca="false">IF(K888&gt;=0,K847,99)</f>
        <v>99</v>
      </c>
      <c r="L896" s="46" t="n">
        <f aca="false">IF(L888&gt;=0,L847,99)</f>
        <v>99</v>
      </c>
      <c r="M896" s="46" t="n">
        <f aca="false">IF(M888&gt;=0,M847,99)</f>
        <v>99</v>
      </c>
    </row>
    <row r="897" customFormat="false" ht="15" hidden="false" customHeight="false" outlineLevel="0" collapsed="false">
      <c r="A897" s="9" t="s">
        <v>515</v>
      </c>
      <c r="C897" s="46" t="n">
        <f aca="false">99</f>
        <v>99</v>
      </c>
      <c r="D897" s="46" t="n">
        <f aca="false">IF(D890&gt;=0,D847,99)</f>
        <v>99</v>
      </c>
      <c r="E897" s="46" t="n">
        <f aca="false">IF(E890&gt;=0,E847,99)</f>
        <v>99</v>
      </c>
      <c r="F897" s="46" t="n">
        <f aca="false">IF(F890&gt;=0,F847,99)</f>
        <v>99</v>
      </c>
      <c r="G897" s="46" t="n">
        <f aca="false">IF(G890&gt;=0,G847,99)</f>
        <v>99</v>
      </c>
      <c r="H897" s="46" t="n">
        <f aca="false">IF(H890&gt;=0,H847,99)</f>
        <v>99</v>
      </c>
      <c r="I897" s="46" t="n">
        <f aca="false">IF(I890&gt;=0,I847,99)</f>
        <v>99</v>
      </c>
      <c r="J897" s="46" t="n">
        <f aca="false">IF(J890&gt;=0,J847,99)</f>
        <v>99</v>
      </c>
      <c r="K897" s="46" t="n">
        <f aca="false">IF(K890&gt;=0,K847,99)</f>
        <v>99</v>
      </c>
      <c r="L897" s="46" t="n">
        <f aca="false">IF(L890&gt;=0,L847,99)</f>
        <v>99</v>
      </c>
      <c r="M897" s="46" t="n">
        <f aca="false">IF(M890&gt;=0,M847,99)</f>
        <v>99</v>
      </c>
    </row>
    <row r="898" customFormat="false" ht="15" hidden="false" customHeight="false" outlineLevel="0" collapsed="false">
      <c r="A898" s="9" t="s">
        <v>516</v>
      </c>
      <c r="C898" s="46" t="n">
        <f aca="false">99</f>
        <v>99</v>
      </c>
      <c r="D898" s="46" t="n">
        <f aca="false">IF(D892&gt;=0,D847,99)</f>
        <v>99</v>
      </c>
      <c r="E898" s="46" t="n">
        <f aca="false">IF(E892&gt;=0,E847,99)</f>
        <v>99</v>
      </c>
      <c r="F898" s="46" t="n">
        <f aca="false">IF(F892&gt;=0,F847,99)</f>
        <v>99</v>
      </c>
      <c r="G898" s="46" t="n">
        <f aca="false">IF(G892&gt;=0,G847,99)</f>
        <v>99</v>
      </c>
      <c r="H898" s="46" t="n">
        <f aca="false">IF(H892&gt;=0,H847,99)</f>
        <v>99</v>
      </c>
      <c r="I898" s="46" t="n">
        <f aca="false">IF(I892&gt;=0,I847,99)</f>
        <v>99</v>
      </c>
      <c r="J898" s="46" t="n">
        <f aca="false">IF(J892&gt;=0,J847,99)</f>
        <v>99</v>
      </c>
      <c r="K898" s="46" t="n">
        <f aca="false">IF(K892&gt;=0,K847,99)</f>
        <v>99</v>
      </c>
      <c r="L898" s="46" t="n">
        <f aca="false">IF(L892&gt;=0,L847,99)</f>
        <v>99</v>
      </c>
      <c r="M898" s="46" t="n">
        <f aca="false">IF(M892&gt;=0,M847,99)</f>
        <v>99</v>
      </c>
    </row>
    <row r="899" customFormat="false" ht="15" hidden="false" customHeight="false" outlineLevel="0" collapsed="false">
      <c r="A899" s="4" t="s">
        <v>517</v>
      </c>
      <c r="C899" s="23" t="n">
        <f aca="false">MIN(D894:M894)</f>
        <v>99</v>
      </c>
    </row>
    <row r="900" customFormat="false" ht="15" hidden="false" customHeight="false" outlineLevel="0" collapsed="false">
      <c r="A900" s="9" t="s">
        <v>518</v>
      </c>
      <c r="C900" s="46" t="n">
        <f aca="false">MIN(D895:M895)</f>
        <v>99</v>
      </c>
    </row>
    <row r="901" customFormat="false" ht="15" hidden="false" customHeight="false" outlineLevel="0" collapsed="false">
      <c r="A901" s="4" t="s">
        <v>519</v>
      </c>
      <c r="C901" s="23" t="n">
        <f aca="false">MIN(D896:M896)</f>
        <v>99</v>
      </c>
    </row>
    <row r="902" customFormat="false" ht="15" hidden="false" customHeight="false" outlineLevel="0" collapsed="false">
      <c r="A902" s="9" t="s">
        <v>520</v>
      </c>
      <c r="C902" s="46" t="n">
        <f aca="false">MIN(D897:M897)</f>
        <v>99</v>
      </c>
    </row>
    <row r="903" customFormat="false" ht="15" hidden="false" customHeight="false" outlineLevel="0" collapsed="false">
      <c r="A903" s="9" t="s">
        <v>521</v>
      </c>
      <c r="C903" s="46" t="n">
        <f aca="false">MIN(D898:M898)</f>
        <v>99</v>
      </c>
    </row>
    <row r="904" customFormat="false" ht="15" hidden="false" customHeight="false" outlineLevel="0" collapsed="false">
      <c r="A904" s="4" t="s">
        <v>522</v>
      </c>
      <c r="C904" s="15" t="n">
        <f aca="false">M892</f>
        <v>-12078.2928647086</v>
      </c>
    </row>
    <row r="905" customFormat="false" ht="15" hidden="false" customHeight="false" outlineLevel="0" collapsed="false">
      <c r="A905" s="9" t="s">
        <v>523</v>
      </c>
      <c r="C905" s="36" t="n">
        <f aca="false">SUMPRODUCT(D860:M860,D893:M893)</f>
        <v>196.405028554433</v>
      </c>
    </row>
    <row r="906" customFormat="false" ht="15" hidden="false" customHeight="false" outlineLevel="0" collapsed="false">
      <c r="A906" s="9" t="s">
        <v>524</v>
      </c>
      <c r="C906" s="36" t="n">
        <f aca="false">M860*(1+a_tg)/(lv_wacc-a_tg)</f>
        <v>1680.59205844992</v>
      </c>
    </row>
    <row r="907" customFormat="false" ht="15" hidden="false" customHeight="false" outlineLevel="0" collapsed="false">
      <c r="A907" s="9" t="s">
        <v>314</v>
      </c>
      <c r="C907" s="36" t="n">
        <f aca="false">C906*M893</f>
        <v>495.082838372647</v>
      </c>
    </row>
    <row r="908" customFormat="false" ht="15" hidden="false" customHeight="false" outlineLevel="0" collapsed="false">
      <c r="A908" s="4" t="s">
        <v>525</v>
      </c>
      <c r="C908" s="15" t="n">
        <f aca="false">C905+C907</f>
        <v>691.48786692708</v>
      </c>
    </row>
    <row r="909" customFormat="false" ht="15" hidden="false" customHeight="false" outlineLevel="0" collapsed="false">
      <c r="A909" s="9" t="s">
        <v>526</v>
      </c>
      <c r="C909" s="32" t="n">
        <f aca="false">SUMPRODUCT(D870:M870,D893:M893)-a_recovery*M872*M893</f>
        <v>4069.68260696466</v>
      </c>
    </row>
    <row r="910" customFormat="false" ht="15" hidden="false" customHeight="false" outlineLevel="0" collapsed="false">
      <c r="A910" s="9" t="s">
        <v>527</v>
      </c>
      <c r="C910" s="36" t="n">
        <f aca="false">SUMPRODUCT(D869:M869,D893:M893)*(1-a_tax)</f>
        <v>0</v>
      </c>
    </row>
    <row r="911" customFormat="false" ht="15" hidden="false" customHeight="false" outlineLevel="0" collapsed="false">
      <c r="A911" s="9" t="s">
        <v>528</v>
      </c>
      <c r="C911" s="36" t="n">
        <f aca="false">C868*D893</f>
        <v>141.592920353982</v>
      </c>
    </row>
    <row r="912" customFormat="false" ht="15" hidden="false" customHeight="false" outlineLevel="0" collapsed="false">
      <c r="A912" s="4" t="s">
        <v>529</v>
      </c>
      <c r="C912" s="20" t="n">
        <f aca="false">C908+C910-C909-C911-lv_price</f>
        <v>-7519.78766039157</v>
      </c>
    </row>
    <row r="913" customFormat="false" ht="15" hidden="false" customHeight="false" outlineLevel="0" collapsed="false">
      <c r="A913" s="9" t="s">
        <v>530</v>
      </c>
      <c r="C913" s="32" t="n">
        <f aca="false">C912+SUMPRODUCT(D889:M889,D893:M893)</f>
        <v>-7145.37686055082</v>
      </c>
    </row>
    <row r="914" customFormat="false" ht="15" hidden="false" customHeight="false" outlineLevel="0" collapsed="false">
      <c r="A914" s="4" t="s">
        <v>531</v>
      </c>
      <c r="C914" s="59" t="n">
        <f aca="false">lv_price/D850</f>
        <v>25.2525252525253</v>
      </c>
    </row>
    <row r="915" customFormat="false" ht="15" hidden="false" customHeight="false" outlineLevel="0" collapsed="false">
      <c r="A915" s="9" t="s">
        <v>532</v>
      </c>
      <c r="C915" s="17" t="n">
        <f aca="false">(lv_price+C909)/D850</f>
        <v>50.9449659530597</v>
      </c>
    </row>
    <row r="916" customFormat="false" ht="15" hidden="false" customHeight="false" outlineLevel="0" collapsed="false">
      <c r="A916" s="4" t="s">
        <v>533</v>
      </c>
      <c r="C916" s="15" t="n">
        <f aca="false">(C912+C909)/SUMPRODUCT(D893:M893)</f>
        <v>-635.818327857292</v>
      </c>
    </row>
    <row r="917" customFormat="false" ht="15" hidden="false" customHeight="false" outlineLevel="0" collapsed="false">
      <c r="A917" s="4" t="s">
        <v>534</v>
      </c>
      <c r="C917" s="25" t="n">
        <f aca="false">D880</f>
        <v>5.20589320866142</v>
      </c>
    </row>
    <row r="918" customFormat="false" ht="15" hidden="false" customHeight="false" outlineLevel="0" collapsed="false">
      <c r="A918" s="9" t="s">
        <v>535</v>
      </c>
      <c r="C918" s="50" t="n">
        <f aca="false">F880</f>
        <v>5.20621062992126</v>
      </c>
    </row>
    <row r="919" customFormat="false" ht="15" hidden="false" customHeight="false" outlineLevel="0" collapsed="false">
      <c r="A919" s="4" t="s">
        <v>536</v>
      </c>
      <c r="C919" s="20" t="n">
        <f aca="false">D888</f>
        <v>-1048.412</v>
      </c>
    </row>
    <row r="920" customFormat="false" ht="15" hidden="false" customHeight="false" outlineLevel="0" collapsed="false">
      <c r="A920" s="9" t="s">
        <v>537</v>
      </c>
      <c r="C920" s="32" t="n">
        <f aca="false">cf_cash-lv_mix_cash-C868</f>
        <v>6640</v>
      </c>
    </row>
    <row r="921" customFormat="false" ht="15" hidden="false" customHeight="false" outlineLevel="0" collapsed="false">
      <c r="A921" s="9" t="s">
        <v>538</v>
      </c>
      <c r="C921" s="32" t="n">
        <f aca="false">cf_debt+lv_mix_debt</f>
        <v>350</v>
      </c>
    </row>
    <row r="922" customFormat="false" ht="15" hidden="false" customHeight="false" outlineLevel="0" collapsed="false">
      <c r="A922" s="9" t="s">
        <v>539</v>
      </c>
      <c r="C922" s="34" t="n">
        <f aca="false">C921/cf_ebitda</f>
        <v>0.546875</v>
      </c>
    </row>
    <row r="923" customFormat="false" ht="15" hidden="false" customHeight="false" outlineLevel="0" collapsed="false">
      <c r="A923" s="9" t="s">
        <v>540</v>
      </c>
      <c r="C923" s="32" t="n">
        <f aca="false">C920+SUM(D891:F891)+3*cf_pat</f>
        <v>5369.61104</v>
      </c>
    </row>
    <row r="925" customFormat="false" ht="15" hidden="false" customHeight="false" outlineLevel="0" collapsed="false">
      <c r="A925" s="7" t="s">
        <v>659</v>
      </c>
      <c r="B925" s="8"/>
      <c r="C925" s="8"/>
      <c r="D925" s="8"/>
      <c r="E925" s="8"/>
      <c r="F925" s="8"/>
      <c r="G925" s="8"/>
      <c r="H925" s="8"/>
      <c r="I925" s="8"/>
      <c r="J925" s="8"/>
      <c r="K925" s="8"/>
      <c r="L925" s="8"/>
      <c r="M925" s="8"/>
      <c r="N925" s="8"/>
    </row>
    <row r="926" customFormat="false" ht="15" hidden="false" customHeight="false" outlineLevel="0" collapsed="false">
      <c r="A926" s="4" t="s">
        <v>284</v>
      </c>
      <c r="C926" s="39" t="n">
        <v>0</v>
      </c>
      <c r="D926" s="39" t="n">
        <v>1</v>
      </c>
      <c r="E926" s="39" t="n">
        <v>2</v>
      </c>
      <c r="F926" s="39" t="n">
        <v>3</v>
      </c>
      <c r="G926" s="39" t="n">
        <v>4</v>
      </c>
      <c r="H926" s="39" t="n">
        <v>5</v>
      </c>
      <c r="I926" s="39" t="n">
        <v>6</v>
      </c>
      <c r="J926" s="39" t="n">
        <v>7</v>
      </c>
      <c r="K926" s="39" t="n">
        <v>8</v>
      </c>
      <c r="L926" s="39" t="n">
        <v>9</v>
      </c>
      <c r="M926" s="39" t="n">
        <v>10</v>
      </c>
    </row>
    <row r="927" customFormat="false" ht="15" hidden="false" customHeight="false" outlineLevel="0" collapsed="false">
      <c r="A927" s="9" t="s">
        <v>285</v>
      </c>
      <c r="C927" s="40" t="n">
        <f aca="false">cf_arr</f>
        <v>220</v>
      </c>
      <c r="D927" s="36" t="n">
        <f aca="false">C927*(1+lv_g)</f>
        <v>264</v>
      </c>
      <c r="E927" s="36" t="n">
        <f aca="false">D927*(1+lv_g)</f>
        <v>316.8</v>
      </c>
      <c r="F927" s="36" t="n">
        <f aca="false">E927*(1+lv_g)</f>
        <v>380.16</v>
      </c>
      <c r="G927" s="36" t="n">
        <f aca="false">F927*(1+lv_g)</f>
        <v>456.192</v>
      </c>
      <c r="H927" s="36" t="n">
        <f aca="false">G927*(1+lv_g)</f>
        <v>547.4304</v>
      </c>
      <c r="I927" s="36" t="n">
        <f aca="false">H927*(1+lv_g)</f>
        <v>656.91648</v>
      </c>
      <c r="J927" s="36" t="n">
        <f aca="false">I927*(1+lv_g)</f>
        <v>788.299776</v>
      </c>
      <c r="K927" s="36" t="n">
        <f aca="false">J927*(1+lv_g)</f>
        <v>945.9597312</v>
      </c>
      <c r="L927" s="36" t="n">
        <f aca="false">K927*(1+lv_g)</f>
        <v>1135.15167744</v>
      </c>
      <c r="M927" s="36" t="n">
        <f aca="false">L927*(1+lv_g)</f>
        <v>1362.182012928</v>
      </c>
    </row>
    <row r="928" customFormat="false" ht="15" hidden="false" customHeight="false" outlineLevel="0" collapsed="false">
      <c r="A928" s="9" t="s">
        <v>286</v>
      </c>
      <c r="C928" s="18" t="n">
        <f aca="false">1</f>
        <v>1</v>
      </c>
      <c r="D928" s="18" t="n">
        <f aca="false">IF(D926&gt;=a_churn_year,1-Churn!$A$18,1)</f>
        <v>0.6</v>
      </c>
      <c r="E928" s="18" t="n">
        <f aca="false">IF(E926&gt;=a_churn_year,1-Churn!$A$18,1)</f>
        <v>0.6</v>
      </c>
      <c r="F928" s="18" t="n">
        <f aca="false">IF(F926&gt;=a_churn_year,1-Churn!$A$18,1)</f>
        <v>0.6</v>
      </c>
      <c r="G928" s="18" t="n">
        <f aca="false">IF(G926&gt;=a_churn_year,1-Churn!$A$18,1)</f>
        <v>0.6</v>
      </c>
      <c r="H928" s="18" t="n">
        <f aca="false">IF(H926&gt;=a_churn_year,1-Churn!$A$18,1)</f>
        <v>0.6</v>
      </c>
      <c r="I928" s="18" t="n">
        <f aca="false">IF(I926&gt;=a_churn_year,1-Churn!$A$18,1)</f>
        <v>0.6</v>
      </c>
      <c r="J928" s="18" t="n">
        <f aca="false">IF(J926&gt;=a_churn_year,1-Churn!$A$18,1)</f>
        <v>0.6</v>
      </c>
      <c r="K928" s="18" t="n">
        <f aca="false">IF(K926&gt;=a_churn_year,1-Churn!$A$18,1)</f>
        <v>0.6</v>
      </c>
      <c r="L928" s="18" t="n">
        <f aca="false">IF(L926&gt;=a_churn_year,1-Churn!$A$18,1)</f>
        <v>0.6</v>
      </c>
      <c r="M928" s="18" t="n">
        <f aca="false">IF(M926&gt;=a_churn_year,1-Churn!$A$18,1)</f>
        <v>0.6</v>
      </c>
    </row>
    <row r="929" customFormat="false" ht="15" hidden="false" customHeight="false" outlineLevel="0" collapsed="false">
      <c r="A929" s="4" t="s">
        <v>287</v>
      </c>
      <c r="C929" s="41" t="n">
        <f aca="false">C927*C928</f>
        <v>220</v>
      </c>
      <c r="D929" s="41" t="n">
        <f aca="false">D927*D928</f>
        <v>158.4</v>
      </c>
      <c r="E929" s="41" t="n">
        <f aca="false">E927*E928</f>
        <v>190.08</v>
      </c>
      <c r="F929" s="41" t="n">
        <f aca="false">F927*F928</f>
        <v>228.096</v>
      </c>
      <c r="G929" s="41" t="n">
        <f aca="false">G927*G928</f>
        <v>273.7152</v>
      </c>
      <c r="H929" s="41" t="n">
        <f aca="false">H927*H928</f>
        <v>328.45824</v>
      </c>
      <c r="I929" s="41" t="n">
        <f aca="false">I927*I928</f>
        <v>394.149888</v>
      </c>
      <c r="J929" s="41" t="n">
        <f aca="false">J927*J928</f>
        <v>472.9798656</v>
      </c>
      <c r="K929" s="41" t="n">
        <f aca="false">K927*K928</f>
        <v>567.57583872</v>
      </c>
      <c r="L929" s="41" t="n">
        <f aca="false">L927*L928</f>
        <v>681.091006464</v>
      </c>
      <c r="M929" s="41" t="n">
        <f aca="false">M927*M928</f>
        <v>817.3092077568</v>
      </c>
    </row>
    <row r="930" customFormat="false" ht="15" hidden="false" customHeight="false" outlineLevel="0" collapsed="false">
      <c r="A930" s="9" t="s">
        <v>288</v>
      </c>
      <c r="C930" s="18" t="n">
        <f aca="false">MIN(a_m0+a_mstep*C926,a_mcap)</f>
        <v>0</v>
      </c>
      <c r="D930" s="18" t="n">
        <f aca="false">MIN(a_m0+a_mstep*D926,a_mcap)</f>
        <v>0.05</v>
      </c>
      <c r="E930" s="18" t="n">
        <f aca="false">MIN(a_m0+a_mstep*E926,a_mcap)</f>
        <v>0.1</v>
      </c>
      <c r="F930" s="18" t="n">
        <f aca="false">MIN(a_m0+a_mstep*F926,a_mcap)</f>
        <v>0.15</v>
      </c>
      <c r="G930" s="18" t="n">
        <f aca="false">MIN(a_m0+a_mstep*G926,a_mcap)</f>
        <v>0.2</v>
      </c>
      <c r="H930" s="18" t="n">
        <f aca="false">MIN(a_m0+a_mstep*H926,a_mcap)</f>
        <v>0.25</v>
      </c>
      <c r="I930" s="18" t="n">
        <f aca="false">MIN(a_m0+a_mstep*I926,a_mcap)</f>
        <v>0.25</v>
      </c>
      <c r="J930" s="18" t="n">
        <f aca="false">MIN(a_m0+a_mstep*J926,a_mcap)</f>
        <v>0.25</v>
      </c>
      <c r="K930" s="18" t="n">
        <f aca="false">MIN(a_m0+a_mstep*K926,a_mcap)</f>
        <v>0.25</v>
      </c>
      <c r="L930" s="18" t="n">
        <f aca="false">MIN(a_m0+a_mstep*L926,a_mcap)</f>
        <v>0.25</v>
      </c>
      <c r="M930" s="18" t="n">
        <f aca="false">MIN(a_m0+a_mstep*M926,a_mcap)</f>
        <v>0.25</v>
      </c>
    </row>
    <row r="931" customFormat="false" ht="15" hidden="false" customHeight="false" outlineLevel="0" collapsed="false">
      <c r="A931" s="9" t="s">
        <v>289</v>
      </c>
      <c r="C931" s="36" t="n">
        <f aca="false">IF(C926=a_churn_year,a_sticky*(C927-C929)*(1-C930),0)</f>
        <v>0</v>
      </c>
      <c r="D931" s="36" t="n">
        <f aca="false">IF(D926=a_churn_year,a_sticky*(D927-D929)*(1-D930),0)</f>
        <v>50.16</v>
      </c>
      <c r="E931" s="36" t="n">
        <f aca="false">IF(E926=a_churn_year,a_sticky*(E927-E929)*(1-E930),0)</f>
        <v>0</v>
      </c>
      <c r="F931" s="36" t="n">
        <f aca="false">IF(F926=a_churn_year,a_sticky*(F927-F929)*(1-F930),0)</f>
        <v>0</v>
      </c>
      <c r="G931" s="36" t="n">
        <f aca="false">IF(G926=a_churn_year,a_sticky*(G927-G929)*(1-G930),0)</f>
        <v>0</v>
      </c>
      <c r="H931" s="36" t="n">
        <f aca="false">IF(H926=a_churn_year,a_sticky*(H927-H929)*(1-H930),0)</f>
        <v>0</v>
      </c>
      <c r="I931" s="36" t="n">
        <f aca="false">IF(I926=a_churn_year,a_sticky*(I927-I929)*(1-I930),0)</f>
        <v>0</v>
      </c>
      <c r="J931" s="36" t="n">
        <f aca="false">IF(J926=a_churn_year,a_sticky*(J927-J929)*(1-J930),0)</f>
        <v>0</v>
      </c>
      <c r="K931" s="36" t="n">
        <f aca="false">IF(K926=a_churn_year,a_sticky*(K927-K929)*(1-K930),0)</f>
        <v>0</v>
      </c>
      <c r="L931" s="36" t="n">
        <f aca="false">IF(L926=a_churn_year,a_sticky*(L927-L929)*(1-L930),0)</f>
        <v>0</v>
      </c>
      <c r="M931" s="36" t="n">
        <f aca="false">IF(M926=a_churn_year,a_sticky*(M927-M929)*(1-M930),0)</f>
        <v>0</v>
      </c>
    </row>
    <row r="932" customFormat="false" ht="15" hidden="false" customHeight="false" outlineLevel="0" collapsed="false">
      <c r="A932" s="4" t="s">
        <v>290</v>
      </c>
      <c r="C932" s="41" t="n">
        <f aca="false">C929*C930-C931</f>
        <v>0</v>
      </c>
      <c r="D932" s="41" t="n">
        <f aca="false">D929*D930-D931</f>
        <v>-42.24</v>
      </c>
      <c r="E932" s="41" t="n">
        <f aca="false">E929*E930-E931</f>
        <v>19.008</v>
      </c>
      <c r="F932" s="41" t="n">
        <f aca="false">F929*F930-F931</f>
        <v>34.2144</v>
      </c>
      <c r="G932" s="41" t="n">
        <f aca="false">G929*G930-G931</f>
        <v>54.74304</v>
      </c>
      <c r="H932" s="41" t="n">
        <f aca="false">H929*H930-H931</f>
        <v>82.11456</v>
      </c>
      <c r="I932" s="41" t="n">
        <f aca="false">I929*I930-I931</f>
        <v>98.537472</v>
      </c>
      <c r="J932" s="41" t="n">
        <f aca="false">J929*J930-J931</f>
        <v>118.2449664</v>
      </c>
      <c r="K932" s="41" t="n">
        <f aca="false">K929*K930-K931</f>
        <v>141.89395968</v>
      </c>
      <c r="L932" s="41" t="n">
        <f aca="false">L929*L930-L931</f>
        <v>170.272751616</v>
      </c>
      <c r="M932" s="41" t="n">
        <f aca="false">M929*M930-M931</f>
        <v>204.3273019392</v>
      </c>
    </row>
    <row r="933" customFormat="false" ht="15" hidden="false" customHeight="false" outlineLevel="0" collapsed="false">
      <c r="A933" s="9" t="s">
        <v>291</v>
      </c>
      <c r="C933" s="36" t="n">
        <f aca="false">C929*a_da</f>
        <v>6.6</v>
      </c>
      <c r="D933" s="36" t="n">
        <f aca="false">D929*a_da</f>
        <v>4.752</v>
      </c>
      <c r="E933" s="36" t="n">
        <f aca="false">E929*a_da</f>
        <v>5.7024</v>
      </c>
      <c r="F933" s="36" t="n">
        <f aca="false">F929*a_da</f>
        <v>6.84288</v>
      </c>
      <c r="G933" s="36" t="n">
        <f aca="false">G929*a_da</f>
        <v>8.211456</v>
      </c>
      <c r="H933" s="36" t="n">
        <f aca="false">H929*a_da</f>
        <v>9.8537472</v>
      </c>
      <c r="I933" s="36" t="n">
        <f aca="false">I929*a_da</f>
        <v>11.82449664</v>
      </c>
      <c r="J933" s="36" t="n">
        <f aca="false">J929*a_da</f>
        <v>14.189395968</v>
      </c>
      <c r="K933" s="36" t="n">
        <f aca="false">K929*a_da</f>
        <v>17.0272751616</v>
      </c>
      <c r="L933" s="36" t="n">
        <f aca="false">L929*a_da</f>
        <v>20.43273019392</v>
      </c>
      <c r="M933" s="36" t="n">
        <f aca="false">M929*a_da</f>
        <v>24.519276232704</v>
      </c>
    </row>
    <row r="934" customFormat="false" ht="15" hidden="false" customHeight="false" outlineLevel="0" collapsed="false">
      <c r="A934" s="9" t="s">
        <v>292</v>
      </c>
      <c r="C934" s="36" t="n">
        <f aca="false">C932-C933</f>
        <v>-6.6</v>
      </c>
      <c r="D934" s="36" t="n">
        <f aca="false">D932-D933</f>
        <v>-46.992</v>
      </c>
      <c r="E934" s="36" t="n">
        <f aca="false">E932-E933</f>
        <v>13.3056</v>
      </c>
      <c r="F934" s="36" t="n">
        <f aca="false">F932-F933</f>
        <v>27.37152</v>
      </c>
      <c r="G934" s="36" t="n">
        <f aca="false">G932-G933</f>
        <v>46.531584</v>
      </c>
      <c r="H934" s="36" t="n">
        <f aca="false">H932-H933</f>
        <v>72.2608128</v>
      </c>
      <c r="I934" s="36" t="n">
        <f aca="false">I932-I933</f>
        <v>86.71297536</v>
      </c>
      <c r="J934" s="36" t="n">
        <f aca="false">J932-J933</f>
        <v>104.055570432</v>
      </c>
      <c r="K934" s="36" t="n">
        <f aca="false">K932-K933</f>
        <v>124.8666845184</v>
      </c>
      <c r="L934" s="36" t="n">
        <f aca="false">L932-L933</f>
        <v>149.84002142208</v>
      </c>
      <c r="M934" s="36" t="n">
        <f aca="false">M932-M933</f>
        <v>179.808025706496</v>
      </c>
    </row>
    <row r="935" customFormat="false" ht="15" hidden="false" customHeight="false" outlineLevel="0" collapsed="false">
      <c r="A935" s="9" t="s">
        <v>293</v>
      </c>
      <c r="C935" s="36" t="n">
        <f aca="false">MAX(0,C934)*a_tax</f>
        <v>0</v>
      </c>
      <c r="D935" s="36" t="n">
        <f aca="false">MAX(0,D934)*a_tax</f>
        <v>0</v>
      </c>
      <c r="E935" s="36" t="n">
        <f aca="false">MAX(0,E934)*a_tax</f>
        <v>3.3264</v>
      </c>
      <c r="F935" s="36" t="n">
        <f aca="false">MAX(0,F934)*a_tax</f>
        <v>6.84288</v>
      </c>
      <c r="G935" s="36" t="n">
        <f aca="false">MAX(0,G934)*a_tax</f>
        <v>11.632896</v>
      </c>
      <c r="H935" s="36" t="n">
        <f aca="false">MAX(0,H934)*a_tax</f>
        <v>18.0652032</v>
      </c>
      <c r="I935" s="36" t="n">
        <f aca="false">MAX(0,I934)*a_tax</f>
        <v>21.67824384</v>
      </c>
      <c r="J935" s="36" t="n">
        <f aca="false">MAX(0,J934)*a_tax</f>
        <v>26.013892608</v>
      </c>
      <c r="K935" s="36" t="n">
        <f aca="false">MAX(0,K934)*a_tax</f>
        <v>31.2166711296</v>
      </c>
      <c r="L935" s="36" t="n">
        <f aca="false">MAX(0,L934)*a_tax</f>
        <v>37.46000535552</v>
      </c>
      <c r="M935" s="36" t="n">
        <f aca="false">MAX(0,M934)*a_tax</f>
        <v>44.952006426624</v>
      </c>
    </row>
    <row r="936" customFormat="false" ht="15" hidden="false" customHeight="false" outlineLevel="0" collapsed="false">
      <c r="A936" s="4" t="s">
        <v>294</v>
      </c>
      <c r="C936" s="42" t="n">
        <f aca="false">cf_lim_pat</f>
        <v>0</v>
      </c>
      <c r="D936" s="41" t="n">
        <f aca="false">D934-D935</f>
        <v>-46.992</v>
      </c>
      <c r="E936" s="41" t="n">
        <f aca="false">E934-E935</f>
        <v>9.9792</v>
      </c>
      <c r="F936" s="41" t="n">
        <f aca="false">F934-F935</f>
        <v>20.52864</v>
      </c>
      <c r="G936" s="41" t="n">
        <f aca="false">G934-G935</f>
        <v>34.898688</v>
      </c>
      <c r="H936" s="41" t="n">
        <f aca="false">H934-H935</f>
        <v>54.1956096</v>
      </c>
      <c r="I936" s="41" t="n">
        <f aca="false">I934-I935</f>
        <v>65.03473152</v>
      </c>
      <c r="J936" s="41" t="n">
        <f aca="false">J934-J935</f>
        <v>78.041677824</v>
      </c>
      <c r="K936" s="41" t="n">
        <f aca="false">K934-K935</f>
        <v>93.6500133888</v>
      </c>
      <c r="L936" s="41" t="n">
        <f aca="false">L934-L935</f>
        <v>112.38001606656</v>
      </c>
      <c r="M936" s="41" t="n">
        <f aca="false">M934-M935</f>
        <v>134.856019279872</v>
      </c>
    </row>
    <row r="937" customFormat="false" ht="15" hidden="false" customHeight="false" outlineLevel="0" collapsed="false">
      <c r="A937" s="9" t="s">
        <v>295</v>
      </c>
      <c r="C937" s="36" t="n">
        <f aca="false">C929*a_capex</f>
        <v>6.6</v>
      </c>
      <c r="D937" s="36" t="n">
        <f aca="false">D929*a_capex</f>
        <v>4.752</v>
      </c>
      <c r="E937" s="36" t="n">
        <f aca="false">E929*a_capex</f>
        <v>5.7024</v>
      </c>
      <c r="F937" s="36" t="n">
        <f aca="false">F929*a_capex</f>
        <v>6.84288</v>
      </c>
      <c r="G937" s="36" t="n">
        <f aca="false">G929*a_capex</f>
        <v>8.211456</v>
      </c>
      <c r="H937" s="36" t="n">
        <f aca="false">H929*a_capex</f>
        <v>9.8537472</v>
      </c>
      <c r="I937" s="36" t="n">
        <f aca="false">I929*a_capex</f>
        <v>11.82449664</v>
      </c>
      <c r="J937" s="36" t="n">
        <f aca="false">J929*a_capex</f>
        <v>14.189395968</v>
      </c>
      <c r="K937" s="36" t="n">
        <f aca="false">K929*a_capex</f>
        <v>17.0272751616</v>
      </c>
      <c r="L937" s="36" t="n">
        <f aca="false">L929*a_capex</f>
        <v>20.43273019392</v>
      </c>
      <c r="M937" s="36" t="n">
        <f aca="false">M929*a_capex</f>
        <v>24.519276232704</v>
      </c>
    </row>
    <row r="938" customFormat="false" ht="15" hidden="false" customHeight="false" outlineLevel="0" collapsed="false">
      <c r="A938" s="9" t="s">
        <v>296</v>
      </c>
      <c r="C938" s="36" t="n">
        <f aca="false">0</f>
        <v>0</v>
      </c>
      <c r="D938" s="36" t="n">
        <f aca="false">a_wc*(D929-C929)</f>
        <v>-3.08</v>
      </c>
      <c r="E938" s="36" t="n">
        <f aca="false">a_wc*(E929-D929)</f>
        <v>1.584</v>
      </c>
      <c r="F938" s="36" t="n">
        <f aca="false">a_wc*(F929-E929)</f>
        <v>1.9008</v>
      </c>
      <c r="G938" s="36" t="n">
        <f aca="false">a_wc*(G929-F929)</f>
        <v>2.28096</v>
      </c>
      <c r="H938" s="36" t="n">
        <f aca="false">a_wc*(H929-G929)</f>
        <v>2.737152</v>
      </c>
      <c r="I938" s="36" t="n">
        <f aca="false">a_wc*(I929-H929)</f>
        <v>3.2845824</v>
      </c>
      <c r="J938" s="36" t="n">
        <f aca="false">a_wc*(J929-I929)</f>
        <v>3.94149888</v>
      </c>
      <c r="K938" s="36" t="n">
        <f aca="false">a_wc*(K929-J929)</f>
        <v>4.729798656</v>
      </c>
      <c r="L938" s="36" t="n">
        <f aca="false">a_wc*(L929-K929)</f>
        <v>5.6757583872</v>
      </c>
      <c r="M938" s="36" t="n">
        <f aca="false">a_wc*(M929-L929)</f>
        <v>6.81091006464</v>
      </c>
    </row>
    <row r="939" customFormat="false" ht="15" hidden="false" customHeight="false" outlineLevel="0" collapsed="false">
      <c r="A939" s="4" t="s">
        <v>297</v>
      </c>
      <c r="C939" s="36" t="n">
        <f aca="false">0</f>
        <v>0</v>
      </c>
      <c r="D939" s="41" t="n">
        <f aca="false">D936+D933-D937-D938</f>
        <v>-43.912</v>
      </c>
      <c r="E939" s="41" t="n">
        <f aca="false">E936+E933-E937-E938</f>
        <v>8.3952</v>
      </c>
      <c r="F939" s="41" t="n">
        <f aca="false">F936+F933-F937-F938</f>
        <v>18.62784</v>
      </c>
      <c r="G939" s="41" t="n">
        <f aca="false">G936+G933-G937-G938</f>
        <v>32.617728</v>
      </c>
      <c r="H939" s="41" t="n">
        <f aca="false">H936+H933-H937-H938</f>
        <v>51.4584576</v>
      </c>
      <c r="I939" s="41" t="n">
        <f aca="false">I936+I933-I937-I938</f>
        <v>61.75014912</v>
      </c>
      <c r="J939" s="41" t="n">
        <f aca="false">J936+J933-J937-J938</f>
        <v>74.100178944</v>
      </c>
      <c r="K939" s="41" t="n">
        <f aca="false">K936+K933-K937-K938</f>
        <v>88.9202147328</v>
      </c>
      <c r="L939" s="41" t="n">
        <f aca="false">L936+L933-L937-L938</f>
        <v>106.70425767936</v>
      </c>
      <c r="M939" s="41" t="n">
        <f aca="false">M936+M933-M937-M938</f>
        <v>128.045109215232</v>
      </c>
    </row>
    <row r="941" customFormat="false" ht="15" hidden="false" customHeight="false" outlineLevel="0" collapsed="false">
      <c r="A941" s="7" t="s">
        <v>660</v>
      </c>
      <c r="B941" s="8"/>
      <c r="C941" s="8"/>
      <c r="D941" s="8"/>
      <c r="E941" s="8"/>
      <c r="F941" s="8"/>
      <c r="G941" s="8"/>
      <c r="H941" s="8"/>
      <c r="I941" s="8"/>
      <c r="J941" s="8"/>
      <c r="K941" s="8"/>
      <c r="L941" s="8"/>
      <c r="M941" s="8"/>
      <c r="N941" s="8"/>
    </row>
    <row r="942" customFormat="false" ht="15" hidden="false" customHeight="false" outlineLevel="0" collapsed="false">
      <c r="A942" s="9" t="s">
        <v>482</v>
      </c>
      <c r="C942" s="35" t="n">
        <f aca="false">lv_mix_eq/(c_price*(1-a_issue_disc))</f>
        <v>1.024</v>
      </c>
    </row>
    <row r="943" customFormat="false" ht="15" hidden="false" customHeight="false" outlineLevel="0" collapsed="false">
      <c r="A943" s="9" t="s">
        <v>449</v>
      </c>
      <c r="C943" s="35" t="n">
        <f aca="false">cf_shares+C942</f>
        <v>65.024</v>
      </c>
    </row>
    <row r="944" customFormat="false" ht="15" hidden="false" customHeight="false" outlineLevel="0" collapsed="false">
      <c r="A944" s="9" t="s">
        <v>483</v>
      </c>
      <c r="C944" s="36" t="n">
        <f aca="false">lv_mix_cash*a_yield*(1-a_tax)+lv_mix_debt*a_kd*(1-a_tax)</f>
        <v>94.5</v>
      </c>
    </row>
    <row r="945" customFormat="false" ht="15" hidden="false" customHeight="false" outlineLevel="0" collapsed="false">
      <c r="A945" s="9" t="s">
        <v>484</v>
      </c>
      <c r="C945" s="36" t="n">
        <f aca="false">lv_price*a_ppa_share/a_ppa_life*(1-a_tax)</f>
        <v>93.75</v>
      </c>
    </row>
    <row r="946" customFormat="false" ht="15" hidden="false" customHeight="false" outlineLevel="0" collapsed="false">
      <c r="A946" s="9" t="s">
        <v>485</v>
      </c>
      <c r="C946" s="36" t="n">
        <f aca="false">a_ppa_on*C945</f>
        <v>0</v>
      </c>
    </row>
    <row r="947" customFormat="false" ht="15" hidden="false" customHeight="false" outlineLevel="0" collapsed="false">
      <c r="A947" s="9" t="s">
        <v>486</v>
      </c>
      <c r="C947" s="36" t="n">
        <f aca="false">lv_price*a_fees_pct+a_integ_full</f>
        <v>160</v>
      </c>
    </row>
    <row r="948" customFormat="false" ht="15" hidden="false" customHeight="false" outlineLevel="0" collapsed="false">
      <c r="A948" s="9" t="s">
        <v>487</v>
      </c>
      <c r="C948" s="36" t="n">
        <f aca="false">0</f>
        <v>0</v>
      </c>
      <c r="D948" s="36" t="n">
        <f aca="false">a_syn_on*(a_syn_partner_rev_y3+a_syn_xsell_y3)*a_mcap*IF(D926=1,a_syn_ramp1,IF(D926=2,a_syn_ramp2,1))+a_syn_on*IF(D926&gt;=2,a_syn_cost,0)</f>
        <v>0</v>
      </c>
      <c r="E948" s="36" t="n">
        <f aca="false">a_syn_on*(a_syn_partner_rev_y3+a_syn_xsell_y3)*a_mcap*IF(E926=1,a_syn_ramp1,IF(E926=2,a_syn_ramp2,1))+a_syn_on*IF(E926&gt;=2,a_syn_cost,0)</f>
        <v>0</v>
      </c>
      <c r="F948" s="36" t="n">
        <f aca="false">a_syn_on*(a_syn_partner_rev_y3+a_syn_xsell_y3)*a_mcap*IF(F926=1,a_syn_ramp1,IF(F926=2,a_syn_ramp2,1))+a_syn_on*IF(F926&gt;=2,a_syn_cost,0)</f>
        <v>0</v>
      </c>
      <c r="G948" s="36" t="n">
        <f aca="false">a_syn_on*(a_syn_partner_rev_y3+a_syn_xsell_y3)*a_mcap*IF(G926=1,a_syn_ramp1,IF(G926=2,a_syn_ramp2,1))+a_syn_on*IF(G926&gt;=2,a_syn_cost,0)</f>
        <v>0</v>
      </c>
      <c r="H948" s="36" t="n">
        <f aca="false">a_syn_on*(a_syn_partner_rev_y3+a_syn_xsell_y3)*a_mcap*IF(H926=1,a_syn_ramp1,IF(H926=2,a_syn_ramp2,1))+a_syn_on*IF(H926&gt;=2,a_syn_cost,0)</f>
        <v>0</v>
      </c>
      <c r="I948" s="36" t="n">
        <f aca="false">a_syn_on*(a_syn_partner_rev_y3+a_syn_xsell_y3)*a_mcap*IF(I926=1,a_syn_ramp1,IF(I926=2,a_syn_ramp2,1))+a_syn_on*IF(I926&gt;=2,a_syn_cost,0)</f>
        <v>0</v>
      </c>
      <c r="J948" s="36" t="n">
        <f aca="false">a_syn_on*(a_syn_partner_rev_y3+a_syn_xsell_y3)*a_mcap*IF(J926=1,a_syn_ramp1,IF(J926=2,a_syn_ramp2,1))+a_syn_on*IF(J926&gt;=2,a_syn_cost,0)</f>
        <v>0</v>
      </c>
      <c r="K948" s="36" t="n">
        <f aca="false">a_syn_on*(a_syn_partner_rev_y3+a_syn_xsell_y3)*a_mcap*IF(K926=1,a_syn_ramp1,IF(K926=2,a_syn_ramp2,1))+a_syn_on*IF(K926&gt;=2,a_syn_cost,0)</f>
        <v>0</v>
      </c>
      <c r="L948" s="36" t="n">
        <f aca="false">a_syn_on*(a_syn_partner_rev_y3+a_syn_xsell_y3)*a_mcap*IF(L926=1,a_syn_ramp1,IF(L926=2,a_syn_ramp2,1))+a_syn_on*IF(L926&gt;=2,a_syn_cost,0)</f>
        <v>0</v>
      </c>
      <c r="M948" s="36" t="n">
        <f aca="false">a_syn_on*(a_syn_partner_rev_y3+a_syn_xsell_y3)*a_mcap*IF(M926=1,a_syn_ramp1,IF(M926=2,a_syn_ramp2,1))+a_syn_on*IF(M926&gt;=2,a_syn_cost,0)</f>
        <v>0</v>
      </c>
    </row>
    <row r="949" customFormat="false" ht="15" hidden="false" customHeight="false" outlineLevel="0" collapsed="false">
      <c r="A949" s="9" t="s">
        <v>488</v>
      </c>
      <c r="C949" s="36" t="n">
        <f aca="false">0</f>
        <v>0</v>
      </c>
      <c r="D949" s="36" t="n">
        <f aca="false">CHOOSE(lv_drag_mode,0,0*D929/cf_arr,0*(1-a_tax))</f>
        <v>0</v>
      </c>
      <c r="E949" s="36" t="n">
        <f aca="false">CHOOSE(lv_drag_mode,0,0*E929/cf_arr,0*(1-a_tax))</f>
        <v>0</v>
      </c>
      <c r="F949" s="36" t="n">
        <f aca="false">CHOOSE(lv_drag_mode,0,0*F929/cf_arr,0*(1-a_tax))</f>
        <v>0</v>
      </c>
      <c r="G949" s="36" t="n">
        <f aca="false">CHOOSE(lv_drag_mode,0,0*G929/cf_arr,0*(1-a_tax))</f>
        <v>0</v>
      </c>
      <c r="H949" s="36" t="n">
        <f aca="false">CHOOSE(lv_drag_mode,0,0*H929/cf_arr,0*(1-a_tax))</f>
        <v>0</v>
      </c>
      <c r="I949" s="36" t="n">
        <f aca="false">CHOOSE(lv_drag_mode,0,0*I929/cf_arr,0*(1-a_tax))</f>
        <v>0</v>
      </c>
      <c r="J949" s="36" t="n">
        <f aca="false">CHOOSE(lv_drag_mode,0,0*J929/cf_arr,0*(1-a_tax))</f>
        <v>0</v>
      </c>
      <c r="K949" s="36" t="n">
        <f aca="false">CHOOSE(lv_drag_mode,0,0*K929/cf_arr,0*(1-a_tax))</f>
        <v>0</v>
      </c>
      <c r="L949" s="36" t="n">
        <f aca="false">CHOOSE(lv_drag_mode,0,0*L929/cf_arr,0*(1-a_tax))</f>
        <v>0</v>
      </c>
      <c r="M949" s="36" t="n">
        <f aca="false">CHOOSE(lv_drag_mode,0,0*M929/cf_arr,0*(1-a_tax))</f>
        <v>0</v>
      </c>
    </row>
    <row r="950" customFormat="false" ht="15" hidden="false" customHeight="false" outlineLevel="0" collapsed="false">
      <c r="A950" s="9" t="s">
        <v>489</v>
      </c>
      <c r="C950" s="36" t="n">
        <f aca="false">0</f>
        <v>0</v>
      </c>
      <c r="D950" s="36" t="n">
        <f aca="false">IF(lv_drag_mode=3,0*(1-a_tax),0)</f>
        <v>0</v>
      </c>
      <c r="E950" s="36" t="n">
        <f aca="false">IF(lv_drag_mode=3,0*(1-a_tax),0)</f>
        <v>0</v>
      </c>
      <c r="F950" s="36" t="n">
        <f aca="false">IF(lv_drag_mode=3,0*(1-a_tax),0)</f>
        <v>0</v>
      </c>
      <c r="G950" s="36" t="n">
        <f aca="false">IF(lv_drag_mode=3,0*(1-a_tax),0)</f>
        <v>0</v>
      </c>
      <c r="H950" s="36" t="n">
        <f aca="false">IF(lv_drag_mode=3,0*(1-a_tax),0)</f>
        <v>0</v>
      </c>
      <c r="I950" s="36" t="n">
        <f aca="false">IF(lv_drag_mode=3,0*(1-a_tax),0)</f>
        <v>0</v>
      </c>
      <c r="J950" s="36" t="n">
        <f aca="false">IF(lv_drag_mode=3,0*(1-a_tax),0)</f>
        <v>0</v>
      </c>
      <c r="K950" s="36" t="n">
        <f aca="false">IF(lv_drag_mode=3,0*(1-a_tax),0)</f>
        <v>0</v>
      </c>
      <c r="L950" s="36" t="n">
        <f aca="false">IF(lv_drag_mode=3,0*(1-a_tax),0)</f>
        <v>0</v>
      </c>
      <c r="M950" s="36" t="n">
        <f aca="false">IF(lv_drag_mode=3,0*(1-a_tax),0)</f>
        <v>0</v>
      </c>
    </row>
    <row r="951" customFormat="false" ht="15" hidden="false" customHeight="false" outlineLevel="0" collapsed="false">
      <c r="A951" s="9" t="s">
        <v>490</v>
      </c>
      <c r="C951" s="36" t="n">
        <f aca="false">0</f>
        <v>0</v>
      </c>
      <c r="D951" s="36" t="n">
        <f aca="false">IF(lv_drag_mode=3,0,C951+D949)</f>
        <v>0</v>
      </c>
      <c r="E951" s="36" t="n">
        <f aca="false">IF(lv_drag_mode=3,0,D951+E949)</f>
        <v>0</v>
      </c>
      <c r="F951" s="36" t="n">
        <f aca="false">IF(lv_drag_mode=3,0,E951+F949)</f>
        <v>0</v>
      </c>
      <c r="G951" s="36" t="n">
        <f aca="false">IF(lv_drag_mode=3,0,F951+G949)</f>
        <v>0</v>
      </c>
      <c r="H951" s="36" t="n">
        <f aca="false">IF(lv_drag_mode=3,0,G951+H949)</f>
        <v>0</v>
      </c>
      <c r="I951" s="36" t="n">
        <f aca="false">IF(lv_drag_mode=3,0,H951+I949)</f>
        <v>0</v>
      </c>
      <c r="J951" s="36" t="n">
        <f aca="false">IF(lv_drag_mode=3,0,I951+J949)</f>
        <v>0</v>
      </c>
      <c r="K951" s="36" t="n">
        <f aca="false">IF(lv_drag_mode=3,0,J951+K949)</f>
        <v>0</v>
      </c>
      <c r="L951" s="36" t="n">
        <f aca="false">IF(lv_drag_mode=3,0,K951+L949)</f>
        <v>0</v>
      </c>
      <c r="M951" s="36" t="n">
        <f aca="false">IF(lv_drag_mode=3,0,L951+M949)</f>
        <v>0</v>
      </c>
    </row>
    <row r="952" customFormat="false" ht="15" hidden="false" customHeight="false" outlineLevel="0" collapsed="false">
      <c r="A952" s="9" t="s">
        <v>491</v>
      </c>
      <c r="C952" s="36" t="n">
        <f aca="false">0</f>
        <v>0</v>
      </c>
      <c r="D952" s="36" t="n">
        <f aca="false">C951*a_yield*(1-a_tax)</f>
        <v>0</v>
      </c>
      <c r="E952" s="36" t="n">
        <f aca="false">D951*a_yield*(1-a_tax)</f>
        <v>0</v>
      </c>
      <c r="F952" s="36" t="n">
        <f aca="false">E951*a_yield*(1-a_tax)</f>
        <v>0</v>
      </c>
      <c r="G952" s="36" t="n">
        <f aca="false">F951*a_yield*(1-a_tax)</f>
        <v>0</v>
      </c>
      <c r="H952" s="36" t="n">
        <f aca="false">G951*a_yield*(1-a_tax)</f>
        <v>0</v>
      </c>
      <c r="I952" s="36" t="n">
        <f aca="false">H951*a_yield*(1-a_tax)</f>
        <v>0</v>
      </c>
      <c r="J952" s="36" t="n">
        <f aca="false">I951*a_yield*(1-a_tax)</f>
        <v>0</v>
      </c>
      <c r="K952" s="36" t="n">
        <f aca="false">J951*a_yield*(1-a_tax)</f>
        <v>0</v>
      </c>
      <c r="L952" s="36" t="n">
        <f aca="false">K951*a_yield*(1-a_tax)</f>
        <v>0</v>
      </c>
      <c r="M952" s="36" t="n">
        <f aca="false">L951*a_yield*(1-a_tax)</f>
        <v>0</v>
      </c>
    </row>
    <row r="953" customFormat="false" ht="15" hidden="false" customHeight="false" outlineLevel="0" collapsed="false">
      <c r="A953" s="9" t="s">
        <v>492</v>
      </c>
      <c r="C953" s="36" t="n">
        <f aca="false">cf_pat</f>
        <v>480</v>
      </c>
      <c r="D953" s="36" t="n">
        <f aca="false">cf_pat*(1+a_pat_growth)^D926</f>
        <v>480</v>
      </c>
      <c r="E953" s="36" t="n">
        <f aca="false">cf_pat*(1+a_pat_growth)^E926</f>
        <v>480</v>
      </c>
      <c r="F953" s="36" t="n">
        <f aca="false">cf_pat*(1+a_pat_growth)^F926</f>
        <v>480</v>
      </c>
      <c r="G953" s="36" t="n">
        <f aca="false">cf_pat*(1+a_pat_growth)^G926</f>
        <v>480</v>
      </c>
      <c r="H953" s="36" t="n">
        <f aca="false">cf_pat*(1+a_pat_growth)^H926</f>
        <v>480</v>
      </c>
      <c r="I953" s="36" t="n">
        <f aca="false">cf_pat*(1+a_pat_growth)^I926</f>
        <v>480</v>
      </c>
      <c r="J953" s="36" t="n">
        <f aca="false">cf_pat*(1+a_pat_growth)^J926</f>
        <v>480</v>
      </c>
      <c r="K953" s="36" t="n">
        <f aca="false">cf_pat*(1+a_pat_growth)^K926</f>
        <v>480</v>
      </c>
      <c r="L953" s="36" t="n">
        <f aca="false">cf_pat*(1+a_pat_growth)^L926</f>
        <v>480</v>
      </c>
      <c r="M953" s="36" t="n">
        <f aca="false">cf_pat*(1+a_pat_growth)^M926</f>
        <v>480</v>
      </c>
    </row>
    <row r="954" customFormat="false" ht="15" hidden="false" customHeight="false" outlineLevel="0" collapsed="false">
      <c r="A954" s="9" t="s">
        <v>493</v>
      </c>
      <c r="C954" s="36" t="n">
        <f aca="false">0</f>
        <v>0</v>
      </c>
      <c r="D954" s="36" t="n">
        <f aca="false">cf_mdr*a_mdr_flow*(1-a_tax)</f>
        <v>69</v>
      </c>
      <c r="E954" s="36" t="n">
        <f aca="false">cf_mdr*a_mdr_flow*(1-a_tax)</f>
        <v>69</v>
      </c>
      <c r="F954" s="36" t="n">
        <f aca="false">cf_mdr*a_mdr_flow*(1-a_tax)</f>
        <v>69</v>
      </c>
      <c r="G954" s="36" t="n">
        <f aca="false">cf_mdr*a_mdr_flow*(1-a_tax)</f>
        <v>69</v>
      </c>
      <c r="H954" s="36" t="n">
        <f aca="false">cf_mdr*a_mdr_flow*(1-a_tax)</f>
        <v>69</v>
      </c>
      <c r="I954" s="36" t="n">
        <f aca="false">cf_mdr*a_mdr_flow*(1-a_tax)</f>
        <v>69</v>
      </c>
      <c r="J954" s="36" t="n">
        <f aca="false">cf_mdr*a_mdr_flow*(1-a_tax)</f>
        <v>69</v>
      </c>
      <c r="K954" s="36" t="n">
        <f aca="false">cf_mdr*a_mdr_flow*(1-a_tax)</f>
        <v>69</v>
      </c>
      <c r="L954" s="36" t="n">
        <f aca="false">cf_mdr*a_mdr_flow*(1-a_tax)</f>
        <v>69</v>
      </c>
      <c r="M954" s="36" t="n">
        <f aca="false">cf_mdr*a_mdr_flow*(1-a_tax)</f>
        <v>69</v>
      </c>
    </row>
    <row r="955" customFormat="false" ht="15" hidden="false" customHeight="false" outlineLevel="0" collapsed="false">
      <c r="A955" s="9" t="s">
        <v>494</v>
      </c>
      <c r="C955" s="50" t="n">
        <f aca="false">cf_eps</f>
        <v>7.5</v>
      </c>
      <c r="D955" s="50" t="n">
        <f aca="false">D953/cf_shares</f>
        <v>7.5</v>
      </c>
      <c r="E955" s="50" t="n">
        <f aca="false">E953/cf_shares</f>
        <v>7.5</v>
      </c>
      <c r="F955" s="50" t="n">
        <f aca="false">F953/cf_shares</f>
        <v>7.5</v>
      </c>
      <c r="G955" s="50" t="n">
        <f aca="false">G953/cf_shares</f>
        <v>7.5</v>
      </c>
      <c r="H955" s="50" t="n">
        <f aca="false">H953/cf_shares</f>
        <v>7.5</v>
      </c>
      <c r="I955" s="50" t="n">
        <f aca="false">I953/cf_shares</f>
        <v>7.5</v>
      </c>
      <c r="J955" s="50" t="n">
        <f aca="false">J953/cf_shares</f>
        <v>7.5</v>
      </c>
      <c r="K955" s="50" t="n">
        <f aca="false">K953/cf_shares</f>
        <v>7.5</v>
      </c>
      <c r="L955" s="50" t="n">
        <f aca="false">L953/cf_shares</f>
        <v>7.5</v>
      </c>
      <c r="M955" s="50" t="n">
        <f aca="false">M953/cf_shares</f>
        <v>7.5</v>
      </c>
    </row>
    <row r="956" customFormat="false" ht="15" hidden="false" customHeight="false" outlineLevel="0" collapsed="false">
      <c r="A956" s="9" t="s">
        <v>495</v>
      </c>
      <c r="C956" s="50" t="n">
        <f aca="false">cf_eps</f>
        <v>7.5</v>
      </c>
      <c r="D956" s="50" t="n">
        <f aca="false">(D953+D954)/cf_shares</f>
        <v>8.578125</v>
      </c>
      <c r="E956" s="50" t="n">
        <f aca="false">(E953+E954)/cf_shares</f>
        <v>8.578125</v>
      </c>
      <c r="F956" s="50" t="n">
        <f aca="false">(F953+F954)/cf_shares</f>
        <v>8.578125</v>
      </c>
      <c r="G956" s="50" t="n">
        <f aca="false">(G953+G954)/cf_shares</f>
        <v>8.578125</v>
      </c>
      <c r="H956" s="50" t="n">
        <f aca="false">(H953+H954)/cf_shares</f>
        <v>8.578125</v>
      </c>
      <c r="I956" s="50" t="n">
        <f aca="false">(I953+I954)/cf_shares</f>
        <v>8.578125</v>
      </c>
      <c r="J956" s="50" t="n">
        <f aca="false">(J953+J954)/cf_shares</f>
        <v>8.578125</v>
      </c>
      <c r="K956" s="50" t="n">
        <f aca="false">(K953+K954)/cf_shares</f>
        <v>8.578125</v>
      </c>
      <c r="L956" s="50" t="n">
        <f aca="false">(L953+L954)/cf_shares</f>
        <v>8.578125</v>
      </c>
      <c r="M956" s="50" t="n">
        <f aca="false">(M953+M954)/cf_shares</f>
        <v>8.578125</v>
      </c>
    </row>
    <row r="957" customFormat="false" ht="15" hidden="false" customHeight="false" outlineLevel="0" collapsed="false">
      <c r="A957" s="4" t="s">
        <v>496</v>
      </c>
      <c r="C957" s="41" t="n">
        <f aca="false">-C944-C946</f>
        <v>-94.5</v>
      </c>
      <c r="D957" s="41" t="n">
        <f aca="false">D936+D948*(1-a_tax)-C944-C946-D950-D952</f>
        <v>-141.492</v>
      </c>
      <c r="E957" s="41" t="n">
        <f aca="false">E936+E948*(1-a_tax)-C944-C946-E950-E952</f>
        <v>-84.5208</v>
      </c>
      <c r="F957" s="41" t="n">
        <f aca="false">F936+F948*(1-a_tax)-C944-C946-F950-F952</f>
        <v>-73.97136</v>
      </c>
      <c r="G957" s="41" t="n">
        <f aca="false">G936+G948*(1-a_tax)-C944-C946-G950-G952</f>
        <v>-59.601312</v>
      </c>
      <c r="H957" s="41" t="n">
        <f aca="false">H936+H948*(1-a_tax)-C944-C946-H950-H952</f>
        <v>-40.3043904</v>
      </c>
      <c r="I957" s="41" t="n">
        <f aca="false">I936+I948*(1-a_tax)-C944-C946-I950-I952</f>
        <v>-29.46526848</v>
      </c>
      <c r="J957" s="41" t="n">
        <f aca="false">J936+J948*(1-a_tax)-C944-C946-J950-J952</f>
        <v>-16.458322176</v>
      </c>
      <c r="K957" s="41" t="n">
        <f aca="false">K936+K948*(1-a_tax)-C944-C946-K950-K952</f>
        <v>-0.849986611200023</v>
      </c>
      <c r="L957" s="41" t="n">
        <f aca="false">L936+L948*(1-a_tax)-C944-C946-L950-L952</f>
        <v>17.88001606656</v>
      </c>
      <c r="M957" s="41" t="n">
        <f aca="false">M936+M948*(1-a_tax)-C944-C946-M950-M952</f>
        <v>40.356019279872</v>
      </c>
    </row>
    <row r="958" customFormat="false" ht="15" hidden="false" customHeight="false" outlineLevel="0" collapsed="false">
      <c r="A958" s="9" t="s">
        <v>497</v>
      </c>
      <c r="C958" s="36" t="n">
        <f aca="false">C953+C957</f>
        <v>385.5</v>
      </c>
      <c r="D958" s="36" t="n">
        <f aca="false">D953+D957</f>
        <v>338.508</v>
      </c>
      <c r="E958" s="36" t="n">
        <f aca="false">E953+E957</f>
        <v>395.4792</v>
      </c>
      <c r="F958" s="36" t="n">
        <f aca="false">F953+F957</f>
        <v>406.02864</v>
      </c>
      <c r="G958" s="36" t="n">
        <f aca="false">G953+G957</f>
        <v>420.398688</v>
      </c>
      <c r="H958" s="36" t="n">
        <f aca="false">H953+H957</f>
        <v>439.6956096</v>
      </c>
      <c r="I958" s="36" t="n">
        <f aca="false">I953+I957</f>
        <v>450.53473152</v>
      </c>
      <c r="J958" s="36" t="n">
        <f aca="false">J953+J957</f>
        <v>463.541677824</v>
      </c>
      <c r="K958" s="36" t="n">
        <f aca="false">K953+K957</f>
        <v>479.1500133888</v>
      </c>
      <c r="L958" s="36" t="n">
        <f aca="false">L953+L957</f>
        <v>497.88001606656</v>
      </c>
      <c r="M958" s="36" t="n">
        <f aca="false">M953+M957</f>
        <v>520.356019279872</v>
      </c>
    </row>
    <row r="959" customFormat="false" ht="15" hidden="false" customHeight="false" outlineLevel="0" collapsed="false">
      <c r="A959" s="4" t="s">
        <v>498</v>
      </c>
      <c r="C959" s="48" t="n">
        <f aca="false">C958/C943</f>
        <v>5.92858021653543</v>
      </c>
      <c r="D959" s="48" t="n">
        <f aca="false">D958/C943</f>
        <v>5.20589320866142</v>
      </c>
      <c r="E959" s="48" t="n">
        <f aca="false">E958/C943</f>
        <v>6.08204970472441</v>
      </c>
      <c r="F959" s="48" t="n">
        <f aca="false">F958/C943</f>
        <v>6.24428887795276</v>
      </c>
      <c r="G959" s="48" t="n">
        <f aca="false">G958/C943</f>
        <v>6.46528494094488</v>
      </c>
      <c r="H959" s="48" t="n">
        <f aca="false">H958/C943</f>
        <v>6.76205108267717</v>
      </c>
      <c r="I959" s="48" t="n">
        <f aca="false">I958/C943</f>
        <v>6.92874525590551</v>
      </c>
      <c r="J959" s="48" t="n">
        <f aca="false">J958/C943</f>
        <v>7.12877826377953</v>
      </c>
      <c r="K959" s="48" t="n">
        <f aca="false">K958/C943</f>
        <v>7.36881787322835</v>
      </c>
      <c r="L959" s="48" t="n">
        <f aca="false">L958/C943</f>
        <v>7.65686540456693</v>
      </c>
      <c r="M959" s="48" t="n">
        <f aca="false">M958/C943</f>
        <v>8.00252244217323</v>
      </c>
    </row>
    <row r="960" customFormat="false" ht="15" hidden="false" customHeight="false" outlineLevel="0" collapsed="false">
      <c r="A960" s="4" t="s">
        <v>499</v>
      </c>
      <c r="C960" s="14" t="n">
        <f aca="false">C959/cf_eps-1</f>
        <v>-0.209522637795276</v>
      </c>
      <c r="D960" s="14" t="n">
        <f aca="false">D959/cf_eps-1</f>
        <v>-0.305880905511811</v>
      </c>
      <c r="E960" s="14" t="n">
        <f aca="false">E959/cf_eps-1</f>
        <v>-0.189060039370079</v>
      </c>
      <c r="F960" s="14" t="n">
        <f aca="false">F959/cf_eps-1</f>
        <v>-0.167428149606299</v>
      </c>
      <c r="G960" s="14" t="n">
        <f aca="false">G959/cf_eps-1</f>
        <v>-0.137962007874016</v>
      </c>
      <c r="H960" s="14" t="n">
        <f aca="false">H959/cf_eps-1</f>
        <v>-0.0983931889763779</v>
      </c>
      <c r="I960" s="14" t="n">
        <f aca="false">I959/cf_eps-1</f>
        <v>-0.0761672992125984</v>
      </c>
      <c r="J960" s="14" t="n">
        <f aca="false">J959/cf_eps-1</f>
        <v>-0.0494962314960631</v>
      </c>
      <c r="K960" s="14" t="n">
        <f aca="false">K959/cf_eps-1</f>
        <v>-0.0174909502362206</v>
      </c>
      <c r="L960" s="14" t="n">
        <f aca="false">L959/cf_eps-1</f>
        <v>0.0209153872755905</v>
      </c>
      <c r="M960" s="14" t="n">
        <f aca="false">M959/cf_eps-1</f>
        <v>0.0670029922897635</v>
      </c>
    </row>
    <row r="961" customFormat="false" ht="15" hidden="false" customHeight="false" outlineLevel="0" collapsed="false">
      <c r="A961" s="9" t="s">
        <v>500</v>
      </c>
      <c r="C961" s="50" t="n">
        <f aca="false">C959</f>
        <v>5.92858021653543</v>
      </c>
      <c r="D961" s="50" t="n">
        <f aca="false">(D958+D954)/C943</f>
        <v>6.26703986220473</v>
      </c>
      <c r="E961" s="50" t="n">
        <f aca="false">(E958+E954)/C943</f>
        <v>7.14319635826772</v>
      </c>
      <c r="F961" s="50" t="n">
        <f aca="false">(F958+F954)/C943</f>
        <v>7.30543553149606</v>
      </c>
      <c r="G961" s="50" t="n">
        <f aca="false">(G958+G954)/C943</f>
        <v>7.52643159448819</v>
      </c>
      <c r="H961" s="50" t="n">
        <f aca="false">(H958+H954)/C943</f>
        <v>7.82319773622047</v>
      </c>
      <c r="I961" s="50" t="n">
        <f aca="false">(I958+I954)/C943</f>
        <v>7.98989190944882</v>
      </c>
      <c r="J961" s="50" t="n">
        <f aca="false">(J958+J954)/C943</f>
        <v>8.18992491732283</v>
      </c>
      <c r="K961" s="50" t="n">
        <f aca="false">(K958+K954)/C943</f>
        <v>8.42996452677165</v>
      </c>
      <c r="L961" s="50" t="n">
        <f aca="false">(L958+L954)/C943</f>
        <v>8.71801205811024</v>
      </c>
      <c r="M961" s="50" t="n">
        <f aca="false">(M958+M954)/C943</f>
        <v>9.06366909571653</v>
      </c>
    </row>
    <row r="962" customFormat="false" ht="15" hidden="false" customHeight="false" outlineLevel="0" collapsed="false">
      <c r="A962" s="9" t="s">
        <v>501</v>
      </c>
      <c r="C962" s="18" t="n">
        <f aca="false">C960</f>
        <v>-0.209522637795276</v>
      </c>
      <c r="D962" s="18" t="n">
        <f aca="false">D961/D956-1</f>
        <v>-0.269416118067209</v>
      </c>
      <c r="E962" s="18" t="n">
        <f aca="false">E961/E956-1</f>
        <v>-0.167277655866787</v>
      </c>
      <c r="F962" s="18" t="n">
        <f aca="false">F961/F956-1</f>
        <v>-0.148364528204466</v>
      </c>
      <c r="G962" s="18" t="n">
        <f aca="false">G961/G956-1</f>
        <v>-0.12260178133471</v>
      </c>
      <c r="H962" s="18" t="n">
        <f aca="false">H961/H956-1</f>
        <v>-0.0880060926810378</v>
      </c>
      <c r="I962" s="18" t="n">
        <f aca="false">I961/I956-1</f>
        <v>-0.0685736207564218</v>
      </c>
      <c r="J962" s="18" t="n">
        <f aca="false">J961/J956-1</f>
        <v>-0.0452546544468827</v>
      </c>
      <c r="K962" s="18" t="n">
        <f aca="false">K961/K956-1</f>
        <v>-0.0172718948754358</v>
      </c>
      <c r="L962" s="18" t="n">
        <f aca="false">L961/L956-1</f>
        <v>0.0163074166103006</v>
      </c>
      <c r="M962" s="18" t="n">
        <f aca="false">M961/M956-1</f>
        <v>0.0566025903931844</v>
      </c>
    </row>
    <row r="963" customFormat="false" ht="15" hidden="false" customHeight="false" outlineLevel="0" collapsed="false">
      <c r="A963" s="9" t="s">
        <v>502</v>
      </c>
      <c r="C963" s="50" t="n">
        <f aca="false">(C958+C946)/C943</f>
        <v>5.92858021653543</v>
      </c>
      <c r="D963" s="50" t="n">
        <f aca="false">(D958+C946)/C943</f>
        <v>5.20589320866142</v>
      </c>
      <c r="E963" s="50" t="n">
        <f aca="false">(E958+C946)/C943</f>
        <v>6.08204970472441</v>
      </c>
      <c r="F963" s="50" t="n">
        <f aca="false">(F958+C946)/C943</f>
        <v>6.24428887795276</v>
      </c>
      <c r="G963" s="50" t="n">
        <f aca="false">(G958+C946)/C943</f>
        <v>6.46528494094488</v>
      </c>
      <c r="H963" s="50" t="n">
        <f aca="false">(H958+C946)/C943</f>
        <v>6.76205108267717</v>
      </c>
      <c r="I963" s="50" t="n">
        <f aca="false">(I958+C946)/C943</f>
        <v>6.92874525590551</v>
      </c>
      <c r="J963" s="50" t="n">
        <f aca="false">(J958+C946)/C943</f>
        <v>7.12877826377953</v>
      </c>
      <c r="K963" s="50" t="n">
        <f aca="false">(K958+C946)/C943</f>
        <v>7.36881787322835</v>
      </c>
      <c r="L963" s="50" t="n">
        <f aca="false">(L958+C946)/C943</f>
        <v>7.65686540456693</v>
      </c>
      <c r="M963" s="50" t="n">
        <f aca="false">(M958+C946)/C943</f>
        <v>8.00252244217323</v>
      </c>
    </row>
    <row r="964" customFormat="false" ht="15" hidden="false" customHeight="false" outlineLevel="0" collapsed="false">
      <c r="A964" s="9" t="s">
        <v>503</v>
      </c>
      <c r="C964" s="50" t="n">
        <f aca="false">(C958-C945+C946)/C943</f>
        <v>4.48680487204724</v>
      </c>
      <c r="D964" s="50" t="n">
        <f aca="false">(D958-C945+C946)/C943</f>
        <v>3.76411786417323</v>
      </c>
      <c r="E964" s="50" t="n">
        <f aca="false">(E958-C945+C946)/C943</f>
        <v>4.64027436023622</v>
      </c>
      <c r="F964" s="50" t="n">
        <f aca="false">(F958-C945+C946)/C943</f>
        <v>4.80251353346457</v>
      </c>
      <c r="G964" s="50" t="n">
        <f aca="false">(G958-C945+C946)/C943</f>
        <v>5.02350959645669</v>
      </c>
      <c r="H964" s="50" t="n">
        <f aca="false">(H958-C945+C946)/C943</f>
        <v>5.32027573818898</v>
      </c>
      <c r="I964" s="50" t="n">
        <f aca="false">(I958-C945+C946)/C943</f>
        <v>5.48696991141732</v>
      </c>
      <c r="J964" s="50" t="n">
        <f aca="false">(J958-C945+C946)/C943</f>
        <v>5.68700291929134</v>
      </c>
      <c r="K964" s="50" t="n">
        <f aca="false">(K958-C945+C946)/C943</f>
        <v>5.92704252874016</v>
      </c>
      <c r="L964" s="50" t="n">
        <f aca="false">(L958-C945+C946)/C943</f>
        <v>6.21509006007874</v>
      </c>
      <c r="M964" s="50" t="n">
        <f aca="false">(M958-C945+C946)/C943</f>
        <v>6.56074709768504</v>
      </c>
    </row>
    <row r="965" customFormat="false" ht="15" hidden="false" customHeight="false" outlineLevel="0" collapsed="false">
      <c r="A965" s="9" t="s">
        <v>504</v>
      </c>
      <c r="C965" s="50" t="n">
        <f aca="false">C953/C943</f>
        <v>7.38188976377953</v>
      </c>
      <c r="D965" s="50" t="n">
        <f aca="false">D953/C943</f>
        <v>7.38188976377953</v>
      </c>
      <c r="E965" s="50" t="n">
        <f aca="false">E953/C943</f>
        <v>7.38188976377953</v>
      </c>
      <c r="F965" s="50" t="n">
        <f aca="false">F953/C943</f>
        <v>7.38188976377953</v>
      </c>
      <c r="G965" s="50" t="n">
        <f aca="false">G953/C943</f>
        <v>7.38188976377953</v>
      </c>
      <c r="H965" s="50" t="n">
        <f aca="false">H953/C943</f>
        <v>7.38188976377953</v>
      </c>
      <c r="I965" s="50" t="n">
        <f aca="false">I953/C943</f>
        <v>7.38188976377953</v>
      </c>
      <c r="J965" s="50" t="n">
        <f aca="false">J953/C943</f>
        <v>7.38188976377953</v>
      </c>
      <c r="K965" s="50" t="n">
        <f aca="false">K953/C943</f>
        <v>7.38188976377953</v>
      </c>
      <c r="L965" s="50" t="n">
        <f aca="false">L953/C943</f>
        <v>7.38188976377953</v>
      </c>
      <c r="M965" s="50" t="n">
        <f aca="false">M953/C943</f>
        <v>7.38188976377953</v>
      </c>
    </row>
    <row r="966" customFormat="false" ht="15" hidden="false" customHeight="false" outlineLevel="0" collapsed="false">
      <c r="A966" s="9" t="s">
        <v>505</v>
      </c>
      <c r="D966" s="36" t="n">
        <f aca="false">D939+D948*(1-a_tax)-D949-IF(D926=1,C947,0)</f>
        <v>-203.912</v>
      </c>
      <c r="E966" s="36" t="n">
        <f aca="false">E939+E948*(1-a_tax)-E949-IF(E926=1,C947,0)</f>
        <v>8.3952</v>
      </c>
      <c r="F966" s="36" t="n">
        <f aca="false">F939+F948*(1-a_tax)-F949-IF(F926=1,C947,0)</f>
        <v>18.62784</v>
      </c>
      <c r="G966" s="36" t="n">
        <f aca="false">G939+G948*(1-a_tax)-G949-IF(G926=1,C947,0)</f>
        <v>32.617728</v>
      </c>
      <c r="H966" s="36" t="n">
        <f aca="false">H939+H948*(1-a_tax)-H949-IF(H926=1,C947,0)</f>
        <v>51.4584576</v>
      </c>
      <c r="I966" s="36" t="n">
        <f aca="false">I939+I948*(1-a_tax)-I949-IF(I926=1,C947,0)</f>
        <v>61.75014912</v>
      </c>
      <c r="J966" s="36" t="n">
        <f aca="false">J939+J948*(1-a_tax)-J949-IF(J926=1,C947,0)</f>
        <v>74.100178944</v>
      </c>
      <c r="K966" s="36" t="n">
        <f aca="false">K939+K948*(1-a_tax)-K949-IF(K926=1,C947,0)</f>
        <v>88.9202147328</v>
      </c>
      <c r="L966" s="36" t="n">
        <f aca="false">L939+L948*(1-a_tax)-L949-IF(L926=1,C947,0)</f>
        <v>106.70425767936</v>
      </c>
      <c r="M966" s="36" t="n">
        <f aca="false">M939+M948*(1-a_tax)-M949-IF(M926=1,C947,0)</f>
        <v>128.045109215232</v>
      </c>
    </row>
    <row r="967" customFormat="false" ht="15" hidden="false" customHeight="false" outlineLevel="0" collapsed="false">
      <c r="A967" s="4" t="s">
        <v>506</v>
      </c>
      <c r="D967" s="41" t="n">
        <f aca="false">D966-C944</f>
        <v>-298.412</v>
      </c>
      <c r="E967" s="41" t="n">
        <f aca="false">E966-C944</f>
        <v>-86.1048</v>
      </c>
      <c r="F967" s="41" t="n">
        <f aca="false">F966-C944</f>
        <v>-75.87216</v>
      </c>
      <c r="G967" s="41" t="n">
        <f aca="false">G966-C944</f>
        <v>-61.882272</v>
      </c>
      <c r="H967" s="41" t="n">
        <f aca="false">H966-C944</f>
        <v>-43.0415424</v>
      </c>
      <c r="I967" s="41" t="n">
        <f aca="false">I966-C944</f>
        <v>-32.74985088</v>
      </c>
      <c r="J967" s="41" t="n">
        <f aca="false">J966-C944</f>
        <v>-20.399821056</v>
      </c>
      <c r="K967" s="41" t="n">
        <f aca="false">K966-C944</f>
        <v>-5.57978526720002</v>
      </c>
      <c r="L967" s="41" t="n">
        <f aca="false">L966-C944</f>
        <v>12.20425767936</v>
      </c>
      <c r="M967" s="41" t="n">
        <f aca="false">M966-C944</f>
        <v>33.545109215232</v>
      </c>
    </row>
    <row r="968" customFormat="false" ht="15" hidden="false" customHeight="false" outlineLevel="0" collapsed="false">
      <c r="A968" s="9" t="s">
        <v>507</v>
      </c>
      <c r="C968" s="36" t="n">
        <f aca="false">0</f>
        <v>0</v>
      </c>
      <c r="D968" s="36" t="n">
        <f aca="false">D954</f>
        <v>69</v>
      </c>
      <c r="E968" s="36" t="n">
        <f aca="false">E954</f>
        <v>69</v>
      </c>
      <c r="F968" s="36" t="n">
        <f aca="false">F954</f>
        <v>69</v>
      </c>
      <c r="G968" s="36" t="n">
        <f aca="false">G954</f>
        <v>69</v>
      </c>
      <c r="H968" s="36" t="n">
        <f aca="false">H954</f>
        <v>69</v>
      </c>
      <c r="I968" s="36" t="n">
        <f aca="false">I954</f>
        <v>69</v>
      </c>
      <c r="J968" s="36" t="n">
        <f aca="false">J954</f>
        <v>69</v>
      </c>
      <c r="K968" s="36" t="n">
        <f aca="false">K954</f>
        <v>69</v>
      </c>
      <c r="L968" s="36" t="n">
        <f aca="false">L954</f>
        <v>69</v>
      </c>
      <c r="M968" s="36" t="n">
        <f aca="false">M954</f>
        <v>69</v>
      </c>
    </row>
    <row r="969" customFormat="false" ht="15" hidden="false" customHeight="false" outlineLevel="0" collapsed="false">
      <c r="A969" s="9" t="s">
        <v>508</v>
      </c>
      <c r="D969" s="36" t="n">
        <f aca="false">D967+D968</f>
        <v>-229.412</v>
      </c>
      <c r="E969" s="36" t="n">
        <f aca="false">E967+E968</f>
        <v>-17.1048</v>
      </c>
      <c r="F969" s="36" t="n">
        <f aca="false">F967+F968</f>
        <v>-6.87215999999999</v>
      </c>
      <c r="G969" s="36" t="n">
        <f aca="false">G967+G968</f>
        <v>7.117728</v>
      </c>
      <c r="H969" s="36" t="n">
        <f aca="false">H967+H968</f>
        <v>25.9584576</v>
      </c>
      <c r="I969" s="36" t="n">
        <f aca="false">I967+I968</f>
        <v>36.25014912</v>
      </c>
      <c r="J969" s="36" t="n">
        <f aca="false">J967+J968</f>
        <v>48.600178944</v>
      </c>
      <c r="K969" s="36" t="n">
        <f aca="false">K967+K968</f>
        <v>63.4202147328</v>
      </c>
      <c r="L969" s="36" t="n">
        <f aca="false">L967+L968</f>
        <v>81.20425767936</v>
      </c>
      <c r="M969" s="36" t="n">
        <f aca="false">M967+M968</f>
        <v>102.545109215232</v>
      </c>
    </row>
    <row r="970" customFormat="false" ht="15" hidden="false" customHeight="false" outlineLevel="0" collapsed="false">
      <c r="A970" s="9" t="s">
        <v>509</v>
      </c>
      <c r="D970" s="36" t="n">
        <f aca="false">IF(lv_mdr_in_deal=1,D969,D967)</f>
        <v>-298.412</v>
      </c>
      <c r="E970" s="36" t="n">
        <f aca="false">IF(lv_mdr_in_deal=1,E969,E967)</f>
        <v>-86.1048</v>
      </c>
      <c r="F970" s="36" t="n">
        <f aca="false">IF(lv_mdr_in_deal=1,F969,F967)</f>
        <v>-75.87216</v>
      </c>
      <c r="G970" s="36" t="n">
        <f aca="false">IF(lv_mdr_in_deal=1,G969,G967)</f>
        <v>-61.882272</v>
      </c>
      <c r="H970" s="36" t="n">
        <f aca="false">IF(lv_mdr_in_deal=1,H969,H967)</f>
        <v>-43.0415424</v>
      </c>
      <c r="I970" s="36" t="n">
        <f aca="false">IF(lv_mdr_in_deal=1,I969,I967)</f>
        <v>-32.74985088</v>
      </c>
      <c r="J970" s="36" t="n">
        <f aca="false">IF(lv_mdr_in_deal=1,J969,J967)</f>
        <v>-20.399821056</v>
      </c>
      <c r="K970" s="36" t="n">
        <f aca="false">IF(lv_mdr_in_deal=1,K969,K967)</f>
        <v>-5.57978526720002</v>
      </c>
      <c r="L970" s="36" t="n">
        <f aca="false">IF(lv_mdr_in_deal=1,L969,L967)</f>
        <v>12.20425767936</v>
      </c>
      <c r="M970" s="36" t="n">
        <f aca="false">IF(lv_mdr_in_deal=1,M969,M967)</f>
        <v>33.545109215232</v>
      </c>
    </row>
    <row r="971" customFormat="false" ht="15" hidden="false" customHeight="false" outlineLevel="0" collapsed="false">
      <c r="A971" s="9" t="s">
        <v>510</v>
      </c>
      <c r="C971" s="36" t="n">
        <f aca="false">-lv_price</f>
        <v>-4000</v>
      </c>
      <c r="D971" s="36" t="n">
        <f aca="false">C971+D970</f>
        <v>-4298.412</v>
      </c>
      <c r="E971" s="36" t="n">
        <f aca="false">D971+E970</f>
        <v>-4384.5168</v>
      </c>
      <c r="F971" s="36" t="n">
        <f aca="false">E971+F970</f>
        <v>-4460.38896</v>
      </c>
      <c r="G971" s="36" t="n">
        <f aca="false">F971+G970</f>
        <v>-4522.271232</v>
      </c>
      <c r="H971" s="36" t="n">
        <f aca="false">G971+H970</f>
        <v>-4565.3127744</v>
      </c>
      <c r="I971" s="36" t="n">
        <f aca="false">H971+I970</f>
        <v>-4598.06262528</v>
      </c>
      <c r="J971" s="36" t="n">
        <f aca="false">I971+J970</f>
        <v>-4618.462446336</v>
      </c>
      <c r="K971" s="36" t="n">
        <f aca="false">J971+K970</f>
        <v>-4624.0422316032</v>
      </c>
      <c r="L971" s="36" t="n">
        <f aca="false">K971+L970</f>
        <v>-4611.83797392384</v>
      </c>
      <c r="M971" s="36" t="n">
        <f aca="false">L971+M970</f>
        <v>-4578.29286470861</v>
      </c>
    </row>
    <row r="972" customFormat="false" ht="15" hidden="false" customHeight="false" outlineLevel="0" collapsed="false">
      <c r="A972" s="9" t="s">
        <v>511</v>
      </c>
      <c r="C972" s="43" t="n">
        <f aca="false">1</f>
        <v>1</v>
      </c>
      <c r="D972" s="43" t="n">
        <f aca="false">1/(1+lv_wacc)^D926</f>
        <v>0.884955752212389</v>
      </c>
      <c r="E972" s="43" t="n">
        <f aca="false">1/(1+lv_wacc)^E926</f>
        <v>0.783146683373796</v>
      </c>
      <c r="F972" s="43" t="n">
        <f aca="false">1/(1+lv_wacc)^F926</f>
        <v>0.693050162277696</v>
      </c>
      <c r="G972" s="43" t="n">
        <f aca="false">1/(1+lv_wacc)^G926</f>
        <v>0.613318727679377</v>
      </c>
      <c r="H972" s="43" t="n">
        <f aca="false">1/(1+lv_wacc)^H926</f>
        <v>0.542759935999449</v>
      </c>
      <c r="I972" s="43" t="n">
        <f aca="false">1/(1+lv_wacc)^I926</f>
        <v>0.48031852743314</v>
      </c>
      <c r="J972" s="43" t="n">
        <f aca="false">1/(1+lv_wacc)^J926</f>
        <v>0.425060643746142</v>
      </c>
      <c r="K972" s="43" t="n">
        <f aca="false">1/(1+lv_wacc)^K926</f>
        <v>0.37615986172225</v>
      </c>
      <c r="L972" s="43" t="n">
        <f aca="false">1/(1+lv_wacc)^L926</f>
        <v>0.332884833382522</v>
      </c>
      <c r="M972" s="43" t="n">
        <f aca="false">1/(1+lv_wacc)^M926</f>
        <v>0.294588348126126</v>
      </c>
    </row>
    <row r="973" customFormat="false" ht="15" hidden="false" customHeight="false" outlineLevel="0" collapsed="false">
      <c r="A973" s="9" t="s">
        <v>512</v>
      </c>
      <c r="C973" s="46" t="n">
        <f aca="false">99</f>
        <v>99</v>
      </c>
      <c r="D973" s="46" t="n">
        <f aca="false">IF(D957&gt;=0,D926,99)</f>
        <v>99</v>
      </c>
      <c r="E973" s="46" t="n">
        <f aca="false">IF(E957&gt;=0,E926,99)</f>
        <v>99</v>
      </c>
      <c r="F973" s="46" t="n">
        <f aca="false">IF(F957&gt;=0,F926,99)</f>
        <v>99</v>
      </c>
      <c r="G973" s="46" t="n">
        <f aca="false">IF(G957&gt;=0,G926,99)</f>
        <v>99</v>
      </c>
      <c r="H973" s="46" t="n">
        <f aca="false">IF(H957&gt;=0,H926,99)</f>
        <v>99</v>
      </c>
      <c r="I973" s="46" t="n">
        <f aca="false">IF(I957&gt;=0,I926,99)</f>
        <v>99</v>
      </c>
      <c r="J973" s="46" t="n">
        <f aca="false">IF(J957&gt;=0,J926,99)</f>
        <v>99</v>
      </c>
      <c r="K973" s="46" t="n">
        <f aca="false">IF(K957&gt;=0,K926,99)</f>
        <v>99</v>
      </c>
      <c r="L973" s="46" t="n">
        <f aca="false">IF(L957&gt;=0,L926,99)</f>
        <v>9</v>
      </c>
      <c r="M973" s="46" t="n">
        <f aca="false">IF(M957&gt;=0,M926,99)</f>
        <v>10</v>
      </c>
    </row>
    <row r="974" customFormat="false" ht="15" hidden="false" customHeight="false" outlineLevel="0" collapsed="false">
      <c r="A974" s="9" t="s">
        <v>513</v>
      </c>
      <c r="C974" s="46" t="n">
        <f aca="false">99</f>
        <v>99</v>
      </c>
      <c r="D974" s="46" t="n">
        <f aca="false">IF(D957+D954&gt;=0,D926,99)</f>
        <v>99</v>
      </c>
      <c r="E974" s="46" t="n">
        <f aca="false">IF(E957+E954&gt;=0,E926,99)</f>
        <v>99</v>
      </c>
      <c r="F974" s="46" t="n">
        <f aca="false">IF(F957+F954&gt;=0,F926,99)</f>
        <v>99</v>
      </c>
      <c r="G974" s="46" t="n">
        <f aca="false">IF(G957+G954&gt;=0,G926,99)</f>
        <v>4</v>
      </c>
      <c r="H974" s="46" t="n">
        <f aca="false">IF(H957+H954&gt;=0,H926,99)</f>
        <v>5</v>
      </c>
      <c r="I974" s="46" t="n">
        <f aca="false">IF(I957+I954&gt;=0,I926,99)</f>
        <v>6</v>
      </c>
      <c r="J974" s="46" t="n">
        <f aca="false">IF(J957+J954&gt;=0,J926,99)</f>
        <v>7</v>
      </c>
      <c r="K974" s="46" t="n">
        <f aca="false">IF(K957+K954&gt;=0,K926,99)</f>
        <v>8</v>
      </c>
      <c r="L974" s="46" t="n">
        <f aca="false">IF(L957+L954&gt;=0,L926,99)</f>
        <v>9</v>
      </c>
      <c r="M974" s="46" t="n">
        <f aca="false">IF(M957+M954&gt;=0,M926,99)</f>
        <v>10</v>
      </c>
    </row>
    <row r="975" customFormat="false" ht="15" hidden="false" customHeight="false" outlineLevel="0" collapsed="false">
      <c r="A975" s="9" t="s">
        <v>514</v>
      </c>
      <c r="C975" s="46" t="n">
        <f aca="false">99</f>
        <v>99</v>
      </c>
      <c r="D975" s="46" t="n">
        <f aca="false">IF(D967&gt;=0,D926,99)</f>
        <v>99</v>
      </c>
      <c r="E975" s="46" t="n">
        <f aca="false">IF(E967&gt;=0,E926,99)</f>
        <v>99</v>
      </c>
      <c r="F975" s="46" t="n">
        <f aca="false">IF(F967&gt;=0,F926,99)</f>
        <v>99</v>
      </c>
      <c r="G975" s="46" t="n">
        <f aca="false">IF(G967&gt;=0,G926,99)</f>
        <v>99</v>
      </c>
      <c r="H975" s="46" t="n">
        <f aca="false">IF(H967&gt;=0,H926,99)</f>
        <v>99</v>
      </c>
      <c r="I975" s="46" t="n">
        <f aca="false">IF(I967&gt;=0,I926,99)</f>
        <v>99</v>
      </c>
      <c r="J975" s="46" t="n">
        <f aca="false">IF(J967&gt;=0,J926,99)</f>
        <v>99</v>
      </c>
      <c r="K975" s="46" t="n">
        <f aca="false">IF(K967&gt;=0,K926,99)</f>
        <v>99</v>
      </c>
      <c r="L975" s="46" t="n">
        <f aca="false">IF(L967&gt;=0,L926,99)</f>
        <v>9</v>
      </c>
      <c r="M975" s="46" t="n">
        <f aca="false">IF(M967&gt;=0,M926,99)</f>
        <v>10</v>
      </c>
    </row>
    <row r="976" customFormat="false" ht="15" hidden="false" customHeight="false" outlineLevel="0" collapsed="false">
      <c r="A976" s="9" t="s">
        <v>515</v>
      </c>
      <c r="C976" s="46" t="n">
        <f aca="false">99</f>
        <v>99</v>
      </c>
      <c r="D976" s="46" t="n">
        <f aca="false">IF(D969&gt;=0,D926,99)</f>
        <v>99</v>
      </c>
      <c r="E976" s="46" t="n">
        <f aca="false">IF(E969&gt;=0,E926,99)</f>
        <v>99</v>
      </c>
      <c r="F976" s="46" t="n">
        <f aca="false">IF(F969&gt;=0,F926,99)</f>
        <v>99</v>
      </c>
      <c r="G976" s="46" t="n">
        <f aca="false">IF(G969&gt;=0,G926,99)</f>
        <v>4</v>
      </c>
      <c r="H976" s="46" t="n">
        <f aca="false">IF(H969&gt;=0,H926,99)</f>
        <v>5</v>
      </c>
      <c r="I976" s="46" t="n">
        <f aca="false">IF(I969&gt;=0,I926,99)</f>
        <v>6</v>
      </c>
      <c r="J976" s="46" t="n">
        <f aca="false">IF(J969&gt;=0,J926,99)</f>
        <v>7</v>
      </c>
      <c r="K976" s="46" t="n">
        <f aca="false">IF(K969&gt;=0,K926,99)</f>
        <v>8</v>
      </c>
      <c r="L976" s="46" t="n">
        <f aca="false">IF(L969&gt;=0,L926,99)</f>
        <v>9</v>
      </c>
      <c r="M976" s="46" t="n">
        <f aca="false">IF(M969&gt;=0,M926,99)</f>
        <v>10</v>
      </c>
    </row>
    <row r="977" customFormat="false" ht="15" hidden="false" customHeight="false" outlineLevel="0" collapsed="false">
      <c r="A977" s="9" t="s">
        <v>516</v>
      </c>
      <c r="C977" s="46" t="n">
        <f aca="false">99</f>
        <v>99</v>
      </c>
      <c r="D977" s="46" t="n">
        <f aca="false">IF(D971&gt;=0,D926,99)</f>
        <v>99</v>
      </c>
      <c r="E977" s="46" t="n">
        <f aca="false">IF(E971&gt;=0,E926,99)</f>
        <v>99</v>
      </c>
      <c r="F977" s="46" t="n">
        <f aca="false">IF(F971&gt;=0,F926,99)</f>
        <v>99</v>
      </c>
      <c r="G977" s="46" t="n">
        <f aca="false">IF(G971&gt;=0,G926,99)</f>
        <v>99</v>
      </c>
      <c r="H977" s="46" t="n">
        <f aca="false">IF(H971&gt;=0,H926,99)</f>
        <v>99</v>
      </c>
      <c r="I977" s="46" t="n">
        <f aca="false">IF(I971&gt;=0,I926,99)</f>
        <v>99</v>
      </c>
      <c r="J977" s="46" t="n">
        <f aca="false">IF(J971&gt;=0,J926,99)</f>
        <v>99</v>
      </c>
      <c r="K977" s="46" t="n">
        <f aca="false">IF(K971&gt;=0,K926,99)</f>
        <v>99</v>
      </c>
      <c r="L977" s="46" t="n">
        <f aca="false">IF(L971&gt;=0,L926,99)</f>
        <v>99</v>
      </c>
      <c r="M977" s="46" t="n">
        <f aca="false">IF(M971&gt;=0,M926,99)</f>
        <v>99</v>
      </c>
    </row>
    <row r="978" customFormat="false" ht="15" hidden="false" customHeight="false" outlineLevel="0" collapsed="false">
      <c r="A978" s="4" t="s">
        <v>517</v>
      </c>
      <c r="C978" s="23" t="n">
        <f aca="false">MIN(D973:M973)</f>
        <v>9</v>
      </c>
    </row>
    <row r="979" customFormat="false" ht="15" hidden="false" customHeight="false" outlineLevel="0" collapsed="false">
      <c r="A979" s="9" t="s">
        <v>518</v>
      </c>
      <c r="C979" s="46" t="n">
        <f aca="false">MIN(D974:M974)</f>
        <v>4</v>
      </c>
    </row>
    <row r="980" customFormat="false" ht="15" hidden="false" customHeight="false" outlineLevel="0" collapsed="false">
      <c r="A980" s="4" t="s">
        <v>519</v>
      </c>
      <c r="C980" s="23" t="n">
        <f aca="false">MIN(D975:M975)</f>
        <v>9</v>
      </c>
    </row>
    <row r="981" customFormat="false" ht="15" hidden="false" customHeight="false" outlineLevel="0" collapsed="false">
      <c r="A981" s="9" t="s">
        <v>520</v>
      </c>
      <c r="C981" s="46" t="n">
        <f aca="false">MIN(D976:M976)</f>
        <v>4</v>
      </c>
    </row>
    <row r="982" customFormat="false" ht="15" hidden="false" customHeight="false" outlineLevel="0" collapsed="false">
      <c r="A982" s="9" t="s">
        <v>521</v>
      </c>
      <c r="C982" s="46" t="n">
        <f aca="false">MIN(D977:M977)</f>
        <v>99</v>
      </c>
    </row>
    <row r="983" customFormat="false" ht="15" hidden="false" customHeight="false" outlineLevel="0" collapsed="false">
      <c r="A983" s="4" t="s">
        <v>522</v>
      </c>
      <c r="C983" s="15" t="n">
        <f aca="false">M971</f>
        <v>-4578.29286470861</v>
      </c>
    </row>
    <row r="984" customFormat="false" ht="15" hidden="false" customHeight="false" outlineLevel="0" collapsed="false">
      <c r="A984" s="9" t="s">
        <v>523</v>
      </c>
      <c r="C984" s="36" t="n">
        <f aca="false">SUMPRODUCT(D939:M939,D972:M972)</f>
        <v>196.405028554433</v>
      </c>
    </row>
    <row r="985" customFormat="false" ht="15" hidden="false" customHeight="false" outlineLevel="0" collapsed="false">
      <c r="A985" s="9" t="s">
        <v>524</v>
      </c>
      <c r="C985" s="36" t="n">
        <f aca="false">M939*(1+a_tg)/(lv_wacc-a_tg)</f>
        <v>1680.59205844992</v>
      </c>
    </row>
    <row r="986" customFormat="false" ht="15" hidden="false" customHeight="false" outlineLevel="0" collapsed="false">
      <c r="A986" s="9" t="s">
        <v>314</v>
      </c>
      <c r="C986" s="36" t="n">
        <f aca="false">C985*M972</f>
        <v>495.082838372647</v>
      </c>
    </row>
    <row r="987" customFormat="false" ht="15" hidden="false" customHeight="false" outlineLevel="0" collapsed="false">
      <c r="A987" s="4" t="s">
        <v>525</v>
      </c>
      <c r="C987" s="15" t="n">
        <f aca="false">C984+C986</f>
        <v>691.48786692708</v>
      </c>
    </row>
    <row r="988" customFormat="false" ht="15" hidden="false" customHeight="false" outlineLevel="0" collapsed="false">
      <c r="A988" s="9" t="s">
        <v>526</v>
      </c>
      <c r="C988" s="32" t="n">
        <f aca="false">SUMPRODUCT(D949:M949,D972:M972)-a_recovery*M951*M972</f>
        <v>0</v>
      </c>
    </row>
    <row r="989" customFormat="false" ht="15" hidden="false" customHeight="false" outlineLevel="0" collapsed="false">
      <c r="A989" s="9" t="s">
        <v>527</v>
      </c>
      <c r="C989" s="36" t="n">
        <f aca="false">SUMPRODUCT(D948:M948,D972:M972)*(1-a_tax)</f>
        <v>0</v>
      </c>
    </row>
    <row r="990" customFormat="false" ht="15" hidden="false" customHeight="false" outlineLevel="0" collapsed="false">
      <c r="A990" s="9" t="s">
        <v>528</v>
      </c>
      <c r="C990" s="36" t="n">
        <f aca="false">C947*D972</f>
        <v>141.592920353982</v>
      </c>
    </row>
    <row r="991" customFormat="false" ht="15" hidden="false" customHeight="false" outlineLevel="0" collapsed="false">
      <c r="A991" s="4" t="s">
        <v>529</v>
      </c>
      <c r="C991" s="20" t="n">
        <f aca="false">C987+C989-C988-C990-lv_price</f>
        <v>-3450.1050534269</v>
      </c>
    </row>
    <row r="992" customFormat="false" ht="15" hidden="false" customHeight="false" outlineLevel="0" collapsed="false">
      <c r="A992" s="9" t="s">
        <v>530</v>
      </c>
      <c r="C992" s="32" t="n">
        <f aca="false">C991+SUMPRODUCT(D968:M968,D972:M972)</f>
        <v>-3075.69425358615</v>
      </c>
    </row>
    <row r="993" customFormat="false" ht="15" hidden="false" customHeight="false" outlineLevel="0" collapsed="false">
      <c r="A993" s="4" t="s">
        <v>531</v>
      </c>
      <c r="C993" s="59" t="n">
        <f aca="false">lv_price/D929</f>
        <v>25.2525252525253</v>
      </c>
    </row>
    <row r="994" customFormat="false" ht="15" hidden="false" customHeight="false" outlineLevel="0" collapsed="false">
      <c r="A994" s="9" t="s">
        <v>532</v>
      </c>
      <c r="C994" s="17" t="n">
        <f aca="false">(lv_price+C988)/D929</f>
        <v>25.2525252525253</v>
      </c>
    </row>
    <row r="995" customFormat="false" ht="15" hidden="false" customHeight="false" outlineLevel="0" collapsed="false">
      <c r="A995" s="4" t="s">
        <v>533</v>
      </c>
      <c r="C995" s="15" t="n">
        <f aca="false">(C991+C988)/SUMPRODUCT(D972:M972)</f>
        <v>-635.818327857292</v>
      </c>
    </row>
    <row r="996" customFormat="false" ht="15" hidden="false" customHeight="false" outlineLevel="0" collapsed="false">
      <c r="A996" s="4" t="s">
        <v>534</v>
      </c>
      <c r="C996" s="25" t="n">
        <f aca="false">D959</f>
        <v>5.20589320866142</v>
      </c>
    </row>
    <row r="997" customFormat="false" ht="15" hidden="false" customHeight="false" outlineLevel="0" collapsed="false">
      <c r="A997" s="9" t="s">
        <v>535</v>
      </c>
      <c r="C997" s="50" t="n">
        <f aca="false">F959</f>
        <v>6.24428887795276</v>
      </c>
    </row>
    <row r="998" customFormat="false" ht="15" hidden="false" customHeight="false" outlineLevel="0" collapsed="false">
      <c r="A998" s="4" t="s">
        <v>536</v>
      </c>
      <c r="C998" s="20" t="n">
        <f aca="false">D967</f>
        <v>-298.412</v>
      </c>
    </row>
    <row r="999" customFormat="false" ht="15" hidden="false" customHeight="false" outlineLevel="0" collapsed="false">
      <c r="A999" s="9" t="s">
        <v>537</v>
      </c>
      <c r="C999" s="32" t="n">
        <f aca="false">cf_cash-lv_mix_cash-C947</f>
        <v>6640</v>
      </c>
    </row>
    <row r="1000" customFormat="false" ht="15" hidden="false" customHeight="false" outlineLevel="0" collapsed="false">
      <c r="A1000" s="9" t="s">
        <v>538</v>
      </c>
      <c r="C1000" s="32" t="n">
        <f aca="false">cf_debt+lv_mix_debt</f>
        <v>350</v>
      </c>
    </row>
    <row r="1001" customFormat="false" ht="15" hidden="false" customHeight="false" outlineLevel="0" collapsed="false">
      <c r="A1001" s="9" t="s">
        <v>539</v>
      </c>
      <c r="C1001" s="34" t="n">
        <f aca="false">C1000/cf_ebitda</f>
        <v>0.546875</v>
      </c>
    </row>
    <row r="1002" customFormat="false" ht="15" hidden="false" customHeight="false" outlineLevel="0" collapsed="false">
      <c r="A1002" s="9" t="s">
        <v>540</v>
      </c>
      <c r="C1002" s="32" t="n">
        <f aca="false">C999+SUM(D970:F970)+3*cf_pat</f>
        <v>7619.61104</v>
      </c>
    </row>
    <row r="1004" customFormat="false" ht="15" hidden="false" customHeight="false" outlineLevel="0" collapsed="false">
      <c r="A1004" s="7" t="s">
        <v>661</v>
      </c>
      <c r="B1004" s="8"/>
      <c r="C1004" s="8"/>
      <c r="D1004" s="8"/>
      <c r="E1004" s="8"/>
      <c r="F1004" s="8"/>
      <c r="G1004" s="8"/>
      <c r="H1004" s="8"/>
      <c r="I1004" s="8"/>
      <c r="J1004" s="8"/>
      <c r="K1004" s="8"/>
      <c r="L1004" s="8"/>
      <c r="M1004" s="8"/>
      <c r="N1004" s="8"/>
    </row>
    <row r="1005" customFormat="false" ht="15" hidden="false" customHeight="false" outlineLevel="0" collapsed="false">
      <c r="A1005" s="4" t="s">
        <v>284</v>
      </c>
      <c r="C1005" s="39" t="n">
        <v>0</v>
      </c>
      <c r="D1005" s="39" t="n">
        <v>1</v>
      </c>
      <c r="E1005" s="39" t="n">
        <v>2</v>
      </c>
      <c r="F1005" s="39" t="n">
        <v>3</v>
      </c>
      <c r="G1005" s="39" t="n">
        <v>4</v>
      </c>
      <c r="H1005" s="39" t="n">
        <v>5</v>
      </c>
      <c r="I1005" s="39" t="n">
        <v>6</v>
      </c>
      <c r="J1005" s="39" t="n">
        <v>7</v>
      </c>
      <c r="K1005" s="39" t="n">
        <v>8</v>
      </c>
      <c r="L1005" s="39" t="n">
        <v>9</v>
      </c>
      <c r="M1005" s="39" t="n">
        <v>10</v>
      </c>
    </row>
    <row r="1006" customFormat="false" ht="15" hidden="false" customHeight="false" outlineLevel="0" collapsed="false">
      <c r="A1006" s="9" t="s">
        <v>285</v>
      </c>
      <c r="C1006" s="40" t="n">
        <f aca="false">cf_arr</f>
        <v>220</v>
      </c>
      <c r="D1006" s="36" t="n">
        <f aca="false">C1006*(1+lv_g)</f>
        <v>264</v>
      </c>
      <c r="E1006" s="36" t="n">
        <f aca="false">D1006*(1+lv_g)</f>
        <v>316.8</v>
      </c>
      <c r="F1006" s="36" t="n">
        <f aca="false">E1006*(1+lv_g)</f>
        <v>380.16</v>
      </c>
      <c r="G1006" s="36" t="n">
        <f aca="false">F1006*(1+lv_g)</f>
        <v>456.192</v>
      </c>
      <c r="H1006" s="36" t="n">
        <f aca="false">G1006*(1+lv_g)</f>
        <v>547.4304</v>
      </c>
      <c r="I1006" s="36" t="n">
        <f aca="false">H1006*(1+lv_g)</f>
        <v>656.91648</v>
      </c>
      <c r="J1006" s="36" t="n">
        <f aca="false">I1006*(1+lv_g)</f>
        <v>788.299776</v>
      </c>
      <c r="K1006" s="36" t="n">
        <f aca="false">J1006*(1+lv_g)</f>
        <v>945.9597312</v>
      </c>
      <c r="L1006" s="36" t="n">
        <f aca="false">K1006*(1+lv_g)</f>
        <v>1135.15167744</v>
      </c>
      <c r="M1006" s="36" t="n">
        <f aca="false">L1006*(1+lv_g)</f>
        <v>1362.182012928</v>
      </c>
    </row>
    <row r="1007" customFormat="false" ht="15" hidden="false" customHeight="false" outlineLevel="0" collapsed="false">
      <c r="A1007" s="9" t="s">
        <v>286</v>
      </c>
      <c r="C1007" s="18" t="n">
        <f aca="false">1</f>
        <v>1</v>
      </c>
      <c r="D1007" s="18" t="n">
        <f aca="false">IF(D1005&gt;=a_churn_year,1-Churn!$A$19,1)</f>
        <v>0.55</v>
      </c>
      <c r="E1007" s="18" t="n">
        <f aca="false">IF(E1005&gt;=a_churn_year,1-Churn!$A$19,1)</f>
        <v>0.55</v>
      </c>
      <c r="F1007" s="18" t="n">
        <f aca="false">IF(F1005&gt;=a_churn_year,1-Churn!$A$19,1)</f>
        <v>0.55</v>
      </c>
      <c r="G1007" s="18" t="n">
        <f aca="false">IF(G1005&gt;=a_churn_year,1-Churn!$A$19,1)</f>
        <v>0.55</v>
      </c>
      <c r="H1007" s="18" t="n">
        <f aca="false">IF(H1005&gt;=a_churn_year,1-Churn!$A$19,1)</f>
        <v>0.55</v>
      </c>
      <c r="I1007" s="18" t="n">
        <f aca="false">IF(I1005&gt;=a_churn_year,1-Churn!$A$19,1)</f>
        <v>0.55</v>
      </c>
      <c r="J1007" s="18" t="n">
        <f aca="false">IF(J1005&gt;=a_churn_year,1-Churn!$A$19,1)</f>
        <v>0.55</v>
      </c>
      <c r="K1007" s="18" t="n">
        <f aca="false">IF(K1005&gt;=a_churn_year,1-Churn!$A$19,1)</f>
        <v>0.55</v>
      </c>
      <c r="L1007" s="18" t="n">
        <f aca="false">IF(L1005&gt;=a_churn_year,1-Churn!$A$19,1)</f>
        <v>0.55</v>
      </c>
      <c r="M1007" s="18" t="n">
        <f aca="false">IF(M1005&gt;=a_churn_year,1-Churn!$A$19,1)</f>
        <v>0.55</v>
      </c>
    </row>
    <row r="1008" customFormat="false" ht="15" hidden="false" customHeight="false" outlineLevel="0" collapsed="false">
      <c r="A1008" s="4" t="s">
        <v>287</v>
      </c>
      <c r="C1008" s="41" t="n">
        <f aca="false">C1006*C1007</f>
        <v>220</v>
      </c>
      <c r="D1008" s="41" t="n">
        <f aca="false">D1006*D1007</f>
        <v>145.2</v>
      </c>
      <c r="E1008" s="41" t="n">
        <f aca="false">E1006*E1007</f>
        <v>174.24</v>
      </c>
      <c r="F1008" s="41" t="n">
        <f aca="false">F1006*F1007</f>
        <v>209.088</v>
      </c>
      <c r="G1008" s="41" t="n">
        <f aca="false">G1006*G1007</f>
        <v>250.9056</v>
      </c>
      <c r="H1008" s="41" t="n">
        <f aca="false">H1006*H1007</f>
        <v>301.08672</v>
      </c>
      <c r="I1008" s="41" t="n">
        <f aca="false">I1006*I1007</f>
        <v>361.304064</v>
      </c>
      <c r="J1008" s="41" t="n">
        <f aca="false">J1006*J1007</f>
        <v>433.5648768</v>
      </c>
      <c r="K1008" s="41" t="n">
        <f aca="false">K1006*K1007</f>
        <v>520.27785216</v>
      </c>
      <c r="L1008" s="41" t="n">
        <f aca="false">L1006*L1007</f>
        <v>624.333422592</v>
      </c>
      <c r="M1008" s="41" t="n">
        <f aca="false">M1006*M1007</f>
        <v>749.2001071104</v>
      </c>
    </row>
    <row r="1009" customFormat="false" ht="15" hidden="false" customHeight="false" outlineLevel="0" collapsed="false">
      <c r="A1009" s="9" t="s">
        <v>288</v>
      </c>
      <c r="C1009" s="18" t="n">
        <f aca="false">MIN(a_m0+a_mstep*C1005,a_mcap)</f>
        <v>0</v>
      </c>
      <c r="D1009" s="18" t="n">
        <f aca="false">MIN(a_m0+a_mstep*D1005,a_mcap)</f>
        <v>0.05</v>
      </c>
      <c r="E1009" s="18" t="n">
        <f aca="false">MIN(a_m0+a_mstep*E1005,a_mcap)</f>
        <v>0.1</v>
      </c>
      <c r="F1009" s="18" t="n">
        <f aca="false">MIN(a_m0+a_mstep*F1005,a_mcap)</f>
        <v>0.15</v>
      </c>
      <c r="G1009" s="18" t="n">
        <f aca="false">MIN(a_m0+a_mstep*G1005,a_mcap)</f>
        <v>0.2</v>
      </c>
      <c r="H1009" s="18" t="n">
        <f aca="false">MIN(a_m0+a_mstep*H1005,a_mcap)</f>
        <v>0.25</v>
      </c>
      <c r="I1009" s="18" t="n">
        <f aca="false">MIN(a_m0+a_mstep*I1005,a_mcap)</f>
        <v>0.25</v>
      </c>
      <c r="J1009" s="18" t="n">
        <f aca="false">MIN(a_m0+a_mstep*J1005,a_mcap)</f>
        <v>0.25</v>
      </c>
      <c r="K1009" s="18" t="n">
        <f aca="false">MIN(a_m0+a_mstep*K1005,a_mcap)</f>
        <v>0.25</v>
      </c>
      <c r="L1009" s="18" t="n">
        <f aca="false">MIN(a_m0+a_mstep*L1005,a_mcap)</f>
        <v>0.25</v>
      </c>
      <c r="M1009" s="18" t="n">
        <f aca="false">MIN(a_m0+a_mstep*M1005,a_mcap)</f>
        <v>0.25</v>
      </c>
    </row>
    <row r="1010" customFormat="false" ht="15" hidden="false" customHeight="false" outlineLevel="0" collapsed="false">
      <c r="A1010" s="9" t="s">
        <v>289</v>
      </c>
      <c r="C1010" s="36" t="n">
        <f aca="false">IF(C1005=a_churn_year,a_sticky*(C1006-C1008)*(1-C1009),0)</f>
        <v>0</v>
      </c>
      <c r="D1010" s="36" t="n">
        <f aca="false">IF(D1005=a_churn_year,a_sticky*(D1006-D1008)*(1-D1009),0)</f>
        <v>56.43</v>
      </c>
      <c r="E1010" s="36" t="n">
        <f aca="false">IF(E1005=a_churn_year,a_sticky*(E1006-E1008)*(1-E1009),0)</f>
        <v>0</v>
      </c>
      <c r="F1010" s="36" t="n">
        <f aca="false">IF(F1005=a_churn_year,a_sticky*(F1006-F1008)*(1-F1009),0)</f>
        <v>0</v>
      </c>
      <c r="G1010" s="36" t="n">
        <f aca="false">IF(G1005=a_churn_year,a_sticky*(G1006-G1008)*(1-G1009),0)</f>
        <v>0</v>
      </c>
      <c r="H1010" s="36" t="n">
        <f aca="false">IF(H1005=a_churn_year,a_sticky*(H1006-H1008)*(1-H1009),0)</f>
        <v>0</v>
      </c>
      <c r="I1010" s="36" t="n">
        <f aca="false">IF(I1005=a_churn_year,a_sticky*(I1006-I1008)*(1-I1009),0)</f>
        <v>0</v>
      </c>
      <c r="J1010" s="36" t="n">
        <f aca="false">IF(J1005=a_churn_year,a_sticky*(J1006-J1008)*(1-J1009),0)</f>
        <v>0</v>
      </c>
      <c r="K1010" s="36" t="n">
        <f aca="false">IF(K1005=a_churn_year,a_sticky*(K1006-K1008)*(1-K1009),0)</f>
        <v>0</v>
      </c>
      <c r="L1010" s="36" t="n">
        <f aca="false">IF(L1005=a_churn_year,a_sticky*(L1006-L1008)*(1-L1009),0)</f>
        <v>0</v>
      </c>
      <c r="M1010" s="36" t="n">
        <f aca="false">IF(M1005=a_churn_year,a_sticky*(M1006-M1008)*(1-M1009),0)</f>
        <v>0</v>
      </c>
    </row>
    <row r="1011" customFormat="false" ht="15" hidden="false" customHeight="false" outlineLevel="0" collapsed="false">
      <c r="A1011" s="4" t="s">
        <v>290</v>
      </c>
      <c r="C1011" s="41" t="n">
        <f aca="false">C1008*C1009-C1010</f>
        <v>0</v>
      </c>
      <c r="D1011" s="41" t="n">
        <f aca="false">D1008*D1009-D1010</f>
        <v>-49.17</v>
      </c>
      <c r="E1011" s="41" t="n">
        <f aca="false">E1008*E1009-E1010</f>
        <v>17.424</v>
      </c>
      <c r="F1011" s="41" t="n">
        <f aca="false">F1008*F1009-F1010</f>
        <v>31.3632</v>
      </c>
      <c r="G1011" s="41" t="n">
        <f aca="false">G1008*G1009-G1010</f>
        <v>50.18112</v>
      </c>
      <c r="H1011" s="41" t="n">
        <f aca="false">H1008*H1009-H1010</f>
        <v>75.27168</v>
      </c>
      <c r="I1011" s="41" t="n">
        <f aca="false">I1008*I1009-I1010</f>
        <v>90.326016</v>
      </c>
      <c r="J1011" s="41" t="n">
        <f aca="false">J1008*J1009-J1010</f>
        <v>108.3912192</v>
      </c>
      <c r="K1011" s="41" t="n">
        <f aca="false">K1008*K1009-K1010</f>
        <v>130.06946304</v>
      </c>
      <c r="L1011" s="41" t="n">
        <f aca="false">L1008*L1009-L1010</f>
        <v>156.083355648</v>
      </c>
      <c r="M1011" s="41" t="n">
        <f aca="false">M1008*M1009-M1010</f>
        <v>187.3000267776</v>
      </c>
    </row>
    <row r="1012" customFormat="false" ht="15" hidden="false" customHeight="false" outlineLevel="0" collapsed="false">
      <c r="A1012" s="9" t="s">
        <v>291</v>
      </c>
      <c r="C1012" s="36" t="n">
        <f aca="false">C1008*a_da</f>
        <v>6.6</v>
      </c>
      <c r="D1012" s="36" t="n">
        <f aca="false">D1008*a_da</f>
        <v>4.356</v>
      </c>
      <c r="E1012" s="36" t="n">
        <f aca="false">E1008*a_da</f>
        <v>5.2272</v>
      </c>
      <c r="F1012" s="36" t="n">
        <f aca="false">F1008*a_da</f>
        <v>6.27264</v>
      </c>
      <c r="G1012" s="36" t="n">
        <f aca="false">G1008*a_da</f>
        <v>7.527168</v>
      </c>
      <c r="H1012" s="36" t="n">
        <f aca="false">H1008*a_da</f>
        <v>9.0326016</v>
      </c>
      <c r="I1012" s="36" t="n">
        <f aca="false">I1008*a_da</f>
        <v>10.83912192</v>
      </c>
      <c r="J1012" s="36" t="n">
        <f aca="false">J1008*a_da</f>
        <v>13.006946304</v>
      </c>
      <c r="K1012" s="36" t="n">
        <f aca="false">K1008*a_da</f>
        <v>15.6083355648</v>
      </c>
      <c r="L1012" s="36" t="n">
        <f aca="false">L1008*a_da</f>
        <v>18.73000267776</v>
      </c>
      <c r="M1012" s="36" t="n">
        <f aca="false">M1008*a_da</f>
        <v>22.476003213312</v>
      </c>
    </row>
    <row r="1013" customFormat="false" ht="15" hidden="false" customHeight="false" outlineLevel="0" collapsed="false">
      <c r="A1013" s="9" t="s">
        <v>292</v>
      </c>
      <c r="C1013" s="36" t="n">
        <f aca="false">C1011-C1012</f>
        <v>-6.6</v>
      </c>
      <c r="D1013" s="36" t="n">
        <f aca="false">D1011-D1012</f>
        <v>-53.526</v>
      </c>
      <c r="E1013" s="36" t="n">
        <f aca="false">E1011-E1012</f>
        <v>12.1968</v>
      </c>
      <c r="F1013" s="36" t="n">
        <f aca="false">F1011-F1012</f>
        <v>25.09056</v>
      </c>
      <c r="G1013" s="36" t="n">
        <f aca="false">G1011-G1012</f>
        <v>42.653952</v>
      </c>
      <c r="H1013" s="36" t="n">
        <f aca="false">H1011-H1012</f>
        <v>66.2390784</v>
      </c>
      <c r="I1013" s="36" t="n">
        <f aca="false">I1011-I1012</f>
        <v>79.48689408</v>
      </c>
      <c r="J1013" s="36" t="n">
        <f aca="false">J1011-J1012</f>
        <v>95.384272896</v>
      </c>
      <c r="K1013" s="36" t="n">
        <f aca="false">K1011-K1012</f>
        <v>114.4611274752</v>
      </c>
      <c r="L1013" s="36" t="n">
        <f aca="false">L1011-L1012</f>
        <v>137.35335297024</v>
      </c>
      <c r="M1013" s="36" t="n">
        <f aca="false">M1011-M1012</f>
        <v>164.824023564288</v>
      </c>
    </row>
    <row r="1014" customFormat="false" ht="15" hidden="false" customHeight="false" outlineLevel="0" collapsed="false">
      <c r="A1014" s="9" t="s">
        <v>293</v>
      </c>
      <c r="C1014" s="36" t="n">
        <f aca="false">MAX(0,C1013)*a_tax</f>
        <v>0</v>
      </c>
      <c r="D1014" s="36" t="n">
        <f aca="false">MAX(0,D1013)*a_tax</f>
        <v>0</v>
      </c>
      <c r="E1014" s="36" t="n">
        <f aca="false">MAX(0,E1013)*a_tax</f>
        <v>3.0492</v>
      </c>
      <c r="F1014" s="36" t="n">
        <f aca="false">MAX(0,F1013)*a_tax</f>
        <v>6.27264</v>
      </c>
      <c r="G1014" s="36" t="n">
        <f aca="false">MAX(0,G1013)*a_tax</f>
        <v>10.663488</v>
      </c>
      <c r="H1014" s="36" t="n">
        <f aca="false">MAX(0,H1013)*a_tax</f>
        <v>16.5597696</v>
      </c>
      <c r="I1014" s="36" t="n">
        <f aca="false">MAX(0,I1013)*a_tax</f>
        <v>19.87172352</v>
      </c>
      <c r="J1014" s="36" t="n">
        <f aca="false">MAX(0,J1013)*a_tax</f>
        <v>23.846068224</v>
      </c>
      <c r="K1014" s="36" t="n">
        <f aca="false">MAX(0,K1013)*a_tax</f>
        <v>28.6152818688</v>
      </c>
      <c r="L1014" s="36" t="n">
        <f aca="false">MAX(0,L1013)*a_tax</f>
        <v>34.33833824256</v>
      </c>
      <c r="M1014" s="36" t="n">
        <f aca="false">MAX(0,M1013)*a_tax</f>
        <v>41.206005891072</v>
      </c>
    </row>
    <row r="1015" customFormat="false" ht="15" hidden="false" customHeight="false" outlineLevel="0" collapsed="false">
      <c r="A1015" s="4" t="s">
        <v>294</v>
      </c>
      <c r="C1015" s="42" t="n">
        <f aca="false">cf_lim_pat</f>
        <v>0</v>
      </c>
      <c r="D1015" s="41" t="n">
        <f aca="false">D1013-D1014</f>
        <v>-53.526</v>
      </c>
      <c r="E1015" s="41" t="n">
        <f aca="false">E1013-E1014</f>
        <v>9.1476</v>
      </c>
      <c r="F1015" s="41" t="n">
        <f aca="false">F1013-F1014</f>
        <v>18.81792</v>
      </c>
      <c r="G1015" s="41" t="n">
        <f aca="false">G1013-G1014</f>
        <v>31.990464</v>
      </c>
      <c r="H1015" s="41" t="n">
        <f aca="false">H1013-H1014</f>
        <v>49.6793088</v>
      </c>
      <c r="I1015" s="41" t="n">
        <f aca="false">I1013-I1014</f>
        <v>59.61517056</v>
      </c>
      <c r="J1015" s="41" t="n">
        <f aca="false">J1013-J1014</f>
        <v>71.538204672</v>
      </c>
      <c r="K1015" s="41" t="n">
        <f aca="false">K1013-K1014</f>
        <v>85.8458456064</v>
      </c>
      <c r="L1015" s="41" t="n">
        <f aca="false">L1013-L1014</f>
        <v>103.01501472768</v>
      </c>
      <c r="M1015" s="41" t="n">
        <f aca="false">M1013-M1014</f>
        <v>123.618017673216</v>
      </c>
    </row>
    <row r="1016" customFormat="false" ht="15" hidden="false" customHeight="false" outlineLevel="0" collapsed="false">
      <c r="A1016" s="9" t="s">
        <v>295</v>
      </c>
      <c r="C1016" s="36" t="n">
        <f aca="false">C1008*a_capex</f>
        <v>6.6</v>
      </c>
      <c r="D1016" s="36" t="n">
        <f aca="false">D1008*a_capex</f>
        <v>4.356</v>
      </c>
      <c r="E1016" s="36" t="n">
        <f aca="false">E1008*a_capex</f>
        <v>5.2272</v>
      </c>
      <c r="F1016" s="36" t="n">
        <f aca="false">F1008*a_capex</f>
        <v>6.27264</v>
      </c>
      <c r="G1016" s="36" t="n">
        <f aca="false">G1008*a_capex</f>
        <v>7.527168</v>
      </c>
      <c r="H1016" s="36" t="n">
        <f aca="false">H1008*a_capex</f>
        <v>9.0326016</v>
      </c>
      <c r="I1016" s="36" t="n">
        <f aca="false">I1008*a_capex</f>
        <v>10.83912192</v>
      </c>
      <c r="J1016" s="36" t="n">
        <f aca="false">J1008*a_capex</f>
        <v>13.006946304</v>
      </c>
      <c r="K1016" s="36" t="n">
        <f aca="false">K1008*a_capex</f>
        <v>15.6083355648</v>
      </c>
      <c r="L1016" s="36" t="n">
        <f aca="false">L1008*a_capex</f>
        <v>18.73000267776</v>
      </c>
      <c r="M1016" s="36" t="n">
        <f aca="false">M1008*a_capex</f>
        <v>22.476003213312</v>
      </c>
    </row>
    <row r="1017" customFormat="false" ht="15" hidden="false" customHeight="false" outlineLevel="0" collapsed="false">
      <c r="A1017" s="9" t="s">
        <v>296</v>
      </c>
      <c r="C1017" s="36" t="n">
        <f aca="false">0</f>
        <v>0</v>
      </c>
      <c r="D1017" s="36" t="n">
        <f aca="false">a_wc*(D1008-C1008)</f>
        <v>-3.74</v>
      </c>
      <c r="E1017" s="36" t="n">
        <f aca="false">a_wc*(E1008-D1008)</f>
        <v>1.452</v>
      </c>
      <c r="F1017" s="36" t="n">
        <f aca="false">a_wc*(F1008-E1008)</f>
        <v>1.7424</v>
      </c>
      <c r="G1017" s="36" t="n">
        <f aca="false">a_wc*(G1008-F1008)</f>
        <v>2.09088</v>
      </c>
      <c r="H1017" s="36" t="n">
        <f aca="false">a_wc*(H1008-G1008)</f>
        <v>2.509056</v>
      </c>
      <c r="I1017" s="36" t="n">
        <f aca="false">a_wc*(I1008-H1008)</f>
        <v>3.0108672</v>
      </c>
      <c r="J1017" s="36" t="n">
        <f aca="false">a_wc*(J1008-I1008)</f>
        <v>3.61304064</v>
      </c>
      <c r="K1017" s="36" t="n">
        <f aca="false">a_wc*(K1008-J1008)</f>
        <v>4.335648768</v>
      </c>
      <c r="L1017" s="36" t="n">
        <f aca="false">a_wc*(L1008-K1008)</f>
        <v>5.2027785216</v>
      </c>
      <c r="M1017" s="36" t="n">
        <f aca="false">a_wc*(M1008-L1008)</f>
        <v>6.24333422592</v>
      </c>
    </row>
    <row r="1018" customFormat="false" ht="15" hidden="false" customHeight="false" outlineLevel="0" collapsed="false">
      <c r="A1018" s="4" t="s">
        <v>297</v>
      </c>
      <c r="C1018" s="36" t="n">
        <f aca="false">0</f>
        <v>0</v>
      </c>
      <c r="D1018" s="41" t="n">
        <f aca="false">D1015+D1012-D1016-D1017</f>
        <v>-49.786</v>
      </c>
      <c r="E1018" s="41" t="n">
        <f aca="false">E1015+E1012-E1016-E1017</f>
        <v>7.6956</v>
      </c>
      <c r="F1018" s="41" t="n">
        <f aca="false">F1015+F1012-F1016-F1017</f>
        <v>17.07552</v>
      </c>
      <c r="G1018" s="41" t="n">
        <f aca="false">G1015+G1012-G1016-G1017</f>
        <v>29.899584</v>
      </c>
      <c r="H1018" s="41" t="n">
        <f aca="false">H1015+H1012-H1016-H1017</f>
        <v>47.1702528</v>
      </c>
      <c r="I1018" s="41" t="n">
        <f aca="false">I1015+I1012-I1016-I1017</f>
        <v>56.60430336</v>
      </c>
      <c r="J1018" s="41" t="n">
        <f aca="false">J1015+J1012-J1016-J1017</f>
        <v>67.925164032</v>
      </c>
      <c r="K1018" s="41" t="n">
        <f aca="false">K1015+K1012-K1016-K1017</f>
        <v>81.5101968384</v>
      </c>
      <c r="L1018" s="41" t="n">
        <f aca="false">L1015+L1012-L1016-L1017</f>
        <v>97.81223620608</v>
      </c>
      <c r="M1018" s="41" t="n">
        <f aca="false">M1015+M1012-M1016-M1017</f>
        <v>117.374683447296</v>
      </c>
    </row>
    <row r="1020" customFormat="false" ht="15" hidden="false" customHeight="false" outlineLevel="0" collapsed="false">
      <c r="A1020" s="7" t="s">
        <v>662</v>
      </c>
      <c r="B1020" s="8"/>
      <c r="C1020" s="8"/>
      <c r="D1020" s="8"/>
      <c r="E1020" s="8"/>
      <c r="F1020" s="8"/>
      <c r="G1020" s="8"/>
      <c r="H1020" s="8"/>
      <c r="I1020" s="8"/>
      <c r="J1020" s="8"/>
      <c r="K1020" s="8"/>
      <c r="L1020" s="8"/>
      <c r="M1020" s="8"/>
      <c r="N1020" s="8"/>
    </row>
    <row r="1021" customFormat="false" ht="15" hidden="false" customHeight="false" outlineLevel="0" collapsed="false">
      <c r="A1021" s="9" t="s">
        <v>482</v>
      </c>
      <c r="C1021" s="35" t="n">
        <f aca="false">lv_mix_eq/(c_price*(1-a_issue_disc))</f>
        <v>1.024</v>
      </c>
    </row>
    <row r="1022" customFormat="false" ht="15" hidden="false" customHeight="false" outlineLevel="0" collapsed="false">
      <c r="A1022" s="9" t="s">
        <v>449</v>
      </c>
      <c r="C1022" s="35" t="n">
        <f aca="false">cf_shares+C1021</f>
        <v>65.024</v>
      </c>
    </row>
    <row r="1023" customFormat="false" ht="15" hidden="false" customHeight="false" outlineLevel="0" collapsed="false">
      <c r="A1023" s="9" t="s">
        <v>483</v>
      </c>
      <c r="C1023" s="36" t="n">
        <f aca="false">lv_mix_cash*a_yield*(1-a_tax)+lv_mix_debt*a_kd*(1-a_tax)</f>
        <v>94.5</v>
      </c>
    </row>
    <row r="1024" customFormat="false" ht="15" hidden="false" customHeight="false" outlineLevel="0" collapsed="false">
      <c r="A1024" s="9" t="s">
        <v>484</v>
      </c>
      <c r="C1024" s="36" t="n">
        <f aca="false">lv_price*a_ppa_share/a_ppa_life*(1-a_tax)</f>
        <v>93.75</v>
      </c>
    </row>
    <row r="1025" customFormat="false" ht="15" hidden="false" customHeight="false" outlineLevel="0" collapsed="false">
      <c r="A1025" s="9" t="s">
        <v>485</v>
      </c>
      <c r="C1025" s="36" t="n">
        <f aca="false">a_ppa_on*C1024</f>
        <v>0</v>
      </c>
    </row>
    <row r="1026" customFormat="false" ht="15" hidden="false" customHeight="false" outlineLevel="0" collapsed="false">
      <c r="A1026" s="9" t="s">
        <v>486</v>
      </c>
      <c r="C1026" s="36" t="n">
        <f aca="false">lv_price*a_fees_pct+a_integ_full</f>
        <v>160</v>
      </c>
    </row>
    <row r="1027" customFormat="false" ht="15" hidden="false" customHeight="false" outlineLevel="0" collapsed="false">
      <c r="A1027" s="9" t="s">
        <v>487</v>
      </c>
      <c r="C1027" s="36" t="n">
        <f aca="false">0</f>
        <v>0</v>
      </c>
      <c r="D1027" s="36" t="n">
        <f aca="false">a_syn_on*(a_syn_partner_rev_y3+a_syn_xsell_y3)*a_mcap*IF(D1005=1,a_syn_ramp1,IF(D1005=2,a_syn_ramp2,1))+a_syn_on*IF(D1005&gt;=2,a_syn_cost,0)</f>
        <v>0</v>
      </c>
      <c r="E1027" s="36" t="n">
        <f aca="false">a_syn_on*(a_syn_partner_rev_y3+a_syn_xsell_y3)*a_mcap*IF(E1005=1,a_syn_ramp1,IF(E1005=2,a_syn_ramp2,1))+a_syn_on*IF(E1005&gt;=2,a_syn_cost,0)</f>
        <v>0</v>
      </c>
      <c r="F1027" s="36" t="n">
        <f aca="false">a_syn_on*(a_syn_partner_rev_y3+a_syn_xsell_y3)*a_mcap*IF(F1005=1,a_syn_ramp1,IF(F1005=2,a_syn_ramp2,1))+a_syn_on*IF(F1005&gt;=2,a_syn_cost,0)</f>
        <v>0</v>
      </c>
      <c r="G1027" s="36" t="n">
        <f aca="false">a_syn_on*(a_syn_partner_rev_y3+a_syn_xsell_y3)*a_mcap*IF(G1005=1,a_syn_ramp1,IF(G1005=2,a_syn_ramp2,1))+a_syn_on*IF(G1005&gt;=2,a_syn_cost,0)</f>
        <v>0</v>
      </c>
      <c r="H1027" s="36" t="n">
        <f aca="false">a_syn_on*(a_syn_partner_rev_y3+a_syn_xsell_y3)*a_mcap*IF(H1005=1,a_syn_ramp1,IF(H1005=2,a_syn_ramp2,1))+a_syn_on*IF(H1005&gt;=2,a_syn_cost,0)</f>
        <v>0</v>
      </c>
      <c r="I1027" s="36" t="n">
        <f aca="false">a_syn_on*(a_syn_partner_rev_y3+a_syn_xsell_y3)*a_mcap*IF(I1005=1,a_syn_ramp1,IF(I1005=2,a_syn_ramp2,1))+a_syn_on*IF(I1005&gt;=2,a_syn_cost,0)</f>
        <v>0</v>
      </c>
      <c r="J1027" s="36" t="n">
        <f aca="false">a_syn_on*(a_syn_partner_rev_y3+a_syn_xsell_y3)*a_mcap*IF(J1005=1,a_syn_ramp1,IF(J1005=2,a_syn_ramp2,1))+a_syn_on*IF(J1005&gt;=2,a_syn_cost,0)</f>
        <v>0</v>
      </c>
      <c r="K1027" s="36" t="n">
        <f aca="false">a_syn_on*(a_syn_partner_rev_y3+a_syn_xsell_y3)*a_mcap*IF(K1005=1,a_syn_ramp1,IF(K1005=2,a_syn_ramp2,1))+a_syn_on*IF(K1005&gt;=2,a_syn_cost,0)</f>
        <v>0</v>
      </c>
      <c r="L1027" s="36" t="n">
        <f aca="false">a_syn_on*(a_syn_partner_rev_y3+a_syn_xsell_y3)*a_mcap*IF(L1005=1,a_syn_ramp1,IF(L1005=2,a_syn_ramp2,1))+a_syn_on*IF(L1005&gt;=2,a_syn_cost,0)</f>
        <v>0</v>
      </c>
      <c r="M1027" s="36" t="n">
        <f aca="false">a_syn_on*(a_syn_partner_rev_y3+a_syn_xsell_y3)*a_mcap*IF(M1005=1,a_syn_ramp1,IF(M1005=2,a_syn_ramp2,1))+a_syn_on*IF(M1005&gt;=2,a_syn_cost,0)</f>
        <v>0</v>
      </c>
    </row>
    <row r="1028" customFormat="false" ht="15" hidden="false" customHeight="false" outlineLevel="0" collapsed="false">
      <c r="A1028" s="9" t="s">
        <v>488</v>
      </c>
      <c r="C1028" s="36" t="n">
        <f aca="false">0</f>
        <v>0</v>
      </c>
      <c r="D1028" s="36" t="n">
        <f aca="false">CHOOSE(lv_drag_mode,lv_drag,lv_drag*D1008/cf_arr,lv_drag*(1-a_tax))</f>
        <v>750</v>
      </c>
      <c r="E1028" s="36" t="n">
        <f aca="false">CHOOSE(lv_drag_mode,lv_drag,lv_drag*E1008/cf_arr,lv_drag*(1-a_tax))</f>
        <v>750</v>
      </c>
      <c r="F1028" s="36" t="n">
        <f aca="false">CHOOSE(lv_drag_mode,lv_drag,lv_drag*F1008/cf_arr,lv_drag*(1-a_tax))</f>
        <v>750</v>
      </c>
      <c r="G1028" s="36" t="n">
        <f aca="false">CHOOSE(lv_drag_mode,lv_drag,lv_drag*G1008/cf_arr,lv_drag*(1-a_tax))</f>
        <v>750</v>
      </c>
      <c r="H1028" s="36" t="n">
        <f aca="false">CHOOSE(lv_drag_mode,lv_drag,lv_drag*H1008/cf_arr,lv_drag*(1-a_tax))</f>
        <v>750</v>
      </c>
      <c r="I1028" s="36" t="n">
        <f aca="false">CHOOSE(lv_drag_mode,lv_drag,lv_drag*I1008/cf_arr,lv_drag*(1-a_tax))</f>
        <v>750</v>
      </c>
      <c r="J1028" s="36" t="n">
        <f aca="false">CHOOSE(lv_drag_mode,lv_drag,lv_drag*J1008/cf_arr,lv_drag*(1-a_tax))</f>
        <v>750</v>
      </c>
      <c r="K1028" s="36" t="n">
        <f aca="false">CHOOSE(lv_drag_mode,lv_drag,lv_drag*K1008/cf_arr,lv_drag*(1-a_tax))</f>
        <v>750</v>
      </c>
      <c r="L1028" s="36" t="n">
        <f aca="false">CHOOSE(lv_drag_mode,lv_drag,lv_drag*L1008/cf_arr,lv_drag*(1-a_tax))</f>
        <v>750</v>
      </c>
      <c r="M1028" s="36" t="n">
        <f aca="false">CHOOSE(lv_drag_mode,lv_drag,lv_drag*M1008/cf_arr,lv_drag*(1-a_tax))</f>
        <v>750</v>
      </c>
    </row>
    <row r="1029" customFormat="false" ht="15" hidden="false" customHeight="false" outlineLevel="0" collapsed="false">
      <c r="A1029" s="9" t="s">
        <v>489</v>
      </c>
      <c r="C1029" s="36" t="n">
        <f aca="false">0</f>
        <v>0</v>
      </c>
      <c r="D1029" s="36" t="n">
        <f aca="false">IF(lv_drag_mode=3,lv_drag*(1-a_tax),0)</f>
        <v>0</v>
      </c>
      <c r="E1029" s="36" t="n">
        <f aca="false">IF(lv_drag_mode=3,lv_drag*(1-a_tax),0)</f>
        <v>0</v>
      </c>
      <c r="F1029" s="36" t="n">
        <f aca="false">IF(lv_drag_mode=3,lv_drag*(1-a_tax),0)</f>
        <v>0</v>
      </c>
      <c r="G1029" s="36" t="n">
        <f aca="false">IF(lv_drag_mode=3,lv_drag*(1-a_tax),0)</f>
        <v>0</v>
      </c>
      <c r="H1029" s="36" t="n">
        <f aca="false">IF(lv_drag_mode=3,lv_drag*(1-a_tax),0)</f>
        <v>0</v>
      </c>
      <c r="I1029" s="36" t="n">
        <f aca="false">IF(lv_drag_mode=3,lv_drag*(1-a_tax),0)</f>
        <v>0</v>
      </c>
      <c r="J1029" s="36" t="n">
        <f aca="false">IF(lv_drag_mode=3,lv_drag*(1-a_tax),0)</f>
        <v>0</v>
      </c>
      <c r="K1029" s="36" t="n">
        <f aca="false">IF(lv_drag_mode=3,lv_drag*(1-a_tax),0)</f>
        <v>0</v>
      </c>
      <c r="L1029" s="36" t="n">
        <f aca="false">IF(lv_drag_mode=3,lv_drag*(1-a_tax),0)</f>
        <v>0</v>
      </c>
      <c r="M1029" s="36" t="n">
        <f aca="false">IF(lv_drag_mode=3,lv_drag*(1-a_tax),0)</f>
        <v>0</v>
      </c>
    </row>
    <row r="1030" customFormat="false" ht="15" hidden="false" customHeight="false" outlineLevel="0" collapsed="false">
      <c r="A1030" s="9" t="s">
        <v>490</v>
      </c>
      <c r="C1030" s="36" t="n">
        <f aca="false">0</f>
        <v>0</v>
      </c>
      <c r="D1030" s="36" t="n">
        <f aca="false">IF(lv_drag_mode=3,0,C1030+D1028)</f>
        <v>750</v>
      </c>
      <c r="E1030" s="36" t="n">
        <f aca="false">IF(lv_drag_mode=3,0,D1030+E1028)</f>
        <v>1500</v>
      </c>
      <c r="F1030" s="36" t="n">
        <f aca="false">IF(lv_drag_mode=3,0,E1030+F1028)</f>
        <v>2250</v>
      </c>
      <c r="G1030" s="36" t="n">
        <f aca="false">IF(lv_drag_mode=3,0,F1030+G1028)</f>
        <v>3000</v>
      </c>
      <c r="H1030" s="36" t="n">
        <f aca="false">IF(lv_drag_mode=3,0,G1030+H1028)</f>
        <v>3750</v>
      </c>
      <c r="I1030" s="36" t="n">
        <f aca="false">IF(lv_drag_mode=3,0,H1030+I1028)</f>
        <v>4500</v>
      </c>
      <c r="J1030" s="36" t="n">
        <f aca="false">IF(lv_drag_mode=3,0,I1030+J1028)</f>
        <v>5250</v>
      </c>
      <c r="K1030" s="36" t="n">
        <f aca="false">IF(lv_drag_mode=3,0,J1030+K1028)</f>
        <v>6000</v>
      </c>
      <c r="L1030" s="36" t="n">
        <f aca="false">IF(lv_drag_mode=3,0,K1030+L1028)</f>
        <v>6750</v>
      </c>
      <c r="M1030" s="36" t="n">
        <f aca="false">IF(lv_drag_mode=3,0,L1030+M1028)</f>
        <v>7500</v>
      </c>
    </row>
    <row r="1031" customFormat="false" ht="15" hidden="false" customHeight="false" outlineLevel="0" collapsed="false">
      <c r="A1031" s="9" t="s">
        <v>491</v>
      </c>
      <c r="C1031" s="36" t="n">
        <f aca="false">0</f>
        <v>0</v>
      </c>
      <c r="D1031" s="36" t="n">
        <f aca="false">C1030*a_yield*(1-a_tax)</f>
        <v>0</v>
      </c>
      <c r="E1031" s="36" t="n">
        <f aca="false">D1030*a_yield*(1-a_tax)</f>
        <v>33.75</v>
      </c>
      <c r="F1031" s="36" t="n">
        <f aca="false">E1030*a_yield*(1-a_tax)</f>
        <v>67.5</v>
      </c>
      <c r="G1031" s="36" t="n">
        <f aca="false">F1030*a_yield*(1-a_tax)</f>
        <v>101.25</v>
      </c>
      <c r="H1031" s="36" t="n">
        <f aca="false">G1030*a_yield*(1-a_tax)</f>
        <v>135</v>
      </c>
      <c r="I1031" s="36" t="n">
        <f aca="false">H1030*a_yield*(1-a_tax)</f>
        <v>168.75</v>
      </c>
      <c r="J1031" s="36" t="n">
        <f aca="false">I1030*a_yield*(1-a_tax)</f>
        <v>202.5</v>
      </c>
      <c r="K1031" s="36" t="n">
        <f aca="false">J1030*a_yield*(1-a_tax)</f>
        <v>236.25</v>
      </c>
      <c r="L1031" s="36" t="n">
        <f aca="false">K1030*a_yield*(1-a_tax)</f>
        <v>270</v>
      </c>
      <c r="M1031" s="36" t="n">
        <f aca="false">L1030*a_yield*(1-a_tax)</f>
        <v>303.75</v>
      </c>
    </row>
    <row r="1032" customFormat="false" ht="15" hidden="false" customHeight="false" outlineLevel="0" collapsed="false">
      <c r="A1032" s="9" t="s">
        <v>492</v>
      </c>
      <c r="C1032" s="36" t="n">
        <f aca="false">cf_pat</f>
        <v>480</v>
      </c>
      <c r="D1032" s="36" t="n">
        <f aca="false">cf_pat*(1+a_pat_growth)^D1005</f>
        <v>480</v>
      </c>
      <c r="E1032" s="36" t="n">
        <f aca="false">cf_pat*(1+a_pat_growth)^E1005</f>
        <v>480</v>
      </c>
      <c r="F1032" s="36" t="n">
        <f aca="false">cf_pat*(1+a_pat_growth)^F1005</f>
        <v>480</v>
      </c>
      <c r="G1032" s="36" t="n">
        <f aca="false">cf_pat*(1+a_pat_growth)^G1005</f>
        <v>480</v>
      </c>
      <c r="H1032" s="36" t="n">
        <f aca="false">cf_pat*(1+a_pat_growth)^H1005</f>
        <v>480</v>
      </c>
      <c r="I1032" s="36" t="n">
        <f aca="false">cf_pat*(1+a_pat_growth)^I1005</f>
        <v>480</v>
      </c>
      <c r="J1032" s="36" t="n">
        <f aca="false">cf_pat*(1+a_pat_growth)^J1005</f>
        <v>480</v>
      </c>
      <c r="K1032" s="36" t="n">
        <f aca="false">cf_pat*(1+a_pat_growth)^K1005</f>
        <v>480</v>
      </c>
      <c r="L1032" s="36" t="n">
        <f aca="false">cf_pat*(1+a_pat_growth)^L1005</f>
        <v>480</v>
      </c>
      <c r="M1032" s="36" t="n">
        <f aca="false">cf_pat*(1+a_pat_growth)^M1005</f>
        <v>480</v>
      </c>
    </row>
    <row r="1033" customFormat="false" ht="15" hidden="false" customHeight="false" outlineLevel="0" collapsed="false">
      <c r="A1033" s="9" t="s">
        <v>493</v>
      </c>
      <c r="C1033" s="36" t="n">
        <f aca="false">0</f>
        <v>0</v>
      </c>
      <c r="D1033" s="36" t="n">
        <f aca="false">cf_mdr*a_mdr_flow*(1-a_tax)</f>
        <v>69</v>
      </c>
      <c r="E1033" s="36" t="n">
        <f aca="false">cf_mdr*a_mdr_flow*(1-a_tax)</f>
        <v>69</v>
      </c>
      <c r="F1033" s="36" t="n">
        <f aca="false">cf_mdr*a_mdr_flow*(1-a_tax)</f>
        <v>69</v>
      </c>
      <c r="G1033" s="36" t="n">
        <f aca="false">cf_mdr*a_mdr_flow*(1-a_tax)</f>
        <v>69</v>
      </c>
      <c r="H1033" s="36" t="n">
        <f aca="false">cf_mdr*a_mdr_flow*(1-a_tax)</f>
        <v>69</v>
      </c>
      <c r="I1033" s="36" t="n">
        <f aca="false">cf_mdr*a_mdr_flow*(1-a_tax)</f>
        <v>69</v>
      </c>
      <c r="J1033" s="36" t="n">
        <f aca="false">cf_mdr*a_mdr_flow*(1-a_tax)</f>
        <v>69</v>
      </c>
      <c r="K1033" s="36" t="n">
        <f aca="false">cf_mdr*a_mdr_flow*(1-a_tax)</f>
        <v>69</v>
      </c>
      <c r="L1033" s="36" t="n">
        <f aca="false">cf_mdr*a_mdr_flow*(1-a_tax)</f>
        <v>69</v>
      </c>
      <c r="M1033" s="36" t="n">
        <f aca="false">cf_mdr*a_mdr_flow*(1-a_tax)</f>
        <v>69</v>
      </c>
    </row>
    <row r="1034" customFormat="false" ht="15" hidden="false" customHeight="false" outlineLevel="0" collapsed="false">
      <c r="A1034" s="9" t="s">
        <v>494</v>
      </c>
      <c r="C1034" s="50" t="n">
        <f aca="false">cf_eps</f>
        <v>7.5</v>
      </c>
      <c r="D1034" s="50" t="n">
        <f aca="false">D1032/cf_shares</f>
        <v>7.5</v>
      </c>
      <c r="E1034" s="50" t="n">
        <f aca="false">E1032/cf_shares</f>
        <v>7.5</v>
      </c>
      <c r="F1034" s="50" t="n">
        <f aca="false">F1032/cf_shares</f>
        <v>7.5</v>
      </c>
      <c r="G1034" s="50" t="n">
        <f aca="false">G1032/cf_shares</f>
        <v>7.5</v>
      </c>
      <c r="H1034" s="50" t="n">
        <f aca="false">H1032/cf_shares</f>
        <v>7.5</v>
      </c>
      <c r="I1034" s="50" t="n">
        <f aca="false">I1032/cf_shares</f>
        <v>7.5</v>
      </c>
      <c r="J1034" s="50" t="n">
        <f aca="false">J1032/cf_shares</f>
        <v>7.5</v>
      </c>
      <c r="K1034" s="50" t="n">
        <f aca="false">K1032/cf_shares</f>
        <v>7.5</v>
      </c>
      <c r="L1034" s="50" t="n">
        <f aca="false">L1032/cf_shares</f>
        <v>7.5</v>
      </c>
      <c r="M1034" s="50" t="n">
        <f aca="false">M1032/cf_shares</f>
        <v>7.5</v>
      </c>
    </row>
    <row r="1035" customFormat="false" ht="15" hidden="false" customHeight="false" outlineLevel="0" collapsed="false">
      <c r="A1035" s="9" t="s">
        <v>495</v>
      </c>
      <c r="C1035" s="50" t="n">
        <f aca="false">cf_eps</f>
        <v>7.5</v>
      </c>
      <c r="D1035" s="50" t="n">
        <f aca="false">(D1032+D1033)/cf_shares</f>
        <v>8.578125</v>
      </c>
      <c r="E1035" s="50" t="n">
        <f aca="false">(E1032+E1033)/cf_shares</f>
        <v>8.578125</v>
      </c>
      <c r="F1035" s="50" t="n">
        <f aca="false">(F1032+F1033)/cf_shares</f>
        <v>8.578125</v>
      </c>
      <c r="G1035" s="50" t="n">
        <f aca="false">(G1032+G1033)/cf_shares</f>
        <v>8.578125</v>
      </c>
      <c r="H1035" s="50" t="n">
        <f aca="false">(H1032+H1033)/cf_shares</f>
        <v>8.578125</v>
      </c>
      <c r="I1035" s="50" t="n">
        <f aca="false">(I1032+I1033)/cf_shares</f>
        <v>8.578125</v>
      </c>
      <c r="J1035" s="50" t="n">
        <f aca="false">(J1032+J1033)/cf_shares</f>
        <v>8.578125</v>
      </c>
      <c r="K1035" s="50" t="n">
        <f aca="false">(K1032+K1033)/cf_shares</f>
        <v>8.578125</v>
      </c>
      <c r="L1035" s="50" t="n">
        <f aca="false">(L1032+L1033)/cf_shares</f>
        <v>8.578125</v>
      </c>
      <c r="M1035" s="50" t="n">
        <f aca="false">(M1032+M1033)/cf_shares</f>
        <v>8.578125</v>
      </c>
    </row>
    <row r="1036" customFormat="false" ht="15" hidden="false" customHeight="false" outlineLevel="0" collapsed="false">
      <c r="A1036" s="4" t="s">
        <v>496</v>
      </c>
      <c r="C1036" s="41" t="n">
        <f aca="false">-C1023-C1025</f>
        <v>-94.5</v>
      </c>
      <c r="D1036" s="41" t="n">
        <f aca="false">D1015+D1027*(1-a_tax)-C1023-C1025-D1029-D1031</f>
        <v>-148.026</v>
      </c>
      <c r="E1036" s="41" t="n">
        <f aca="false">E1015+E1027*(1-a_tax)-C1023-C1025-E1029-E1031</f>
        <v>-119.1024</v>
      </c>
      <c r="F1036" s="41" t="n">
        <f aca="false">F1015+F1027*(1-a_tax)-C1023-C1025-F1029-F1031</f>
        <v>-143.18208</v>
      </c>
      <c r="G1036" s="41" t="n">
        <f aca="false">G1015+G1027*(1-a_tax)-C1023-C1025-G1029-G1031</f>
        <v>-163.759536</v>
      </c>
      <c r="H1036" s="41" t="n">
        <f aca="false">H1015+H1027*(1-a_tax)-C1023-C1025-H1029-H1031</f>
        <v>-179.8206912</v>
      </c>
      <c r="I1036" s="41" t="n">
        <f aca="false">I1015+I1027*(1-a_tax)-C1023-C1025-I1029-I1031</f>
        <v>-203.63482944</v>
      </c>
      <c r="J1036" s="41" t="n">
        <f aca="false">J1015+J1027*(1-a_tax)-C1023-C1025-J1029-J1031</f>
        <v>-225.461795328</v>
      </c>
      <c r="K1036" s="41" t="n">
        <f aca="false">K1015+K1027*(1-a_tax)-C1023-C1025-K1029-K1031</f>
        <v>-244.9041543936</v>
      </c>
      <c r="L1036" s="41" t="n">
        <f aca="false">L1015+L1027*(1-a_tax)-C1023-C1025-L1029-L1031</f>
        <v>-261.48498527232</v>
      </c>
      <c r="M1036" s="41" t="n">
        <f aca="false">M1015+M1027*(1-a_tax)-C1023-C1025-M1029-M1031</f>
        <v>-274.631982326784</v>
      </c>
    </row>
    <row r="1037" customFormat="false" ht="15" hidden="false" customHeight="false" outlineLevel="0" collapsed="false">
      <c r="A1037" s="9" t="s">
        <v>497</v>
      </c>
      <c r="C1037" s="36" t="n">
        <f aca="false">C1032+C1036</f>
        <v>385.5</v>
      </c>
      <c r="D1037" s="36" t="n">
        <f aca="false">D1032+D1036</f>
        <v>331.974</v>
      </c>
      <c r="E1037" s="36" t="n">
        <f aca="false">E1032+E1036</f>
        <v>360.8976</v>
      </c>
      <c r="F1037" s="36" t="n">
        <f aca="false">F1032+F1036</f>
        <v>336.81792</v>
      </c>
      <c r="G1037" s="36" t="n">
        <f aca="false">G1032+G1036</f>
        <v>316.240464</v>
      </c>
      <c r="H1037" s="36" t="n">
        <f aca="false">H1032+H1036</f>
        <v>300.1793088</v>
      </c>
      <c r="I1037" s="36" t="n">
        <f aca="false">I1032+I1036</f>
        <v>276.36517056</v>
      </c>
      <c r="J1037" s="36" t="n">
        <f aca="false">J1032+J1036</f>
        <v>254.538204672</v>
      </c>
      <c r="K1037" s="36" t="n">
        <f aca="false">K1032+K1036</f>
        <v>235.0958456064</v>
      </c>
      <c r="L1037" s="36" t="n">
        <f aca="false">L1032+L1036</f>
        <v>218.51501472768</v>
      </c>
      <c r="M1037" s="36" t="n">
        <f aca="false">M1032+M1036</f>
        <v>205.368017673216</v>
      </c>
    </row>
    <row r="1038" customFormat="false" ht="15" hidden="false" customHeight="false" outlineLevel="0" collapsed="false">
      <c r="A1038" s="4" t="s">
        <v>498</v>
      </c>
      <c r="C1038" s="48" t="n">
        <f aca="false">C1037/C1022</f>
        <v>5.92858021653543</v>
      </c>
      <c r="D1038" s="48" t="n">
        <f aca="false">D1037/C1022</f>
        <v>5.10540723425197</v>
      </c>
      <c r="E1038" s="48" t="n">
        <f aca="false">E1037/C1022</f>
        <v>5.55022145669291</v>
      </c>
      <c r="F1038" s="48" t="n">
        <f aca="false">F1037/C1022</f>
        <v>5.17990157480315</v>
      </c>
      <c r="G1038" s="48" t="n">
        <f aca="false">G1037/C1022</f>
        <v>4.86344217519685</v>
      </c>
      <c r="H1038" s="48" t="n">
        <f aca="false">H1037/C1022</f>
        <v>4.61643868110236</v>
      </c>
      <c r="I1038" s="48" t="n">
        <f aca="false">I1037/C1022</f>
        <v>4.2502025492126</v>
      </c>
      <c r="J1038" s="48" t="n">
        <f aca="false">J1037/C1022</f>
        <v>3.91452701574803</v>
      </c>
      <c r="K1038" s="48" t="n">
        <f aca="false">K1037/C1022</f>
        <v>3.6155242003937</v>
      </c>
      <c r="L1038" s="48" t="n">
        <f aca="false">L1037/C1022</f>
        <v>3.36052864677165</v>
      </c>
      <c r="M1038" s="48" t="n">
        <f aca="false">M1037/C1022</f>
        <v>3.15834180722835</v>
      </c>
    </row>
    <row r="1039" customFormat="false" ht="15" hidden="false" customHeight="false" outlineLevel="0" collapsed="false">
      <c r="A1039" s="4" t="s">
        <v>499</v>
      </c>
      <c r="C1039" s="14" t="n">
        <f aca="false">C1038/cf_eps-1</f>
        <v>-0.209522637795276</v>
      </c>
      <c r="D1039" s="14" t="n">
        <f aca="false">D1038/cf_eps-1</f>
        <v>-0.319279035433071</v>
      </c>
      <c r="E1039" s="14" t="n">
        <f aca="false">E1038/cf_eps-1</f>
        <v>-0.259970472440945</v>
      </c>
      <c r="F1039" s="14" t="n">
        <f aca="false">F1038/cf_eps-1</f>
        <v>-0.309346456692913</v>
      </c>
      <c r="G1039" s="14" t="n">
        <f aca="false">G1038/cf_eps-1</f>
        <v>-0.351541043307087</v>
      </c>
      <c r="H1039" s="14" t="n">
        <f aca="false">H1038/cf_eps-1</f>
        <v>-0.384474842519685</v>
      </c>
      <c r="I1039" s="14" t="n">
        <f aca="false">I1038/cf_eps-1</f>
        <v>-0.433306326771654</v>
      </c>
      <c r="J1039" s="14" t="n">
        <f aca="false">J1038/cf_eps-1</f>
        <v>-0.478063064566929</v>
      </c>
      <c r="K1039" s="14" t="n">
        <f aca="false">K1038/cf_eps-1</f>
        <v>-0.517930106614173</v>
      </c>
      <c r="L1039" s="14" t="n">
        <f aca="false">L1038/cf_eps-1</f>
        <v>-0.55192951376378</v>
      </c>
      <c r="M1039" s="14" t="n">
        <f aca="false">M1038/cf_eps-1</f>
        <v>-0.578887759036221</v>
      </c>
    </row>
    <row r="1040" customFormat="false" ht="15" hidden="false" customHeight="false" outlineLevel="0" collapsed="false">
      <c r="A1040" s="9" t="s">
        <v>500</v>
      </c>
      <c r="C1040" s="50" t="n">
        <f aca="false">C1038</f>
        <v>5.92858021653543</v>
      </c>
      <c r="D1040" s="50" t="n">
        <f aca="false">(D1037+D1033)/C1022</f>
        <v>6.16655388779528</v>
      </c>
      <c r="E1040" s="50" t="n">
        <f aca="false">(E1037+E1033)/C1022</f>
        <v>6.61136811023622</v>
      </c>
      <c r="F1040" s="50" t="n">
        <f aca="false">(F1037+F1033)/C1022</f>
        <v>6.24104822834646</v>
      </c>
      <c r="G1040" s="50" t="n">
        <f aca="false">(G1037+G1033)/C1022</f>
        <v>5.92458882874016</v>
      </c>
      <c r="H1040" s="50" t="n">
        <f aca="false">(H1037+H1033)/C1022</f>
        <v>5.67758533464567</v>
      </c>
      <c r="I1040" s="50" t="n">
        <f aca="false">(I1037+I1033)/C1022</f>
        <v>5.31134920275591</v>
      </c>
      <c r="J1040" s="50" t="n">
        <f aca="false">(J1037+J1033)/C1022</f>
        <v>4.97567366929134</v>
      </c>
      <c r="K1040" s="50" t="n">
        <f aca="false">(K1037+K1033)/C1022</f>
        <v>4.67667085393701</v>
      </c>
      <c r="L1040" s="50" t="n">
        <f aca="false">(L1037+L1033)/C1022</f>
        <v>4.42167530031496</v>
      </c>
      <c r="M1040" s="50" t="n">
        <f aca="false">(M1037+M1033)/C1022</f>
        <v>4.21948846077165</v>
      </c>
    </row>
    <row r="1041" customFormat="false" ht="15" hidden="false" customHeight="false" outlineLevel="0" collapsed="false">
      <c r="A1041" s="9" t="s">
        <v>501</v>
      </c>
      <c r="C1041" s="18" t="n">
        <f aca="false">C1039</f>
        <v>-0.209522637795276</v>
      </c>
      <c r="D1041" s="18" t="n">
        <f aca="false">D1040/D1035-1</f>
        <v>-0.281130330020223</v>
      </c>
      <c r="E1041" s="18" t="n">
        <f aca="false">E1040/E1035-1</f>
        <v>-0.229275848715632</v>
      </c>
      <c r="F1041" s="18" t="n">
        <f aca="false">F1040/F1035-1</f>
        <v>-0.272446108170905</v>
      </c>
      <c r="G1041" s="18" t="n">
        <f aca="false">G1040/G1035-1</f>
        <v>-0.309337550019362</v>
      </c>
      <c r="H1041" s="18" t="n">
        <f aca="false">H1040/H1035-1</f>
        <v>-0.338132128565897</v>
      </c>
      <c r="I1041" s="18" t="n">
        <f aca="false">I1040/I1035-1</f>
        <v>-0.380826322447399</v>
      </c>
      <c r="J1041" s="18" t="n">
        <f aca="false">J1040/J1035-1</f>
        <v>-0.419957896476055</v>
      </c>
      <c r="K1041" s="18" t="n">
        <f aca="false">K1040/K1035-1</f>
        <v>-0.454814326681296</v>
      </c>
      <c r="L1041" s="18" t="n">
        <f aca="false">L1040/L1035-1</f>
        <v>-0.484540584298438</v>
      </c>
      <c r="M1041" s="18" t="n">
        <f aca="false">M1040/M1035-1</f>
        <v>-0.508110634809862</v>
      </c>
    </row>
    <row r="1042" customFormat="false" ht="15" hidden="false" customHeight="false" outlineLevel="0" collapsed="false">
      <c r="A1042" s="9" t="s">
        <v>502</v>
      </c>
      <c r="C1042" s="50" t="n">
        <f aca="false">(C1037+C1025)/C1022</f>
        <v>5.92858021653543</v>
      </c>
      <c r="D1042" s="50" t="n">
        <f aca="false">(D1037+C1025)/C1022</f>
        <v>5.10540723425197</v>
      </c>
      <c r="E1042" s="50" t="n">
        <f aca="false">(E1037+C1025)/C1022</f>
        <v>5.55022145669291</v>
      </c>
      <c r="F1042" s="50" t="n">
        <f aca="false">(F1037+C1025)/C1022</f>
        <v>5.17990157480315</v>
      </c>
      <c r="G1042" s="50" t="n">
        <f aca="false">(G1037+C1025)/C1022</f>
        <v>4.86344217519685</v>
      </c>
      <c r="H1042" s="50" t="n">
        <f aca="false">(H1037+C1025)/C1022</f>
        <v>4.61643868110236</v>
      </c>
      <c r="I1042" s="50" t="n">
        <f aca="false">(I1037+C1025)/C1022</f>
        <v>4.2502025492126</v>
      </c>
      <c r="J1042" s="50" t="n">
        <f aca="false">(J1037+C1025)/C1022</f>
        <v>3.91452701574803</v>
      </c>
      <c r="K1042" s="50" t="n">
        <f aca="false">(K1037+C1025)/C1022</f>
        <v>3.6155242003937</v>
      </c>
      <c r="L1042" s="50" t="n">
        <f aca="false">(L1037+C1025)/C1022</f>
        <v>3.36052864677165</v>
      </c>
      <c r="M1042" s="50" t="n">
        <f aca="false">(M1037+C1025)/C1022</f>
        <v>3.15834180722835</v>
      </c>
    </row>
    <row r="1043" customFormat="false" ht="15" hidden="false" customHeight="false" outlineLevel="0" collapsed="false">
      <c r="A1043" s="9" t="s">
        <v>503</v>
      </c>
      <c r="C1043" s="50" t="n">
        <f aca="false">(C1037-C1024+C1025)/C1022</f>
        <v>4.48680487204724</v>
      </c>
      <c r="D1043" s="50" t="n">
        <f aca="false">(D1037-C1024+C1025)/C1022</f>
        <v>3.66363188976378</v>
      </c>
      <c r="E1043" s="50" t="n">
        <f aca="false">(E1037-C1024+C1025)/C1022</f>
        <v>4.10844611220472</v>
      </c>
      <c r="F1043" s="50" t="n">
        <f aca="false">(F1037-C1024+C1025)/C1022</f>
        <v>3.73812623031496</v>
      </c>
      <c r="G1043" s="50" t="n">
        <f aca="false">(G1037-C1024+C1025)/C1022</f>
        <v>3.42166683070866</v>
      </c>
      <c r="H1043" s="50" t="n">
        <f aca="false">(H1037-C1024+C1025)/C1022</f>
        <v>3.17466333661417</v>
      </c>
      <c r="I1043" s="50" t="n">
        <f aca="false">(I1037-C1024+C1025)/C1022</f>
        <v>2.80842720472441</v>
      </c>
      <c r="J1043" s="50" t="n">
        <f aca="false">(J1037-C1024+C1025)/C1022</f>
        <v>2.47275167125984</v>
      </c>
      <c r="K1043" s="50" t="n">
        <f aca="false">(K1037-C1024+C1025)/C1022</f>
        <v>2.17374885590551</v>
      </c>
      <c r="L1043" s="50" t="n">
        <f aca="false">(L1037-C1024+C1025)/C1022</f>
        <v>1.91875330228346</v>
      </c>
      <c r="M1043" s="50" t="n">
        <f aca="false">(M1037-C1024+C1025)/C1022</f>
        <v>1.71656646274016</v>
      </c>
    </row>
    <row r="1044" customFormat="false" ht="15" hidden="false" customHeight="false" outlineLevel="0" collapsed="false">
      <c r="A1044" s="9" t="s">
        <v>504</v>
      </c>
      <c r="C1044" s="50" t="n">
        <f aca="false">C1032/C1022</f>
        <v>7.38188976377953</v>
      </c>
      <c r="D1044" s="50" t="n">
        <f aca="false">D1032/C1022</f>
        <v>7.38188976377953</v>
      </c>
      <c r="E1044" s="50" t="n">
        <f aca="false">E1032/C1022</f>
        <v>7.38188976377953</v>
      </c>
      <c r="F1044" s="50" t="n">
        <f aca="false">F1032/C1022</f>
        <v>7.38188976377953</v>
      </c>
      <c r="G1044" s="50" t="n">
        <f aca="false">G1032/C1022</f>
        <v>7.38188976377953</v>
      </c>
      <c r="H1044" s="50" t="n">
        <f aca="false">H1032/C1022</f>
        <v>7.38188976377953</v>
      </c>
      <c r="I1044" s="50" t="n">
        <f aca="false">I1032/C1022</f>
        <v>7.38188976377953</v>
      </c>
      <c r="J1044" s="50" t="n">
        <f aca="false">J1032/C1022</f>
        <v>7.38188976377953</v>
      </c>
      <c r="K1044" s="50" t="n">
        <f aca="false">K1032/C1022</f>
        <v>7.38188976377953</v>
      </c>
      <c r="L1044" s="50" t="n">
        <f aca="false">L1032/C1022</f>
        <v>7.38188976377953</v>
      </c>
      <c r="M1044" s="50" t="n">
        <f aca="false">M1032/C1022</f>
        <v>7.38188976377953</v>
      </c>
    </row>
    <row r="1045" customFormat="false" ht="15" hidden="false" customHeight="false" outlineLevel="0" collapsed="false">
      <c r="A1045" s="9" t="s">
        <v>505</v>
      </c>
      <c r="D1045" s="36" t="n">
        <f aca="false">D1018+D1027*(1-a_tax)-D1028-IF(D1005=1,C1026,0)</f>
        <v>-959.786</v>
      </c>
      <c r="E1045" s="36" t="n">
        <f aca="false">E1018+E1027*(1-a_tax)-E1028-IF(E1005=1,C1026,0)</f>
        <v>-742.3044</v>
      </c>
      <c r="F1045" s="36" t="n">
        <f aca="false">F1018+F1027*(1-a_tax)-F1028-IF(F1005=1,C1026,0)</f>
        <v>-732.92448</v>
      </c>
      <c r="G1045" s="36" t="n">
        <f aca="false">G1018+G1027*(1-a_tax)-G1028-IF(G1005=1,C1026,0)</f>
        <v>-720.100416</v>
      </c>
      <c r="H1045" s="36" t="n">
        <f aca="false">H1018+H1027*(1-a_tax)-H1028-IF(H1005=1,C1026,0)</f>
        <v>-702.8297472</v>
      </c>
      <c r="I1045" s="36" t="n">
        <f aca="false">I1018+I1027*(1-a_tax)-I1028-IF(I1005=1,C1026,0)</f>
        <v>-693.39569664</v>
      </c>
      <c r="J1045" s="36" t="n">
        <f aca="false">J1018+J1027*(1-a_tax)-J1028-IF(J1005=1,C1026,0)</f>
        <v>-682.074835968</v>
      </c>
      <c r="K1045" s="36" t="n">
        <f aca="false">K1018+K1027*(1-a_tax)-K1028-IF(K1005=1,C1026,0)</f>
        <v>-668.4898031616</v>
      </c>
      <c r="L1045" s="36" t="n">
        <f aca="false">L1018+L1027*(1-a_tax)-L1028-IF(L1005=1,C1026,0)</f>
        <v>-652.18776379392</v>
      </c>
      <c r="M1045" s="36" t="n">
        <f aca="false">M1018+M1027*(1-a_tax)-M1028-IF(M1005=1,C1026,0)</f>
        <v>-632.625316552704</v>
      </c>
    </row>
    <row r="1046" customFormat="false" ht="15" hidden="false" customHeight="false" outlineLevel="0" collapsed="false">
      <c r="A1046" s="4" t="s">
        <v>506</v>
      </c>
      <c r="D1046" s="41" t="n">
        <f aca="false">D1045-C1023</f>
        <v>-1054.286</v>
      </c>
      <c r="E1046" s="41" t="n">
        <f aca="false">E1045-C1023</f>
        <v>-836.8044</v>
      </c>
      <c r="F1046" s="41" t="n">
        <f aca="false">F1045-C1023</f>
        <v>-827.42448</v>
      </c>
      <c r="G1046" s="41" t="n">
        <f aca="false">G1045-C1023</f>
        <v>-814.600416</v>
      </c>
      <c r="H1046" s="41" t="n">
        <f aca="false">H1045-C1023</f>
        <v>-797.3297472</v>
      </c>
      <c r="I1046" s="41" t="n">
        <f aca="false">I1045-C1023</f>
        <v>-787.89569664</v>
      </c>
      <c r="J1046" s="41" t="n">
        <f aca="false">J1045-C1023</f>
        <v>-776.574835968</v>
      </c>
      <c r="K1046" s="41" t="n">
        <f aca="false">K1045-C1023</f>
        <v>-762.9898031616</v>
      </c>
      <c r="L1046" s="41" t="n">
        <f aca="false">L1045-C1023</f>
        <v>-746.68776379392</v>
      </c>
      <c r="M1046" s="41" t="n">
        <f aca="false">M1045-C1023</f>
        <v>-727.125316552704</v>
      </c>
    </row>
    <row r="1047" customFormat="false" ht="15" hidden="false" customHeight="false" outlineLevel="0" collapsed="false">
      <c r="A1047" s="9" t="s">
        <v>507</v>
      </c>
      <c r="C1047" s="36" t="n">
        <f aca="false">0</f>
        <v>0</v>
      </c>
      <c r="D1047" s="36" t="n">
        <f aca="false">D1033</f>
        <v>69</v>
      </c>
      <c r="E1047" s="36" t="n">
        <f aca="false">E1033</f>
        <v>69</v>
      </c>
      <c r="F1047" s="36" t="n">
        <f aca="false">F1033</f>
        <v>69</v>
      </c>
      <c r="G1047" s="36" t="n">
        <f aca="false">G1033</f>
        <v>69</v>
      </c>
      <c r="H1047" s="36" t="n">
        <f aca="false">H1033</f>
        <v>69</v>
      </c>
      <c r="I1047" s="36" t="n">
        <f aca="false">I1033</f>
        <v>69</v>
      </c>
      <c r="J1047" s="36" t="n">
        <f aca="false">J1033</f>
        <v>69</v>
      </c>
      <c r="K1047" s="36" t="n">
        <f aca="false">K1033</f>
        <v>69</v>
      </c>
      <c r="L1047" s="36" t="n">
        <f aca="false">L1033</f>
        <v>69</v>
      </c>
      <c r="M1047" s="36" t="n">
        <f aca="false">M1033</f>
        <v>69</v>
      </c>
    </row>
    <row r="1048" customFormat="false" ht="15" hidden="false" customHeight="false" outlineLevel="0" collapsed="false">
      <c r="A1048" s="9" t="s">
        <v>508</v>
      </c>
      <c r="D1048" s="36" t="n">
        <f aca="false">D1046+D1047</f>
        <v>-985.286</v>
      </c>
      <c r="E1048" s="36" t="n">
        <f aca="false">E1046+E1047</f>
        <v>-767.8044</v>
      </c>
      <c r="F1048" s="36" t="n">
        <f aca="false">F1046+F1047</f>
        <v>-758.42448</v>
      </c>
      <c r="G1048" s="36" t="n">
        <f aca="false">G1046+G1047</f>
        <v>-745.600416</v>
      </c>
      <c r="H1048" s="36" t="n">
        <f aca="false">H1046+H1047</f>
        <v>-728.3297472</v>
      </c>
      <c r="I1048" s="36" t="n">
        <f aca="false">I1046+I1047</f>
        <v>-718.89569664</v>
      </c>
      <c r="J1048" s="36" t="n">
        <f aca="false">J1046+J1047</f>
        <v>-707.574835968</v>
      </c>
      <c r="K1048" s="36" t="n">
        <f aca="false">K1046+K1047</f>
        <v>-693.9898031616</v>
      </c>
      <c r="L1048" s="36" t="n">
        <f aca="false">L1046+L1047</f>
        <v>-677.68776379392</v>
      </c>
      <c r="M1048" s="36" t="n">
        <f aca="false">M1046+M1047</f>
        <v>-658.125316552704</v>
      </c>
    </row>
    <row r="1049" customFormat="false" ht="15" hidden="false" customHeight="false" outlineLevel="0" collapsed="false">
      <c r="A1049" s="9" t="s">
        <v>509</v>
      </c>
      <c r="D1049" s="36" t="n">
        <f aca="false">IF(lv_mdr_in_deal=1,D1048,D1046)</f>
        <v>-1054.286</v>
      </c>
      <c r="E1049" s="36" t="n">
        <f aca="false">IF(lv_mdr_in_deal=1,E1048,E1046)</f>
        <v>-836.8044</v>
      </c>
      <c r="F1049" s="36" t="n">
        <f aca="false">IF(lv_mdr_in_deal=1,F1048,F1046)</f>
        <v>-827.42448</v>
      </c>
      <c r="G1049" s="36" t="n">
        <f aca="false">IF(lv_mdr_in_deal=1,G1048,G1046)</f>
        <v>-814.600416</v>
      </c>
      <c r="H1049" s="36" t="n">
        <f aca="false">IF(lv_mdr_in_deal=1,H1048,H1046)</f>
        <v>-797.3297472</v>
      </c>
      <c r="I1049" s="36" t="n">
        <f aca="false">IF(lv_mdr_in_deal=1,I1048,I1046)</f>
        <v>-787.89569664</v>
      </c>
      <c r="J1049" s="36" t="n">
        <f aca="false">IF(lv_mdr_in_deal=1,J1048,J1046)</f>
        <v>-776.574835968</v>
      </c>
      <c r="K1049" s="36" t="n">
        <f aca="false">IF(lv_mdr_in_deal=1,K1048,K1046)</f>
        <v>-762.9898031616</v>
      </c>
      <c r="L1049" s="36" t="n">
        <f aca="false">IF(lv_mdr_in_deal=1,L1048,L1046)</f>
        <v>-746.68776379392</v>
      </c>
      <c r="M1049" s="36" t="n">
        <f aca="false">IF(lv_mdr_in_deal=1,M1048,M1046)</f>
        <v>-727.125316552704</v>
      </c>
    </row>
    <row r="1050" customFormat="false" ht="15" hidden="false" customHeight="false" outlineLevel="0" collapsed="false">
      <c r="A1050" s="9" t="s">
        <v>510</v>
      </c>
      <c r="C1050" s="36" t="n">
        <f aca="false">-lv_price</f>
        <v>-4000</v>
      </c>
      <c r="D1050" s="36" t="n">
        <f aca="false">C1050+D1049</f>
        <v>-5054.286</v>
      </c>
      <c r="E1050" s="36" t="n">
        <f aca="false">D1050+E1049</f>
        <v>-5891.0904</v>
      </c>
      <c r="F1050" s="36" t="n">
        <f aca="false">E1050+F1049</f>
        <v>-6718.51488</v>
      </c>
      <c r="G1050" s="36" t="n">
        <f aca="false">F1050+G1049</f>
        <v>-7533.115296</v>
      </c>
      <c r="H1050" s="36" t="n">
        <f aca="false">G1050+H1049</f>
        <v>-8330.4450432</v>
      </c>
      <c r="I1050" s="36" t="n">
        <f aca="false">H1050+I1049</f>
        <v>-9118.34073984</v>
      </c>
      <c r="J1050" s="36" t="n">
        <f aca="false">I1050+J1049</f>
        <v>-9894.915575808</v>
      </c>
      <c r="K1050" s="36" t="n">
        <f aca="false">J1050+K1049</f>
        <v>-10657.9053789696</v>
      </c>
      <c r="L1050" s="36" t="n">
        <f aca="false">K1050+L1049</f>
        <v>-11404.5931427635</v>
      </c>
      <c r="M1050" s="36" t="n">
        <f aca="false">L1050+M1049</f>
        <v>-12131.7184593162</v>
      </c>
    </row>
    <row r="1051" customFormat="false" ht="15" hidden="false" customHeight="false" outlineLevel="0" collapsed="false">
      <c r="A1051" s="9" t="s">
        <v>511</v>
      </c>
      <c r="C1051" s="43" t="n">
        <f aca="false">1</f>
        <v>1</v>
      </c>
      <c r="D1051" s="43" t="n">
        <f aca="false">1/(1+lv_wacc)^D1005</f>
        <v>0.884955752212389</v>
      </c>
      <c r="E1051" s="43" t="n">
        <f aca="false">1/(1+lv_wacc)^E1005</f>
        <v>0.783146683373796</v>
      </c>
      <c r="F1051" s="43" t="n">
        <f aca="false">1/(1+lv_wacc)^F1005</f>
        <v>0.693050162277696</v>
      </c>
      <c r="G1051" s="43" t="n">
        <f aca="false">1/(1+lv_wacc)^G1005</f>
        <v>0.613318727679377</v>
      </c>
      <c r="H1051" s="43" t="n">
        <f aca="false">1/(1+lv_wacc)^H1005</f>
        <v>0.542759935999449</v>
      </c>
      <c r="I1051" s="43" t="n">
        <f aca="false">1/(1+lv_wacc)^I1005</f>
        <v>0.48031852743314</v>
      </c>
      <c r="J1051" s="43" t="n">
        <f aca="false">1/(1+lv_wacc)^J1005</f>
        <v>0.425060643746142</v>
      </c>
      <c r="K1051" s="43" t="n">
        <f aca="false">1/(1+lv_wacc)^K1005</f>
        <v>0.37615986172225</v>
      </c>
      <c r="L1051" s="43" t="n">
        <f aca="false">1/(1+lv_wacc)^L1005</f>
        <v>0.332884833382522</v>
      </c>
      <c r="M1051" s="43" t="n">
        <f aca="false">1/(1+lv_wacc)^M1005</f>
        <v>0.294588348126126</v>
      </c>
    </row>
    <row r="1052" customFormat="false" ht="15" hidden="false" customHeight="false" outlineLevel="0" collapsed="false">
      <c r="A1052" s="9" t="s">
        <v>512</v>
      </c>
      <c r="C1052" s="46" t="n">
        <f aca="false">99</f>
        <v>99</v>
      </c>
      <c r="D1052" s="46" t="n">
        <f aca="false">IF(D1036&gt;=0,D1005,99)</f>
        <v>99</v>
      </c>
      <c r="E1052" s="46" t="n">
        <f aca="false">IF(E1036&gt;=0,E1005,99)</f>
        <v>99</v>
      </c>
      <c r="F1052" s="46" t="n">
        <f aca="false">IF(F1036&gt;=0,F1005,99)</f>
        <v>99</v>
      </c>
      <c r="G1052" s="46" t="n">
        <f aca="false">IF(G1036&gt;=0,G1005,99)</f>
        <v>99</v>
      </c>
      <c r="H1052" s="46" t="n">
        <f aca="false">IF(H1036&gt;=0,H1005,99)</f>
        <v>99</v>
      </c>
      <c r="I1052" s="46" t="n">
        <f aca="false">IF(I1036&gt;=0,I1005,99)</f>
        <v>99</v>
      </c>
      <c r="J1052" s="46" t="n">
        <f aca="false">IF(J1036&gt;=0,J1005,99)</f>
        <v>99</v>
      </c>
      <c r="K1052" s="46" t="n">
        <f aca="false">IF(K1036&gt;=0,K1005,99)</f>
        <v>99</v>
      </c>
      <c r="L1052" s="46" t="n">
        <f aca="false">IF(L1036&gt;=0,L1005,99)</f>
        <v>99</v>
      </c>
      <c r="M1052" s="46" t="n">
        <f aca="false">IF(M1036&gt;=0,M1005,99)</f>
        <v>99</v>
      </c>
    </row>
    <row r="1053" customFormat="false" ht="15" hidden="false" customHeight="false" outlineLevel="0" collapsed="false">
      <c r="A1053" s="9" t="s">
        <v>513</v>
      </c>
      <c r="C1053" s="46" t="n">
        <f aca="false">99</f>
        <v>99</v>
      </c>
      <c r="D1053" s="46" t="n">
        <f aca="false">IF(D1036+D1033&gt;=0,D1005,99)</f>
        <v>99</v>
      </c>
      <c r="E1053" s="46" t="n">
        <f aca="false">IF(E1036+E1033&gt;=0,E1005,99)</f>
        <v>99</v>
      </c>
      <c r="F1053" s="46" t="n">
        <f aca="false">IF(F1036+F1033&gt;=0,F1005,99)</f>
        <v>99</v>
      </c>
      <c r="G1053" s="46" t="n">
        <f aca="false">IF(G1036+G1033&gt;=0,G1005,99)</f>
        <v>99</v>
      </c>
      <c r="H1053" s="46" t="n">
        <f aca="false">IF(H1036+H1033&gt;=0,H1005,99)</f>
        <v>99</v>
      </c>
      <c r="I1053" s="46" t="n">
        <f aca="false">IF(I1036+I1033&gt;=0,I1005,99)</f>
        <v>99</v>
      </c>
      <c r="J1053" s="46" t="n">
        <f aca="false">IF(J1036+J1033&gt;=0,J1005,99)</f>
        <v>99</v>
      </c>
      <c r="K1053" s="46" t="n">
        <f aca="false">IF(K1036+K1033&gt;=0,K1005,99)</f>
        <v>99</v>
      </c>
      <c r="L1053" s="46" t="n">
        <f aca="false">IF(L1036+L1033&gt;=0,L1005,99)</f>
        <v>99</v>
      </c>
      <c r="M1053" s="46" t="n">
        <f aca="false">IF(M1036+M1033&gt;=0,M1005,99)</f>
        <v>99</v>
      </c>
    </row>
    <row r="1054" customFormat="false" ht="15" hidden="false" customHeight="false" outlineLevel="0" collapsed="false">
      <c r="A1054" s="9" t="s">
        <v>514</v>
      </c>
      <c r="C1054" s="46" t="n">
        <f aca="false">99</f>
        <v>99</v>
      </c>
      <c r="D1054" s="46" t="n">
        <f aca="false">IF(D1046&gt;=0,D1005,99)</f>
        <v>99</v>
      </c>
      <c r="E1054" s="46" t="n">
        <f aca="false">IF(E1046&gt;=0,E1005,99)</f>
        <v>99</v>
      </c>
      <c r="F1054" s="46" t="n">
        <f aca="false">IF(F1046&gt;=0,F1005,99)</f>
        <v>99</v>
      </c>
      <c r="G1054" s="46" t="n">
        <f aca="false">IF(G1046&gt;=0,G1005,99)</f>
        <v>99</v>
      </c>
      <c r="H1054" s="46" t="n">
        <f aca="false">IF(H1046&gt;=0,H1005,99)</f>
        <v>99</v>
      </c>
      <c r="I1054" s="46" t="n">
        <f aca="false">IF(I1046&gt;=0,I1005,99)</f>
        <v>99</v>
      </c>
      <c r="J1054" s="46" t="n">
        <f aca="false">IF(J1046&gt;=0,J1005,99)</f>
        <v>99</v>
      </c>
      <c r="K1054" s="46" t="n">
        <f aca="false">IF(K1046&gt;=0,K1005,99)</f>
        <v>99</v>
      </c>
      <c r="L1054" s="46" t="n">
        <f aca="false">IF(L1046&gt;=0,L1005,99)</f>
        <v>99</v>
      </c>
      <c r="M1054" s="46" t="n">
        <f aca="false">IF(M1046&gt;=0,M1005,99)</f>
        <v>99</v>
      </c>
    </row>
    <row r="1055" customFormat="false" ht="15" hidden="false" customHeight="false" outlineLevel="0" collapsed="false">
      <c r="A1055" s="9" t="s">
        <v>515</v>
      </c>
      <c r="C1055" s="46" t="n">
        <f aca="false">99</f>
        <v>99</v>
      </c>
      <c r="D1055" s="46" t="n">
        <f aca="false">IF(D1048&gt;=0,D1005,99)</f>
        <v>99</v>
      </c>
      <c r="E1055" s="46" t="n">
        <f aca="false">IF(E1048&gt;=0,E1005,99)</f>
        <v>99</v>
      </c>
      <c r="F1055" s="46" t="n">
        <f aca="false">IF(F1048&gt;=0,F1005,99)</f>
        <v>99</v>
      </c>
      <c r="G1055" s="46" t="n">
        <f aca="false">IF(G1048&gt;=0,G1005,99)</f>
        <v>99</v>
      </c>
      <c r="H1055" s="46" t="n">
        <f aca="false">IF(H1048&gt;=0,H1005,99)</f>
        <v>99</v>
      </c>
      <c r="I1055" s="46" t="n">
        <f aca="false">IF(I1048&gt;=0,I1005,99)</f>
        <v>99</v>
      </c>
      <c r="J1055" s="46" t="n">
        <f aca="false">IF(J1048&gt;=0,J1005,99)</f>
        <v>99</v>
      </c>
      <c r="K1055" s="46" t="n">
        <f aca="false">IF(K1048&gt;=0,K1005,99)</f>
        <v>99</v>
      </c>
      <c r="L1055" s="46" t="n">
        <f aca="false">IF(L1048&gt;=0,L1005,99)</f>
        <v>99</v>
      </c>
      <c r="M1055" s="46" t="n">
        <f aca="false">IF(M1048&gt;=0,M1005,99)</f>
        <v>99</v>
      </c>
    </row>
    <row r="1056" customFormat="false" ht="15" hidden="false" customHeight="false" outlineLevel="0" collapsed="false">
      <c r="A1056" s="9" t="s">
        <v>516</v>
      </c>
      <c r="C1056" s="46" t="n">
        <f aca="false">99</f>
        <v>99</v>
      </c>
      <c r="D1056" s="46" t="n">
        <f aca="false">IF(D1050&gt;=0,D1005,99)</f>
        <v>99</v>
      </c>
      <c r="E1056" s="46" t="n">
        <f aca="false">IF(E1050&gt;=0,E1005,99)</f>
        <v>99</v>
      </c>
      <c r="F1056" s="46" t="n">
        <f aca="false">IF(F1050&gt;=0,F1005,99)</f>
        <v>99</v>
      </c>
      <c r="G1056" s="46" t="n">
        <f aca="false">IF(G1050&gt;=0,G1005,99)</f>
        <v>99</v>
      </c>
      <c r="H1056" s="46" t="n">
        <f aca="false">IF(H1050&gt;=0,H1005,99)</f>
        <v>99</v>
      </c>
      <c r="I1056" s="46" t="n">
        <f aca="false">IF(I1050&gt;=0,I1005,99)</f>
        <v>99</v>
      </c>
      <c r="J1056" s="46" t="n">
        <f aca="false">IF(J1050&gt;=0,J1005,99)</f>
        <v>99</v>
      </c>
      <c r="K1056" s="46" t="n">
        <f aca="false">IF(K1050&gt;=0,K1005,99)</f>
        <v>99</v>
      </c>
      <c r="L1056" s="46" t="n">
        <f aca="false">IF(L1050&gt;=0,L1005,99)</f>
        <v>99</v>
      </c>
      <c r="M1056" s="46" t="n">
        <f aca="false">IF(M1050&gt;=0,M1005,99)</f>
        <v>99</v>
      </c>
    </row>
    <row r="1057" customFormat="false" ht="15" hidden="false" customHeight="false" outlineLevel="0" collapsed="false">
      <c r="A1057" s="4" t="s">
        <v>517</v>
      </c>
      <c r="C1057" s="23" t="n">
        <f aca="false">MIN(D1052:M1052)</f>
        <v>99</v>
      </c>
    </row>
    <row r="1058" customFormat="false" ht="15" hidden="false" customHeight="false" outlineLevel="0" collapsed="false">
      <c r="A1058" s="9" t="s">
        <v>518</v>
      </c>
      <c r="C1058" s="46" t="n">
        <f aca="false">MIN(D1053:M1053)</f>
        <v>99</v>
      </c>
    </row>
    <row r="1059" customFormat="false" ht="15" hidden="false" customHeight="false" outlineLevel="0" collapsed="false">
      <c r="A1059" s="4" t="s">
        <v>519</v>
      </c>
      <c r="C1059" s="23" t="n">
        <f aca="false">MIN(D1054:M1054)</f>
        <v>99</v>
      </c>
    </row>
    <row r="1060" customFormat="false" ht="15" hidden="false" customHeight="false" outlineLevel="0" collapsed="false">
      <c r="A1060" s="9" t="s">
        <v>520</v>
      </c>
      <c r="C1060" s="46" t="n">
        <f aca="false">MIN(D1055:M1055)</f>
        <v>99</v>
      </c>
    </row>
    <row r="1061" customFormat="false" ht="15" hidden="false" customHeight="false" outlineLevel="0" collapsed="false">
      <c r="A1061" s="9" t="s">
        <v>521</v>
      </c>
      <c r="C1061" s="46" t="n">
        <f aca="false">MIN(D1056:M1056)</f>
        <v>99</v>
      </c>
    </row>
    <row r="1062" customFormat="false" ht="15" hidden="false" customHeight="false" outlineLevel="0" collapsed="false">
      <c r="A1062" s="4" t="s">
        <v>522</v>
      </c>
      <c r="C1062" s="15" t="n">
        <f aca="false">M1050</f>
        <v>-12131.7184593162</v>
      </c>
    </row>
    <row r="1063" customFormat="false" ht="15" hidden="false" customHeight="false" outlineLevel="0" collapsed="false">
      <c r="A1063" s="9" t="s">
        <v>523</v>
      </c>
      <c r="C1063" s="36" t="n">
        <f aca="false">SUMPRODUCT(D1018:M1018,D1051:M1051)</f>
        <v>171.601364670473</v>
      </c>
    </row>
    <row r="1064" customFormat="false" ht="15" hidden="false" customHeight="false" outlineLevel="0" collapsed="false">
      <c r="A1064" s="9" t="s">
        <v>524</v>
      </c>
      <c r="C1064" s="36" t="n">
        <f aca="false">M1018*(1+a_tg)/(lv_wacc-a_tg)</f>
        <v>1540.54272024576</v>
      </c>
    </row>
    <row r="1065" customFormat="false" ht="15" hidden="false" customHeight="false" outlineLevel="0" collapsed="false">
      <c r="A1065" s="9" t="s">
        <v>314</v>
      </c>
      <c r="C1065" s="36" t="n">
        <f aca="false">C1064*M1051</f>
        <v>453.825935174926</v>
      </c>
    </row>
    <row r="1066" customFormat="false" ht="15" hidden="false" customHeight="false" outlineLevel="0" collapsed="false">
      <c r="A1066" s="4" t="s">
        <v>525</v>
      </c>
      <c r="C1066" s="15" t="n">
        <f aca="false">C1063+C1065</f>
        <v>625.427299845399</v>
      </c>
    </row>
    <row r="1067" customFormat="false" ht="15" hidden="false" customHeight="false" outlineLevel="0" collapsed="false">
      <c r="A1067" s="9" t="s">
        <v>526</v>
      </c>
      <c r="C1067" s="32" t="n">
        <f aca="false">SUMPRODUCT(D1028:M1028,D1051:M1051)-a_recovery*M1030*M1051</f>
        <v>4069.68260696466</v>
      </c>
    </row>
    <row r="1068" customFormat="false" ht="15" hidden="false" customHeight="false" outlineLevel="0" collapsed="false">
      <c r="A1068" s="9" t="s">
        <v>527</v>
      </c>
      <c r="C1068" s="36" t="n">
        <f aca="false">SUMPRODUCT(D1027:M1027,D1051:M1051)*(1-a_tax)</f>
        <v>0</v>
      </c>
    </row>
    <row r="1069" customFormat="false" ht="15" hidden="false" customHeight="false" outlineLevel="0" collapsed="false">
      <c r="A1069" s="9" t="s">
        <v>528</v>
      </c>
      <c r="C1069" s="36" t="n">
        <f aca="false">C1026*D1051</f>
        <v>141.592920353982</v>
      </c>
    </row>
    <row r="1070" customFormat="false" ht="15" hidden="false" customHeight="false" outlineLevel="0" collapsed="false">
      <c r="A1070" s="4" t="s">
        <v>529</v>
      </c>
      <c r="C1070" s="20" t="n">
        <f aca="false">C1066+C1068-C1067-C1069-lv_price</f>
        <v>-7585.84822747325</v>
      </c>
    </row>
    <row r="1071" customFormat="false" ht="15" hidden="false" customHeight="false" outlineLevel="0" collapsed="false">
      <c r="A1071" s="9" t="s">
        <v>530</v>
      </c>
      <c r="C1071" s="32" t="n">
        <f aca="false">C1070+SUMPRODUCT(D1047:M1047,D1051:M1051)</f>
        <v>-7211.4374276325</v>
      </c>
    </row>
    <row r="1072" customFormat="false" ht="15" hidden="false" customHeight="false" outlineLevel="0" collapsed="false">
      <c r="A1072" s="4" t="s">
        <v>531</v>
      </c>
      <c r="C1072" s="59" t="n">
        <f aca="false">lv_price/D1008</f>
        <v>27.5482093663912</v>
      </c>
    </row>
    <row r="1073" customFormat="false" ht="15" hidden="false" customHeight="false" outlineLevel="0" collapsed="false">
      <c r="A1073" s="9" t="s">
        <v>532</v>
      </c>
      <c r="C1073" s="17" t="n">
        <f aca="false">(lv_price+C1067)/D1008</f>
        <v>55.576326494247</v>
      </c>
    </row>
    <row r="1074" customFormat="false" ht="15" hidden="false" customHeight="false" outlineLevel="0" collapsed="false">
      <c r="A1074" s="4" t="s">
        <v>533</v>
      </c>
      <c r="C1074" s="15" t="n">
        <f aca="false">(C1070+C1067)/SUMPRODUCT(D1051:M1051)</f>
        <v>-647.992600422546</v>
      </c>
    </row>
    <row r="1075" customFormat="false" ht="15" hidden="false" customHeight="false" outlineLevel="0" collapsed="false">
      <c r="A1075" s="4" t="s">
        <v>534</v>
      </c>
      <c r="C1075" s="25" t="n">
        <f aca="false">D1038</f>
        <v>5.10540723425197</v>
      </c>
    </row>
    <row r="1076" customFormat="false" ht="15" hidden="false" customHeight="false" outlineLevel="0" collapsed="false">
      <c r="A1076" s="9" t="s">
        <v>535</v>
      </c>
      <c r="C1076" s="50" t="n">
        <f aca="false">F1038</f>
        <v>5.17990157480315</v>
      </c>
    </row>
    <row r="1077" customFormat="false" ht="15" hidden="false" customHeight="false" outlineLevel="0" collapsed="false">
      <c r="A1077" s="4" t="s">
        <v>536</v>
      </c>
      <c r="C1077" s="20" t="n">
        <f aca="false">D1046</f>
        <v>-1054.286</v>
      </c>
    </row>
    <row r="1078" customFormat="false" ht="15" hidden="false" customHeight="false" outlineLevel="0" collapsed="false">
      <c r="A1078" s="9" t="s">
        <v>537</v>
      </c>
      <c r="C1078" s="32" t="n">
        <f aca="false">cf_cash-lv_mix_cash-C1026</f>
        <v>6640</v>
      </c>
    </row>
    <row r="1079" customFormat="false" ht="15" hidden="false" customHeight="false" outlineLevel="0" collapsed="false">
      <c r="A1079" s="9" t="s">
        <v>538</v>
      </c>
      <c r="C1079" s="32" t="n">
        <f aca="false">cf_debt+lv_mix_debt</f>
        <v>350</v>
      </c>
    </row>
    <row r="1080" customFormat="false" ht="15" hidden="false" customHeight="false" outlineLevel="0" collapsed="false">
      <c r="A1080" s="9" t="s">
        <v>539</v>
      </c>
      <c r="C1080" s="34" t="n">
        <f aca="false">C1079/cf_ebitda</f>
        <v>0.546875</v>
      </c>
    </row>
    <row r="1081" customFormat="false" ht="15" hidden="false" customHeight="false" outlineLevel="0" collapsed="false">
      <c r="A1081" s="9" t="s">
        <v>540</v>
      </c>
      <c r="C1081" s="32" t="n">
        <f aca="false">C1078+SUM(D1049:F1049)+3*cf_pat</f>
        <v>5361.48512</v>
      </c>
    </row>
    <row r="1083" customFormat="false" ht="15" hidden="false" customHeight="false" outlineLevel="0" collapsed="false">
      <c r="A1083" s="7" t="s">
        <v>663</v>
      </c>
      <c r="B1083" s="8"/>
      <c r="C1083" s="8"/>
      <c r="D1083" s="8"/>
      <c r="E1083" s="8"/>
      <c r="F1083" s="8"/>
      <c r="G1083" s="8"/>
      <c r="H1083" s="8"/>
      <c r="I1083" s="8"/>
      <c r="J1083" s="8"/>
      <c r="K1083" s="8"/>
      <c r="L1083" s="8"/>
      <c r="M1083" s="8"/>
      <c r="N1083" s="8"/>
    </row>
    <row r="1084" customFormat="false" ht="15" hidden="false" customHeight="false" outlineLevel="0" collapsed="false">
      <c r="A1084" s="4" t="s">
        <v>284</v>
      </c>
      <c r="C1084" s="39" t="n">
        <v>0</v>
      </c>
      <c r="D1084" s="39" t="n">
        <v>1</v>
      </c>
      <c r="E1084" s="39" t="n">
        <v>2</v>
      </c>
      <c r="F1084" s="39" t="n">
        <v>3</v>
      </c>
      <c r="G1084" s="39" t="n">
        <v>4</v>
      </c>
      <c r="H1084" s="39" t="n">
        <v>5</v>
      </c>
      <c r="I1084" s="39" t="n">
        <v>6</v>
      </c>
      <c r="J1084" s="39" t="n">
        <v>7</v>
      </c>
      <c r="K1084" s="39" t="n">
        <v>8</v>
      </c>
      <c r="L1084" s="39" t="n">
        <v>9</v>
      </c>
      <c r="M1084" s="39" t="n">
        <v>10</v>
      </c>
    </row>
    <row r="1085" customFormat="false" ht="15" hidden="false" customHeight="false" outlineLevel="0" collapsed="false">
      <c r="A1085" s="9" t="s">
        <v>285</v>
      </c>
      <c r="C1085" s="40" t="n">
        <f aca="false">cf_arr</f>
        <v>220</v>
      </c>
      <c r="D1085" s="36" t="n">
        <f aca="false">C1085*(1+lv_g)</f>
        <v>264</v>
      </c>
      <c r="E1085" s="36" t="n">
        <f aca="false">D1085*(1+lv_g)</f>
        <v>316.8</v>
      </c>
      <c r="F1085" s="36" t="n">
        <f aca="false">E1085*(1+lv_g)</f>
        <v>380.16</v>
      </c>
      <c r="G1085" s="36" t="n">
        <f aca="false">F1085*(1+lv_g)</f>
        <v>456.192</v>
      </c>
      <c r="H1085" s="36" t="n">
        <f aca="false">G1085*(1+lv_g)</f>
        <v>547.4304</v>
      </c>
      <c r="I1085" s="36" t="n">
        <f aca="false">H1085*(1+lv_g)</f>
        <v>656.91648</v>
      </c>
      <c r="J1085" s="36" t="n">
        <f aca="false">I1085*(1+lv_g)</f>
        <v>788.299776</v>
      </c>
      <c r="K1085" s="36" t="n">
        <f aca="false">J1085*(1+lv_g)</f>
        <v>945.9597312</v>
      </c>
      <c r="L1085" s="36" t="n">
        <f aca="false">K1085*(1+lv_g)</f>
        <v>1135.15167744</v>
      </c>
      <c r="M1085" s="36" t="n">
        <f aca="false">L1085*(1+lv_g)</f>
        <v>1362.182012928</v>
      </c>
    </row>
    <row r="1086" customFormat="false" ht="15" hidden="false" customHeight="false" outlineLevel="0" collapsed="false">
      <c r="A1086" s="9" t="s">
        <v>286</v>
      </c>
      <c r="C1086" s="18" t="n">
        <f aca="false">1</f>
        <v>1</v>
      </c>
      <c r="D1086" s="18" t="n">
        <f aca="false">IF(D1084&gt;=a_churn_year,1-Churn!$A$19,1)</f>
        <v>0.55</v>
      </c>
      <c r="E1086" s="18" t="n">
        <f aca="false">IF(E1084&gt;=a_churn_year,1-Churn!$A$19,1)</f>
        <v>0.55</v>
      </c>
      <c r="F1086" s="18" t="n">
        <f aca="false">IF(F1084&gt;=a_churn_year,1-Churn!$A$19,1)</f>
        <v>0.55</v>
      </c>
      <c r="G1086" s="18" t="n">
        <f aca="false">IF(G1084&gt;=a_churn_year,1-Churn!$A$19,1)</f>
        <v>0.55</v>
      </c>
      <c r="H1086" s="18" t="n">
        <f aca="false">IF(H1084&gt;=a_churn_year,1-Churn!$A$19,1)</f>
        <v>0.55</v>
      </c>
      <c r="I1086" s="18" t="n">
        <f aca="false">IF(I1084&gt;=a_churn_year,1-Churn!$A$19,1)</f>
        <v>0.55</v>
      </c>
      <c r="J1086" s="18" t="n">
        <f aca="false">IF(J1084&gt;=a_churn_year,1-Churn!$A$19,1)</f>
        <v>0.55</v>
      </c>
      <c r="K1086" s="18" t="n">
        <f aca="false">IF(K1084&gt;=a_churn_year,1-Churn!$A$19,1)</f>
        <v>0.55</v>
      </c>
      <c r="L1086" s="18" t="n">
        <f aca="false">IF(L1084&gt;=a_churn_year,1-Churn!$A$19,1)</f>
        <v>0.55</v>
      </c>
      <c r="M1086" s="18" t="n">
        <f aca="false">IF(M1084&gt;=a_churn_year,1-Churn!$A$19,1)</f>
        <v>0.55</v>
      </c>
    </row>
    <row r="1087" customFormat="false" ht="15" hidden="false" customHeight="false" outlineLevel="0" collapsed="false">
      <c r="A1087" s="4" t="s">
        <v>287</v>
      </c>
      <c r="C1087" s="41" t="n">
        <f aca="false">C1085*C1086</f>
        <v>220</v>
      </c>
      <c r="D1087" s="41" t="n">
        <f aca="false">D1085*D1086</f>
        <v>145.2</v>
      </c>
      <c r="E1087" s="41" t="n">
        <f aca="false">E1085*E1086</f>
        <v>174.24</v>
      </c>
      <c r="F1087" s="41" t="n">
        <f aca="false">F1085*F1086</f>
        <v>209.088</v>
      </c>
      <c r="G1087" s="41" t="n">
        <f aca="false">G1085*G1086</f>
        <v>250.9056</v>
      </c>
      <c r="H1087" s="41" t="n">
        <f aca="false">H1085*H1086</f>
        <v>301.08672</v>
      </c>
      <c r="I1087" s="41" t="n">
        <f aca="false">I1085*I1086</f>
        <v>361.304064</v>
      </c>
      <c r="J1087" s="41" t="n">
        <f aca="false">J1085*J1086</f>
        <v>433.5648768</v>
      </c>
      <c r="K1087" s="41" t="n">
        <f aca="false">K1085*K1086</f>
        <v>520.27785216</v>
      </c>
      <c r="L1087" s="41" t="n">
        <f aca="false">L1085*L1086</f>
        <v>624.333422592</v>
      </c>
      <c r="M1087" s="41" t="n">
        <f aca="false">M1085*M1086</f>
        <v>749.2001071104</v>
      </c>
    </row>
    <row r="1088" customFormat="false" ht="15" hidden="false" customHeight="false" outlineLevel="0" collapsed="false">
      <c r="A1088" s="9" t="s">
        <v>288</v>
      </c>
      <c r="C1088" s="18" t="n">
        <f aca="false">MIN(a_m0+a_mstep*C1084,a_mcap)</f>
        <v>0</v>
      </c>
      <c r="D1088" s="18" t="n">
        <f aca="false">MIN(a_m0+a_mstep*D1084,a_mcap)</f>
        <v>0.05</v>
      </c>
      <c r="E1088" s="18" t="n">
        <f aca="false">MIN(a_m0+a_mstep*E1084,a_mcap)</f>
        <v>0.1</v>
      </c>
      <c r="F1088" s="18" t="n">
        <f aca="false">MIN(a_m0+a_mstep*F1084,a_mcap)</f>
        <v>0.15</v>
      </c>
      <c r="G1088" s="18" t="n">
        <f aca="false">MIN(a_m0+a_mstep*G1084,a_mcap)</f>
        <v>0.2</v>
      </c>
      <c r="H1088" s="18" t="n">
        <f aca="false">MIN(a_m0+a_mstep*H1084,a_mcap)</f>
        <v>0.25</v>
      </c>
      <c r="I1088" s="18" t="n">
        <f aca="false">MIN(a_m0+a_mstep*I1084,a_mcap)</f>
        <v>0.25</v>
      </c>
      <c r="J1088" s="18" t="n">
        <f aca="false">MIN(a_m0+a_mstep*J1084,a_mcap)</f>
        <v>0.25</v>
      </c>
      <c r="K1088" s="18" t="n">
        <f aca="false">MIN(a_m0+a_mstep*K1084,a_mcap)</f>
        <v>0.25</v>
      </c>
      <c r="L1088" s="18" t="n">
        <f aca="false">MIN(a_m0+a_mstep*L1084,a_mcap)</f>
        <v>0.25</v>
      </c>
      <c r="M1088" s="18" t="n">
        <f aca="false">MIN(a_m0+a_mstep*M1084,a_mcap)</f>
        <v>0.25</v>
      </c>
    </row>
    <row r="1089" customFormat="false" ht="15" hidden="false" customHeight="false" outlineLevel="0" collapsed="false">
      <c r="A1089" s="9" t="s">
        <v>289</v>
      </c>
      <c r="C1089" s="36" t="n">
        <f aca="false">IF(C1084=a_churn_year,a_sticky*(C1085-C1087)*(1-C1088),0)</f>
        <v>0</v>
      </c>
      <c r="D1089" s="36" t="n">
        <f aca="false">IF(D1084=a_churn_year,a_sticky*(D1085-D1087)*(1-D1088),0)</f>
        <v>56.43</v>
      </c>
      <c r="E1089" s="36" t="n">
        <f aca="false">IF(E1084=a_churn_year,a_sticky*(E1085-E1087)*(1-E1088),0)</f>
        <v>0</v>
      </c>
      <c r="F1089" s="36" t="n">
        <f aca="false">IF(F1084=a_churn_year,a_sticky*(F1085-F1087)*(1-F1088),0)</f>
        <v>0</v>
      </c>
      <c r="G1089" s="36" t="n">
        <f aca="false">IF(G1084=a_churn_year,a_sticky*(G1085-G1087)*(1-G1088),0)</f>
        <v>0</v>
      </c>
      <c r="H1089" s="36" t="n">
        <f aca="false">IF(H1084=a_churn_year,a_sticky*(H1085-H1087)*(1-H1088),0)</f>
        <v>0</v>
      </c>
      <c r="I1089" s="36" t="n">
        <f aca="false">IF(I1084=a_churn_year,a_sticky*(I1085-I1087)*(1-I1088),0)</f>
        <v>0</v>
      </c>
      <c r="J1089" s="36" t="n">
        <f aca="false">IF(J1084=a_churn_year,a_sticky*(J1085-J1087)*(1-J1088),0)</f>
        <v>0</v>
      </c>
      <c r="K1089" s="36" t="n">
        <f aca="false">IF(K1084=a_churn_year,a_sticky*(K1085-K1087)*(1-K1088),0)</f>
        <v>0</v>
      </c>
      <c r="L1089" s="36" t="n">
        <f aca="false">IF(L1084=a_churn_year,a_sticky*(L1085-L1087)*(1-L1088),0)</f>
        <v>0</v>
      </c>
      <c r="M1089" s="36" t="n">
        <f aca="false">IF(M1084=a_churn_year,a_sticky*(M1085-M1087)*(1-M1088),0)</f>
        <v>0</v>
      </c>
    </row>
    <row r="1090" customFormat="false" ht="15" hidden="false" customHeight="false" outlineLevel="0" collapsed="false">
      <c r="A1090" s="4" t="s">
        <v>290</v>
      </c>
      <c r="C1090" s="41" t="n">
        <f aca="false">C1087*C1088-C1089</f>
        <v>0</v>
      </c>
      <c r="D1090" s="41" t="n">
        <f aca="false">D1087*D1088-D1089</f>
        <v>-49.17</v>
      </c>
      <c r="E1090" s="41" t="n">
        <f aca="false">E1087*E1088-E1089</f>
        <v>17.424</v>
      </c>
      <c r="F1090" s="41" t="n">
        <f aca="false">F1087*F1088-F1089</f>
        <v>31.3632</v>
      </c>
      <c r="G1090" s="41" t="n">
        <f aca="false">G1087*G1088-G1089</f>
        <v>50.18112</v>
      </c>
      <c r="H1090" s="41" t="n">
        <f aca="false">H1087*H1088-H1089</f>
        <v>75.27168</v>
      </c>
      <c r="I1090" s="41" t="n">
        <f aca="false">I1087*I1088-I1089</f>
        <v>90.326016</v>
      </c>
      <c r="J1090" s="41" t="n">
        <f aca="false">J1087*J1088-J1089</f>
        <v>108.3912192</v>
      </c>
      <c r="K1090" s="41" t="n">
        <f aca="false">K1087*K1088-K1089</f>
        <v>130.06946304</v>
      </c>
      <c r="L1090" s="41" t="n">
        <f aca="false">L1087*L1088-L1089</f>
        <v>156.083355648</v>
      </c>
      <c r="M1090" s="41" t="n">
        <f aca="false">M1087*M1088-M1089</f>
        <v>187.3000267776</v>
      </c>
    </row>
    <row r="1091" customFormat="false" ht="15" hidden="false" customHeight="false" outlineLevel="0" collapsed="false">
      <c r="A1091" s="9" t="s">
        <v>291</v>
      </c>
      <c r="C1091" s="36" t="n">
        <f aca="false">C1087*a_da</f>
        <v>6.6</v>
      </c>
      <c r="D1091" s="36" t="n">
        <f aca="false">D1087*a_da</f>
        <v>4.356</v>
      </c>
      <c r="E1091" s="36" t="n">
        <f aca="false">E1087*a_da</f>
        <v>5.2272</v>
      </c>
      <c r="F1091" s="36" t="n">
        <f aca="false">F1087*a_da</f>
        <v>6.27264</v>
      </c>
      <c r="G1091" s="36" t="n">
        <f aca="false">G1087*a_da</f>
        <v>7.527168</v>
      </c>
      <c r="H1091" s="36" t="n">
        <f aca="false">H1087*a_da</f>
        <v>9.0326016</v>
      </c>
      <c r="I1091" s="36" t="n">
        <f aca="false">I1087*a_da</f>
        <v>10.83912192</v>
      </c>
      <c r="J1091" s="36" t="n">
        <f aca="false">J1087*a_da</f>
        <v>13.006946304</v>
      </c>
      <c r="K1091" s="36" t="n">
        <f aca="false">K1087*a_da</f>
        <v>15.6083355648</v>
      </c>
      <c r="L1091" s="36" t="n">
        <f aca="false">L1087*a_da</f>
        <v>18.73000267776</v>
      </c>
      <c r="M1091" s="36" t="n">
        <f aca="false">M1087*a_da</f>
        <v>22.476003213312</v>
      </c>
    </row>
    <row r="1092" customFormat="false" ht="15" hidden="false" customHeight="false" outlineLevel="0" collapsed="false">
      <c r="A1092" s="9" t="s">
        <v>292</v>
      </c>
      <c r="C1092" s="36" t="n">
        <f aca="false">C1090-C1091</f>
        <v>-6.6</v>
      </c>
      <c r="D1092" s="36" t="n">
        <f aca="false">D1090-D1091</f>
        <v>-53.526</v>
      </c>
      <c r="E1092" s="36" t="n">
        <f aca="false">E1090-E1091</f>
        <v>12.1968</v>
      </c>
      <c r="F1092" s="36" t="n">
        <f aca="false">F1090-F1091</f>
        <v>25.09056</v>
      </c>
      <c r="G1092" s="36" t="n">
        <f aca="false">G1090-G1091</f>
        <v>42.653952</v>
      </c>
      <c r="H1092" s="36" t="n">
        <f aca="false">H1090-H1091</f>
        <v>66.2390784</v>
      </c>
      <c r="I1092" s="36" t="n">
        <f aca="false">I1090-I1091</f>
        <v>79.48689408</v>
      </c>
      <c r="J1092" s="36" t="n">
        <f aca="false">J1090-J1091</f>
        <v>95.384272896</v>
      </c>
      <c r="K1092" s="36" t="n">
        <f aca="false">K1090-K1091</f>
        <v>114.4611274752</v>
      </c>
      <c r="L1092" s="36" t="n">
        <f aca="false">L1090-L1091</f>
        <v>137.35335297024</v>
      </c>
      <c r="M1092" s="36" t="n">
        <f aca="false">M1090-M1091</f>
        <v>164.824023564288</v>
      </c>
    </row>
    <row r="1093" customFormat="false" ht="15" hidden="false" customHeight="false" outlineLevel="0" collapsed="false">
      <c r="A1093" s="9" t="s">
        <v>293</v>
      </c>
      <c r="C1093" s="36" t="n">
        <f aca="false">MAX(0,C1092)*a_tax</f>
        <v>0</v>
      </c>
      <c r="D1093" s="36" t="n">
        <f aca="false">MAX(0,D1092)*a_tax</f>
        <v>0</v>
      </c>
      <c r="E1093" s="36" t="n">
        <f aca="false">MAX(0,E1092)*a_tax</f>
        <v>3.0492</v>
      </c>
      <c r="F1093" s="36" t="n">
        <f aca="false">MAX(0,F1092)*a_tax</f>
        <v>6.27264</v>
      </c>
      <c r="G1093" s="36" t="n">
        <f aca="false">MAX(0,G1092)*a_tax</f>
        <v>10.663488</v>
      </c>
      <c r="H1093" s="36" t="n">
        <f aca="false">MAX(0,H1092)*a_tax</f>
        <v>16.5597696</v>
      </c>
      <c r="I1093" s="36" t="n">
        <f aca="false">MAX(0,I1092)*a_tax</f>
        <v>19.87172352</v>
      </c>
      <c r="J1093" s="36" t="n">
        <f aca="false">MAX(0,J1092)*a_tax</f>
        <v>23.846068224</v>
      </c>
      <c r="K1093" s="36" t="n">
        <f aca="false">MAX(0,K1092)*a_tax</f>
        <v>28.6152818688</v>
      </c>
      <c r="L1093" s="36" t="n">
        <f aca="false">MAX(0,L1092)*a_tax</f>
        <v>34.33833824256</v>
      </c>
      <c r="M1093" s="36" t="n">
        <f aca="false">MAX(0,M1092)*a_tax</f>
        <v>41.206005891072</v>
      </c>
    </row>
    <row r="1094" customFormat="false" ht="15" hidden="false" customHeight="false" outlineLevel="0" collapsed="false">
      <c r="A1094" s="4" t="s">
        <v>294</v>
      </c>
      <c r="C1094" s="42" t="n">
        <f aca="false">cf_lim_pat</f>
        <v>0</v>
      </c>
      <c r="D1094" s="41" t="n">
        <f aca="false">D1092-D1093</f>
        <v>-53.526</v>
      </c>
      <c r="E1094" s="41" t="n">
        <f aca="false">E1092-E1093</f>
        <v>9.1476</v>
      </c>
      <c r="F1094" s="41" t="n">
        <f aca="false">F1092-F1093</f>
        <v>18.81792</v>
      </c>
      <c r="G1094" s="41" t="n">
        <f aca="false">G1092-G1093</f>
        <v>31.990464</v>
      </c>
      <c r="H1094" s="41" t="n">
        <f aca="false">H1092-H1093</f>
        <v>49.6793088</v>
      </c>
      <c r="I1094" s="41" t="n">
        <f aca="false">I1092-I1093</f>
        <v>59.61517056</v>
      </c>
      <c r="J1094" s="41" t="n">
        <f aca="false">J1092-J1093</f>
        <v>71.538204672</v>
      </c>
      <c r="K1094" s="41" t="n">
        <f aca="false">K1092-K1093</f>
        <v>85.8458456064</v>
      </c>
      <c r="L1094" s="41" t="n">
        <f aca="false">L1092-L1093</f>
        <v>103.01501472768</v>
      </c>
      <c r="M1094" s="41" t="n">
        <f aca="false">M1092-M1093</f>
        <v>123.618017673216</v>
      </c>
    </row>
    <row r="1095" customFormat="false" ht="15" hidden="false" customHeight="false" outlineLevel="0" collapsed="false">
      <c r="A1095" s="9" t="s">
        <v>295</v>
      </c>
      <c r="C1095" s="36" t="n">
        <f aca="false">C1087*a_capex</f>
        <v>6.6</v>
      </c>
      <c r="D1095" s="36" t="n">
        <f aca="false">D1087*a_capex</f>
        <v>4.356</v>
      </c>
      <c r="E1095" s="36" t="n">
        <f aca="false">E1087*a_capex</f>
        <v>5.2272</v>
      </c>
      <c r="F1095" s="36" t="n">
        <f aca="false">F1087*a_capex</f>
        <v>6.27264</v>
      </c>
      <c r="G1095" s="36" t="n">
        <f aca="false">G1087*a_capex</f>
        <v>7.527168</v>
      </c>
      <c r="H1095" s="36" t="n">
        <f aca="false">H1087*a_capex</f>
        <v>9.0326016</v>
      </c>
      <c r="I1095" s="36" t="n">
        <f aca="false">I1087*a_capex</f>
        <v>10.83912192</v>
      </c>
      <c r="J1095" s="36" t="n">
        <f aca="false">J1087*a_capex</f>
        <v>13.006946304</v>
      </c>
      <c r="K1095" s="36" t="n">
        <f aca="false">K1087*a_capex</f>
        <v>15.6083355648</v>
      </c>
      <c r="L1095" s="36" t="n">
        <f aca="false">L1087*a_capex</f>
        <v>18.73000267776</v>
      </c>
      <c r="M1095" s="36" t="n">
        <f aca="false">M1087*a_capex</f>
        <v>22.476003213312</v>
      </c>
    </row>
    <row r="1096" customFormat="false" ht="15" hidden="false" customHeight="false" outlineLevel="0" collapsed="false">
      <c r="A1096" s="9" t="s">
        <v>296</v>
      </c>
      <c r="C1096" s="36" t="n">
        <f aca="false">0</f>
        <v>0</v>
      </c>
      <c r="D1096" s="36" t="n">
        <f aca="false">a_wc*(D1087-C1087)</f>
        <v>-3.74</v>
      </c>
      <c r="E1096" s="36" t="n">
        <f aca="false">a_wc*(E1087-D1087)</f>
        <v>1.452</v>
      </c>
      <c r="F1096" s="36" t="n">
        <f aca="false">a_wc*(F1087-E1087)</f>
        <v>1.7424</v>
      </c>
      <c r="G1096" s="36" t="n">
        <f aca="false">a_wc*(G1087-F1087)</f>
        <v>2.09088</v>
      </c>
      <c r="H1096" s="36" t="n">
        <f aca="false">a_wc*(H1087-G1087)</f>
        <v>2.509056</v>
      </c>
      <c r="I1096" s="36" t="n">
        <f aca="false">a_wc*(I1087-H1087)</f>
        <v>3.0108672</v>
      </c>
      <c r="J1096" s="36" t="n">
        <f aca="false">a_wc*(J1087-I1087)</f>
        <v>3.61304064</v>
      </c>
      <c r="K1096" s="36" t="n">
        <f aca="false">a_wc*(K1087-J1087)</f>
        <v>4.335648768</v>
      </c>
      <c r="L1096" s="36" t="n">
        <f aca="false">a_wc*(L1087-K1087)</f>
        <v>5.2027785216</v>
      </c>
      <c r="M1096" s="36" t="n">
        <f aca="false">a_wc*(M1087-L1087)</f>
        <v>6.24333422592</v>
      </c>
    </row>
    <row r="1097" customFormat="false" ht="15" hidden="false" customHeight="false" outlineLevel="0" collapsed="false">
      <c r="A1097" s="4" t="s">
        <v>297</v>
      </c>
      <c r="C1097" s="36" t="n">
        <f aca="false">0</f>
        <v>0</v>
      </c>
      <c r="D1097" s="41" t="n">
        <f aca="false">D1094+D1091-D1095-D1096</f>
        <v>-49.786</v>
      </c>
      <c r="E1097" s="41" t="n">
        <f aca="false">E1094+E1091-E1095-E1096</f>
        <v>7.6956</v>
      </c>
      <c r="F1097" s="41" t="n">
        <f aca="false">F1094+F1091-F1095-F1096</f>
        <v>17.07552</v>
      </c>
      <c r="G1097" s="41" t="n">
        <f aca="false">G1094+G1091-G1095-G1096</f>
        <v>29.899584</v>
      </c>
      <c r="H1097" s="41" t="n">
        <f aca="false">H1094+H1091-H1095-H1096</f>
        <v>47.1702528</v>
      </c>
      <c r="I1097" s="41" t="n">
        <f aca="false">I1094+I1091-I1095-I1096</f>
        <v>56.60430336</v>
      </c>
      <c r="J1097" s="41" t="n">
        <f aca="false">J1094+J1091-J1095-J1096</f>
        <v>67.925164032</v>
      </c>
      <c r="K1097" s="41" t="n">
        <f aca="false">K1094+K1091-K1095-K1096</f>
        <v>81.5101968384</v>
      </c>
      <c r="L1097" s="41" t="n">
        <f aca="false">L1094+L1091-L1095-L1096</f>
        <v>97.81223620608</v>
      </c>
      <c r="M1097" s="41" t="n">
        <f aca="false">M1094+M1091-M1095-M1096</f>
        <v>117.374683447296</v>
      </c>
    </row>
    <row r="1099" customFormat="false" ht="15" hidden="false" customHeight="false" outlineLevel="0" collapsed="false">
      <c r="A1099" s="7" t="s">
        <v>664</v>
      </c>
      <c r="B1099" s="8"/>
      <c r="C1099" s="8"/>
      <c r="D1099" s="8"/>
      <c r="E1099" s="8"/>
      <c r="F1099" s="8"/>
      <c r="G1099" s="8"/>
      <c r="H1099" s="8"/>
      <c r="I1099" s="8"/>
      <c r="J1099" s="8"/>
      <c r="K1099" s="8"/>
      <c r="L1099" s="8"/>
      <c r="M1099" s="8"/>
      <c r="N1099" s="8"/>
    </row>
    <row r="1100" customFormat="false" ht="15" hidden="false" customHeight="false" outlineLevel="0" collapsed="false">
      <c r="A1100" s="9" t="s">
        <v>482</v>
      </c>
      <c r="C1100" s="35" t="n">
        <f aca="false">lv_mix_eq/(c_price*(1-a_issue_disc))</f>
        <v>1.024</v>
      </c>
    </row>
    <row r="1101" customFormat="false" ht="15" hidden="false" customHeight="false" outlineLevel="0" collapsed="false">
      <c r="A1101" s="9" t="s">
        <v>449</v>
      </c>
      <c r="C1101" s="35" t="n">
        <f aca="false">cf_shares+C1100</f>
        <v>65.024</v>
      </c>
    </row>
    <row r="1102" customFormat="false" ht="15" hidden="false" customHeight="false" outlineLevel="0" collapsed="false">
      <c r="A1102" s="9" t="s">
        <v>483</v>
      </c>
      <c r="C1102" s="36" t="n">
        <f aca="false">lv_mix_cash*a_yield*(1-a_tax)+lv_mix_debt*a_kd*(1-a_tax)</f>
        <v>94.5</v>
      </c>
    </row>
    <row r="1103" customFormat="false" ht="15" hidden="false" customHeight="false" outlineLevel="0" collapsed="false">
      <c r="A1103" s="9" t="s">
        <v>484</v>
      </c>
      <c r="C1103" s="36" t="n">
        <f aca="false">lv_price*a_ppa_share/a_ppa_life*(1-a_tax)</f>
        <v>93.75</v>
      </c>
    </row>
    <row r="1104" customFormat="false" ht="15" hidden="false" customHeight="false" outlineLevel="0" collapsed="false">
      <c r="A1104" s="9" t="s">
        <v>485</v>
      </c>
      <c r="C1104" s="36" t="n">
        <f aca="false">a_ppa_on*C1103</f>
        <v>0</v>
      </c>
    </row>
    <row r="1105" customFormat="false" ht="15" hidden="false" customHeight="false" outlineLevel="0" collapsed="false">
      <c r="A1105" s="9" t="s">
        <v>486</v>
      </c>
      <c r="C1105" s="36" t="n">
        <f aca="false">lv_price*a_fees_pct+a_integ_full</f>
        <v>160</v>
      </c>
    </row>
    <row r="1106" customFormat="false" ht="15" hidden="false" customHeight="false" outlineLevel="0" collapsed="false">
      <c r="A1106" s="9" t="s">
        <v>487</v>
      </c>
      <c r="C1106" s="36" t="n">
        <f aca="false">0</f>
        <v>0</v>
      </c>
      <c r="D1106" s="36" t="n">
        <f aca="false">a_syn_on*(a_syn_partner_rev_y3+a_syn_xsell_y3)*a_mcap*IF(D1084=1,a_syn_ramp1,IF(D1084=2,a_syn_ramp2,1))+a_syn_on*IF(D1084&gt;=2,a_syn_cost,0)</f>
        <v>0</v>
      </c>
      <c r="E1106" s="36" t="n">
        <f aca="false">a_syn_on*(a_syn_partner_rev_y3+a_syn_xsell_y3)*a_mcap*IF(E1084=1,a_syn_ramp1,IF(E1084=2,a_syn_ramp2,1))+a_syn_on*IF(E1084&gt;=2,a_syn_cost,0)</f>
        <v>0</v>
      </c>
      <c r="F1106" s="36" t="n">
        <f aca="false">a_syn_on*(a_syn_partner_rev_y3+a_syn_xsell_y3)*a_mcap*IF(F1084=1,a_syn_ramp1,IF(F1084=2,a_syn_ramp2,1))+a_syn_on*IF(F1084&gt;=2,a_syn_cost,0)</f>
        <v>0</v>
      </c>
      <c r="G1106" s="36" t="n">
        <f aca="false">a_syn_on*(a_syn_partner_rev_y3+a_syn_xsell_y3)*a_mcap*IF(G1084=1,a_syn_ramp1,IF(G1084=2,a_syn_ramp2,1))+a_syn_on*IF(G1084&gt;=2,a_syn_cost,0)</f>
        <v>0</v>
      </c>
      <c r="H1106" s="36" t="n">
        <f aca="false">a_syn_on*(a_syn_partner_rev_y3+a_syn_xsell_y3)*a_mcap*IF(H1084=1,a_syn_ramp1,IF(H1084=2,a_syn_ramp2,1))+a_syn_on*IF(H1084&gt;=2,a_syn_cost,0)</f>
        <v>0</v>
      </c>
      <c r="I1106" s="36" t="n">
        <f aca="false">a_syn_on*(a_syn_partner_rev_y3+a_syn_xsell_y3)*a_mcap*IF(I1084=1,a_syn_ramp1,IF(I1084=2,a_syn_ramp2,1))+a_syn_on*IF(I1084&gt;=2,a_syn_cost,0)</f>
        <v>0</v>
      </c>
      <c r="J1106" s="36" t="n">
        <f aca="false">a_syn_on*(a_syn_partner_rev_y3+a_syn_xsell_y3)*a_mcap*IF(J1084=1,a_syn_ramp1,IF(J1084=2,a_syn_ramp2,1))+a_syn_on*IF(J1084&gt;=2,a_syn_cost,0)</f>
        <v>0</v>
      </c>
      <c r="K1106" s="36" t="n">
        <f aca="false">a_syn_on*(a_syn_partner_rev_y3+a_syn_xsell_y3)*a_mcap*IF(K1084=1,a_syn_ramp1,IF(K1084=2,a_syn_ramp2,1))+a_syn_on*IF(K1084&gt;=2,a_syn_cost,0)</f>
        <v>0</v>
      </c>
      <c r="L1106" s="36" t="n">
        <f aca="false">a_syn_on*(a_syn_partner_rev_y3+a_syn_xsell_y3)*a_mcap*IF(L1084=1,a_syn_ramp1,IF(L1084=2,a_syn_ramp2,1))+a_syn_on*IF(L1084&gt;=2,a_syn_cost,0)</f>
        <v>0</v>
      </c>
      <c r="M1106" s="36" t="n">
        <f aca="false">a_syn_on*(a_syn_partner_rev_y3+a_syn_xsell_y3)*a_mcap*IF(M1084=1,a_syn_ramp1,IF(M1084=2,a_syn_ramp2,1))+a_syn_on*IF(M1084&gt;=2,a_syn_cost,0)</f>
        <v>0</v>
      </c>
    </row>
    <row r="1107" customFormat="false" ht="15" hidden="false" customHeight="false" outlineLevel="0" collapsed="false">
      <c r="A1107" s="9" t="s">
        <v>488</v>
      </c>
      <c r="C1107" s="36" t="n">
        <f aca="false">0</f>
        <v>0</v>
      </c>
      <c r="D1107" s="36" t="n">
        <f aca="false">CHOOSE(lv_drag_mode,0,0*D1087/cf_arr,0*(1-a_tax))</f>
        <v>0</v>
      </c>
      <c r="E1107" s="36" t="n">
        <f aca="false">CHOOSE(lv_drag_mode,0,0*E1087/cf_arr,0*(1-a_tax))</f>
        <v>0</v>
      </c>
      <c r="F1107" s="36" t="n">
        <f aca="false">CHOOSE(lv_drag_mode,0,0*F1087/cf_arr,0*(1-a_tax))</f>
        <v>0</v>
      </c>
      <c r="G1107" s="36" t="n">
        <f aca="false">CHOOSE(lv_drag_mode,0,0*G1087/cf_arr,0*(1-a_tax))</f>
        <v>0</v>
      </c>
      <c r="H1107" s="36" t="n">
        <f aca="false">CHOOSE(lv_drag_mode,0,0*H1087/cf_arr,0*(1-a_tax))</f>
        <v>0</v>
      </c>
      <c r="I1107" s="36" t="n">
        <f aca="false">CHOOSE(lv_drag_mode,0,0*I1087/cf_arr,0*(1-a_tax))</f>
        <v>0</v>
      </c>
      <c r="J1107" s="36" t="n">
        <f aca="false">CHOOSE(lv_drag_mode,0,0*J1087/cf_arr,0*(1-a_tax))</f>
        <v>0</v>
      </c>
      <c r="K1107" s="36" t="n">
        <f aca="false">CHOOSE(lv_drag_mode,0,0*K1087/cf_arr,0*(1-a_tax))</f>
        <v>0</v>
      </c>
      <c r="L1107" s="36" t="n">
        <f aca="false">CHOOSE(lv_drag_mode,0,0*L1087/cf_arr,0*(1-a_tax))</f>
        <v>0</v>
      </c>
      <c r="M1107" s="36" t="n">
        <f aca="false">CHOOSE(lv_drag_mode,0,0*M1087/cf_arr,0*(1-a_tax))</f>
        <v>0</v>
      </c>
    </row>
    <row r="1108" customFormat="false" ht="15" hidden="false" customHeight="false" outlineLevel="0" collapsed="false">
      <c r="A1108" s="9" t="s">
        <v>489</v>
      </c>
      <c r="C1108" s="36" t="n">
        <f aca="false">0</f>
        <v>0</v>
      </c>
      <c r="D1108" s="36" t="n">
        <f aca="false">IF(lv_drag_mode=3,0*(1-a_tax),0)</f>
        <v>0</v>
      </c>
      <c r="E1108" s="36" t="n">
        <f aca="false">IF(lv_drag_mode=3,0*(1-a_tax),0)</f>
        <v>0</v>
      </c>
      <c r="F1108" s="36" t="n">
        <f aca="false">IF(lv_drag_mode=3,0*(1-a_tax),0)</f>
        <v>0</v>
      </c>
      <c r="G1108" s="36" t="n">
        <f aca="false">IF(lv_drag_mode=3,0*(1-a_tax),0)</f>
        <v>0</v>
      </c>
      <c r="H1108" s="36" t="n">
        <f aca="false">IF(lv_drag_mode=3,0*(1-a_tax),0)</f>
        <v>0</v>
      </c>
      <c r="I1108" s="36" t="n">
        <f aca="false">IF(lv_drag_mode=3,0*(1-a_tax),0)</f>
        <v>0</v>
      </c>
      <c r="J1108" s="36" t="n">
        <f aca="false">IF(lv_drag_mode=3,0*(1-a_tax),0)</f>
        <v>0</v>
      </c>
      <c r="K1108" s="36" t="n">
        <f aca="false">IF(lv_drag_mode=3,0*(1-a_tax),0)</f>
        <v>0</v>
      </c>
      <c r="L1108" s="36" t="n">
        <f aca="false">IF(lv_drag_mode=3,0*(1-a_tax),0)</f>
        <v>0</v>
      </c>
      <c r="M1108" s="36" t="n">
        <f aca="false">IF(lv_drag_mode=3,0*(1-a_tax),0)</f>
        <v>0</v>
      </c>
    </row>
    <row r="1109" customFormat="false" ht="15" hidden="false" customHeight="false" outlineLevel="0" collapsed="false">
      <c r="A1109" s="9" t="s">
        <v>490</v>
      </c>
      <c r="C1109" s="36" t="n">
        <f aca="false">0</f>
        <v>0</v>
      </c>
      <c r="D1109" s="36" t="n">
        <f aca="false">IF(lv_drag_mode=3,0,C1109+D1107)</f>
        <v>0</v>
      </c>
      <c r="E1109" s="36" t="n">
        <f aca="false">IF(lv_drag_mode=3,0,D1109+E1107)</f>
        <v>0</v>
      </c>
      <c r="F1109" s="36" t="n">
        <f aca="false">IF(lv_drag_mode=3,0,E1109+F1107)</f>
        <v>0</v>
      </c>
      <c r="G1109" s="36" t="n">
        <f aca="false">IF(lv_drag_mode=3,0,F1109+G1107)</f>
        <v>0</v>
      </c>
      <c r="H1109" s="36" t="n">
        <f aca="false">IF(lv_drag_mode=3,0,G1109+H1107)</f>
        <v>0</v>
      </c>
      <c r="I1109" s="36" t="n">
        <f aca="false">IF(lv_drag_mode=3,0,H1109+I1107)</f>
        <v>0</v>
      </c>
      <c r="J1109" s="36" t="n">
        <f aca="false">IF(lv_drag_mode=3,0,I1109+J1107)</f>
        <v>0</v>
      </c>
      <c r="K1109" s="36" t="n">
        <f aca="false">IF(lv_drag_mode=3,0,J1109+K1107)</f>
        <v>0</v>
      </c>
      <c r="L1109" s="36" t="n">
        <f aca="false">IF(lv_drag_mode=3,0,K1109+L1107)</f>
        <v>0</v>
      </c>
      <c r="M1109" s="36" t="n">
        <f aca="false">IF(lv_drag_mode=3,0,L1109+M1107)</f>
        <v>0</v>
      </c>
    </row>
    <row r="1110" customFormat="false" ht="15" hidden="false" customHeight="false" outlineLevel="0" collapsed="false">
      <c r="A1110" s="9" t="s">
        <v>491</v>
      </c>
      <c r="C1110" s="36" t="n">
        <f aca="false">0</f>
        <v>0</v>
      </c>
      <c r="D1110" s="36" t="n">
        <f aca="false">C1109*a_yield*(1-a_tax)</f>
        <v>0</v>
      </c>
      <c r="E1110" s="36" t="n">
        <f aca="false">D1109*a_yield*(1-a_tax)</f>
        <v>0</v>
      </c>
      <c r="F1110" s="36" t="n">
        <f aca="false">E1109*a_yield*(1-a_tax)</f>
        <v>0</v>
      </c>
      <c r="G1110" s="36" t="n">
        <f aca="false">F1109*a_yield*(1-a_tax)</f>
        <v>0</v>
      </c>
      <c r="H1110" s="36" t="n">
        <f aca="false">G1109*a_yield*(1-a_tax)</f>
        <v>0</v>
      </c>
      <c r="I1110" s="36" t="n">
        <f aca="false">H1109*a_yield*(1-a_tax)</f>
        <v>0</v>
      </c>
      <c r="J1110" s="36" t="n">
        <f aca="false">I1109*a_yield*(1-a_tax)</f>
        <v>0</v>
      </c>
      <c r="K1110" s="36" t="n">
        <f aca="false">J1109*a_yield*(1-a_tax)</f>
        <v>0</v>
      </c>
      <c r="L1110" s="36" t="n">
        <f aca="false">K1109*a_yield*(1-a_tax)</f>
        <v>0</v>
      </c>
      <c r="M1110" s="36" t="n">
        <f aca="false">L1109*a_yield*(1-a_tax)</f>
        <v>0</v>
      </c>
    </row>
    <row r="1111" customFormat="false" ht="15" hidden="false" customHeight="false" outlineLevel="0" collapsed="false">
      <c r="A1111" s="9" t="s">
        <v>492</v>
      </c>
      <c r="C1111" s="36" t="n">
        <f aca="false">cf_pat</f>
        <v>480</v>
      </c>
      <c r="D1111" s="36" t="n">
        <f aca="false">cf_pat*(1+a_pat_growth)^D1084</f>
        <v>480</v>
      </c>
      <c r="E1111" s="36" t="n">
        <f aca="false">cf_pat*(1+a_pat_growth)^E1084</f>
        <v>480</v>
      </c>
      <c r="F1111" s="36" t="n">
        <f aca="false">cf_pat*(1+a_pat_growth)^F1084</f>
        <v>480</v>
      </c>
      <c r="G1111" s="36" t="n">
        <f aca="false">cf_pat*(1+a_pat_growth)^G1084</f>
        <v>480</v>
      </c>
      <c r="H1111" s="36" t="n">
        <f aca="false">cf_pat*(1+a_pat_growth)^H1084</f>
        <v>480</v>
      </c>
      <c r="I1111" s="36" t="n">
        <f aca="false">cf_pat*(1+a_pat_growth)^I1084</f>
        <v>480</v>
      </c>
      <c r="J1111" s="36" t="n">
        <f aca="false">cf_pat*(1+a_pat_growth)^J1084</f>
        <v>480</v>
      </c>
      <c r="K1111" s="36" t="n">
        <f aca="false">cf_pat*(1+a_pat_growth)^K1084</f>
        <v>480</v>
      </c>
      <c r="L1111" s="36" t="n">
        <f aca="false">cf_pat*(1+a_pat_growth)^L1084</f>
        <v>480</v>
      </c>
      <c r="M1111" s="36" t="n">
        <f aca="false">cf_pat*(1+a_pat_growth)^M1084</f>
        <v>480</v>
      </c>
    </row>
    <row r="1112" customFormat="false" ht="15" hidden="false" customHeight="false" outlineLevel="0" collapsed="false">
      <c r="A1112" s="9" t="s">
        <v>493</v>
      </c>
      <c r="C1112" s="36" t="n">
        <f aca="false">0</f>
        <v>0</v>
      </c>
      <c r="D1112" s="36" t="n">
        <f aca="false">cf_mdr*a_mdr_flow*(1-a_tax)</f>
        <v>69</v>
      </c>
      <c r="E1112" s="36" t="n">
        <f aca="false">cf_mdr*a_mdr_flow*(1-a_tax)</f>
        <v>69</v>
      </c>
      <c r="F1112" s="36" t="n">
        <f aca="false">cf_mdr*a_mdr_flow*(1-a_tax)</f>
        <v>69</v>
      </c>
      <c r="G1112" s="36" t="n">
        <f aca="false">cf_mdr*a_mdr_flow*(1-a_tax)</f>
        <v>69</v>
      </c>
      <c r="H1112" s="36" t="n">
        <f aca="false">cf_mdr*a_mdr_flow*(1-a_tax)</f>
        <v>69</v>
      </c>
      <c r="I1112" s="36" t="n">
        <f aca="false">cf_mdr*a_mdr_flow*(1-a_tax)</f>
        <v>69</v>
      </c>
      <c r="J1112" s="36" t="n">
        <f aca="false">cf_mdr*a_mdr_flow*(1-a_tax)</f>
        <v>69</v>
      </c>
      <c r="K1112" s="36" t="n">
        <f aca="false">cf_mdr*a_mdr_flow*(1-a_tax)</f>
        <v>69</v>
      </c>
      <c r="L1112" s="36" t="n">
        <f aca="false">cf_mdr*a_mdr_flow*(1-a_tax)</f>
        <v>69</v>
      </c>
      <c r="M1112" s="36" t="n">
        <f aca="false">cf_mdr*a_mdr_flow*(1-a_tax)</f>
        <v>69</v>
      </c>
    </row>
    <row r="1113" customFormat="false" ht="15" hidden="false" customHeight="false" outlineLevel="0" collapsed="false">
      <c r="A1113" s="9" t="s">
        <v>494</v>
      </c>
      <c r="C1113" s="50" t="n">
        <f aca="false">cf_eps</f>
        <v>7.5</v>
      </c>
      <c r="D1113" s="50" t="n">
        <f aca="false">D1111/cf_shares</f>
        <v>7.5</v>
      </c>
      <c r="E1113" s="50" t="n">
        <f aca="false">E1111/cf_shares</f>
        <v>7.5</v>
      </c>
      <c r="F1113" s="50" t="n">
        <f aca="false">F1111/cf_shares</f>
        <v>7.5</v>
      </c>
      <c r="G1113" s="50" t="n">
        <f aca="false">G1111/cf_shares</f>
        <v>7.5</v>
      </c>
      <c r="H1113" s="50" t="n">
        <f aca="false">H1111/cf_shares</f>
        <v>7.5</v>
      </c>
      <c r="I1113" s="50" t="n">
        <f aca="false">I1111/cf_shares</f>
        <v>7.5</v>
      </c>
      <c r="J1113" s="50" t="n">
        <f aca="false">J1111/cf_shares</f>
        <v>7.5</v>
      </c>
      <c r="K1113" s="50" t="n">
        <f aca="false">K1111/cf_shares</f>
        <v>7.5</v>
      </c>
      <c r="L1113" s="50" t="n">
        <f aca="false">L1111/cf_shares</f>
        <v>7.5</v>
      </c>
      <c r="M1113" s="50" t="n">
        <f aca="false">M1111/cf_shares</f>
        <v>7.5</v>
      </c>
    </row>
    <row r="1114" customFormat="false" ht="15" hidden="false" customHeight="false" outlineLevel="0" collapsed="false">
      <c r="A1114" s="9" t="s">
        <v>495</v>
      </c>
      <c r="C1114" s="50" t="n">
        <f aca="false">cf_eps</f>
        <v>7.5</v>
      </c>
      <c r="D1114" s="50" t="n">
        <f aca="false">(D1111+D1112)/cf_shares</f>
        <v>8.578125</v>
      </c>
      <c r="E1114" s="50" t="n">
        <f aca="false">(E1111+E1112)/cf_shares</f>
        <v>8.578125</v>
      </c>
      <c r="F1114" s="50" t="n">
        <f aca="false">(F1111+F1112)/cf_shares</f>
        <v>8.578125</v>
      </c>
      <c r="G1114" s="50" t="n">
        <f aca="false">(G1111+G1112)/cf_shares</f>
        <v>8.578125</v>
      </c>
      <c r="H1114" s="50" t="n">
        <f aca="false">(H1111+H1112)/cf_shares</f>
        <v>8.578125</v>
      </c>
      <c r="I1114" s="50" t="n">
        <f aca="false">(I1111+I1112)/cf_shares</f>
        <v>8.578125</v>
      </c>
      <c r="J1114" s="50" t="n">
        <f aca="false">(J1111+J1112)/cf_shares</f>
        <v>8.578125</v>
      </c>
      <c r="K1114" s="50" t="n">
        <f aca="false">(K1111+K1112)/cf_shares</f>
        <v>8.578125</v>
      </c>
      <c r="L1114" s="50" t="n">
        <f aca="false">(L1111+L1112)/cf_shares</f>
        <v>8.578125</v>
      </c>
      <c r="M1114" s="50" t="n">
        <f aca="false">(M1111+M1112)/cf_shares</f>
        <v>8.578125</v>
      </c>
    </row>
    <row r="1115" customFormat="false" ht="15" hidden="false" customHeight="false" outlineLevel="0" collapsed="false">
      <c r="A1115" s="4" t="s">
        <v>496</v>
      </c>
      <c r="C1115" s="41" t="n">
        <f aca="false">-C1102-C1104</f>
        <v>-94.5</v>
      </c>
      <c r="D1115" s="41" t="n">
        <f aca="false">D1094+D1106*(1-a_tax)-C1102-C1104-D1108-D1110</f>
        <v>-148.026</v>
      </c>
      <c r="E1115" s="41" t="n">
        <f aca="false">E1094+E1106*(1-a_tax)-C1102-C1104-E1108-E1110</f>
        <v>-85.3524</v>
      </c>
      <c r="F1115" s="41" t="n">
        <f aca="false">F1094+F1106*(1-a_tax)-C1102-C1104-F1108-F1110</f>
        <v>-75.68208</v>
      </c>
      <c r="G1115" s="41" t="n">
        <f aca="false">G1094+G1106*(1-a_tax)-C1102-C1104-G1108-G1110</f>
        <v>-62.509536</v>
      </c>
      <c r="H1115" s="41" t="n">
        <f aca="false">H1094+H1106*(1-a_tax)-C1102-C1104-H1108-H1110</f>
        <v>-44.8206912</v>
      </c>
      <c r="I1115" s="41" t="n">
        <f aca="false">I1094+I1106*(1-a_tax)-C1102-C1104-I1108-I1110</f>
        <v>-34.88482944</v>
      </c>
      <c r="J1115" s="41" t="n">
        <f aca="false">J1094+J1106*(1-a_tax)-C1102-C1104-J1108-J1110</f>
        <v>-22.961795328</v>
      </c>
      <c r="K1115" s="41" t="n">
        <f aca="false">K1094+K1106*(1-a_tax)-C1102-C1104-K1108-K1110</f>
        <v>-8.65415439360001</v>
      </c>
      <c r="L1115" s="41" t="n">
        <f aca="false">L1094+L1106*(1-a_tax)-C1102-C1104-L1108-L1110</f>
        <v>8.51501472768</v>
      </c>
      <c r="M1115" s="41" t="n">
        <f aca="false">M1094+M1106*(1-a_tax)-C1102-C1104-M1108-M1110</f>
        <v>29.118017673216</v>
      </c>
    </row>
    <row r="1116" customFormat="false" ht="15" hidden="false" customHeight="false" outlineLevel="0" collapsed="false">
      <c r="A1116" s="9" t="s">
        <v>497</v>
      </c>
      <c r="C1116" s="36" t="n">
        <f aca="false">C1111+C1115</f>
        <v>385.5</v>
      </c>
      <c r="D1116" s="36" t="n">
        <f aca="false">D1111+D1115</f>
        <v>331.974</v>
      </c>
      <c r="E1116" s="36" t="n">
        <f aca="false">E1111+E1115</f>
        <v>394.6476</v>
      </c>
      <c r="F1116" s="36" t="n">
        <f aca="false">F1111+F1115</f>
        <v>404.31792</v>
      </c>
      <c r="G1116" s="36" t="n">
        <f aca="false">G1111+G1115</f>
        <v>417.490464</v>
      </c>
      <c r="H1116" s="36" t="n">
        <f aca="false">H1111+H1115</f>
        <v>435.1793088</v>
      </c>
      <c r="I1116" s="36" t="n">
        <f aca="false">I1111+I1115</f>
        <v>445.11517056</v>
      </c>
      <c r="J1116" s="36" t="n">
        <f aca="false">J1111+J1115</f>
        <v>457.038204672</v>
      </c>
      <c r="K1116" s="36" t="n">
        <f aca="false">K1111+K1115</f>
        <v>471.3458456064</v>
      </c>
      <c r="L1116" s="36" t="n">
        <f aca="false">L1111+L1115</f>
        <v>488.51501472768</v>
      </c>
      <c r="M1116" s="36" t="n">
        <f aca="false">M1111+M1115</f>
        <v>509.118017673216</v>
      </c>
    </row>
    <row r="1117" customFormat="false" ht="15" hidden="false" customHeight="false" outlineLevel="0" collapsed="false">
      <c r="A1117" s="4" t="s">
        <v>498</v>
      </c>
      <c r="C1117" s="48" t="n">
        <f aca="false">C1116/C1101</f>
        <v>5.92858021653543</v>
      </c>
      <c r="D1117" s="48" t="n">
        <f aca="false">D1116/C1101</f>
        <v>5.10540723425197</v>
      </c>
      <c r="E1117" s="48" t="n">
        <f aca="false">E1116/C1101</f>
        <v>6.06926058070866</v>
      </c>
      <c r="F1117" s="48" t="n">
        <f aca="false">F1116/C1101</f>
        <v>6.21797982283465</v>
      </c>
      <c r="G1117" s="48" t="n">
        <f aca="false">G1116/C1101</f>
        <v>6.42055954724409</v>
      </c>
      <c r="H1117" s="48" t="n">
        <f aca="false">H1116/C1101</f>
        <v>6.69259517716535</v>
      </c>
      <c r="I1117" s="48" t="n">
        <f aca="false">I1116/C1101</f>
        <v>6.84539816929134</v>
      </c>
      <c r="J1117" s="48" t="n">
        <f aca="false">J1116/C1101</f>
        <v>7.02876175984252</v>
      </c>
      <c r="K1117" s="48" t="n">
        <f aca="false">K1116/C1101</f>
        <v>7.24879806850394</v>
      </c>
      <c r="L1117" s="48" t="n">
        <f aca="false">L1116/C1101</f>
        <v>7.51284163889764</v>
      </c>
      <c r="M1117" s="48" t="n">
        <f aca="false">M1116/C1101</f>
        <v>7.82969392337008</v>
      </c>
    </row>
    <row r="1118" customFormat="false" ht="15" hidden="false" customHeight="false" outlineLevel="0" collapsed="false">
      <c r="A1118" s="4" t="s">
        <v>499</v>
      </c>
      <c r="C1118" s="14" t="n">
        <f aca="false">C1117/cf_eps-1</f>
        <v>-0.209522637795276</v>
      </c>
      <c r="D1118" s="14" t="n">
        <f aca="false">D1117/cf_eps-1</f>
        <v>-0.319279035433071</v>
      </c>
      <c r="E1118" s="14" t="n">
        <f aca="false">E1117/cf_eps-1</f>
        <v>-0.190765255905512</v>
      </c>
      <c r="F1118" s="14" t="n">
        <f aca="false">F1117/cf_eps-1</f>
        <v>-0.170936023622047</v>
      </c>
      <c r="G1118" s="14" t="n">
        <f aca="false">G1117/cf_eps-1</f>
        <v>-0.143925393700787</v>
      </c>
      <c r="H1118" s="14" t="n">
        <f aca="false">H1117/cf_eps-1</f>
        <v>-0.107653976377953</v>
      </c>
      <c r="I1118" s="14" t="n">
        <f aca="false">I1117/cf_eps-1</f>
        <v>-0.0872802440944882</v>
      </c>
      <c r="J1118" s="14" t="n">
        <f aca="false">J1117/cf_eps-1</f>
        <v>-0.0628317653543307</v>
      </c>
      <c r="K1118" s="14" t="n">
        <f aca="false">K1117/cf_eps-1</f>
        <v>-0.0334935908661418</v>
      </c>
      <c r="L1118" s="14" t="n">
        <f aca="false">L1117/cf_eps-1</f>
        <v>0.00171221851968495</v>
      </c>
      <c r="M1118" s="14" t="n">
        <f aca="false">M1117/cf_eps-1</f>
        <v>0.0439591897826772</v>
      </c>
    </row>
    <row r="1119" customFormat="false" ht="15" hidden="false" customHeight="false" outlineLevel="0" collapsed="false">
      <c r="A1119" s="9" t="s">
        <v>500</v>
      </c>
      <c r="C1119" s="50" t="n">
        <f aca="false">C1117</f>
        <v>5.92858021653543</v>
      </c>
      <c r="D1119" s="50" t="n">
        <f aca="false">(D1116+D1112)/C1101</f>
        <v>6.16655388779528</v>
      </c>
      <c r="E1119" s="50" t="n">
        <f aca="false">(E1116+E1112)/C1101</f>
        <v>7.13040723425197</v>
      </c>
      <c r="F1119" s="50" t="n">
        <f aca="false">(F1116+F1112)/C1101</f>
        <v>7.27912647637795</v>
      </c>
      <c r="G1119" s="50" t="n">
        <f aca="false">(G1116+G1112)/C1101</f>
        <v>7.4817062007874</v>
      </c>
      <c r="H1119" s="50" t="n">
        <f aca="false">(H1116+H1112)/C1101</f>
        <v>7.75374183070866</v>
      </c>
      <c r="I1119" s="50" t="n">
        <f aca="false">(I1116+I1112)/C1101</f>
        <v>7.90654482283465</v>
      </c>
      <c r="J1119" s="50" t="n">
        <f aca="false">(J1116+J1112)/C1101</f>
        <v>8.08990841338583</v>
      </c>
      <c r="K1119" s="50" t="n">
        <f aca="false">(K1116+K1112)/C1101</f>
        <v>8.30994472204724</v>
      </c>
      <c r="L1119" s="50" t="n">
        <f aca="false">(L1116+L1112)/C1101</f>
        <v>8.57398829244094</v>
      </c>
      <c r="M1119" s="50" t="n">
        <f aca="false">(M1116+M1112)/C1101</f>
        <v>8.89084057691339</v>
      </c>
    </row>
    <row r="1120" customFormat="false" ht="15" hidden="false" customHeight="false" outlineLevel="0" collapsed="false">
      <c r="A1120" s="9" t="s">
        <v>501</v>
      </c>
      <c r="C1120" s="18" t="n">
        <f aca="false">C1118</f>
        <v>-0.209522637795276</v>
      </c>
      <c r="D1120" s="18" t="n">
        <f aca="false">D1119/D1114-1</f>
        <v>-0.281130330020223</v>
      </c>
      <c r="E1120" s="18" t="n">
        <f aca="false">E1119/E1114-1</f>
        <v>-0.168768555569898</v>
      </c>
      <c r="F1120" s="18" t="n">
        <f aca="false">F1119/F1114-1</f>
        <v>-0.151431521879437</v>
      </c>
      <c r="G1120" s="18" t="n">
        <f aca="false">G1119/G1114-1</f>
        <v>-0.127815670582161</v>
      </c>
      <c r="H1120" s="18" t="n">
        <f aca="false">H1119/H1114-1</f>
        <v>-0.0961029559829612</v>
      </c>
      <c r="I1120" s="18" t="n">
        <f aca="false">I1119/I1114-1</f>
        <v>-0.0782898567187298</v>
      </c>
      <c r="J1120" s="18" t="n">
        <f aca="false">J1119/J1114-1</f>
        <v>-0.0569141376016523</v>
      </c>
      <c r="K1120" s="18" t="n">
        <f aca="false">K1119/K1114-1</f>
        <v>-0.0312632746611593</v>
      </c>
      <c r="L1120" s="18" t="n">
        <f aca="false">L1119/L1114-1</f>
        <v>-0.000482239132567508</v>
      </c>
      <c r="M1120" s="18" t="n">
        <f aca="false">M1119/M1114-1</f>
        <v>0.0364550035017426</v>
      </c>
    </row>
    <row r="1121" customFormat="false" ht="15" hidden="false" customHeight="false" outlineLevel="0" collapsed="false">
      <c r="A1121" s="9" t="s">
        <v>502</v>
      </c>
      <c r="C1121" s="50" t="n">
        <f aca="false">(C1116+C1104)/C1101</f>
        <v>5.92858021653543</v>
      </c>
      <c r="D1121" s="50" t="n">
        <f aca="false">(D1116+C1104)/C1101</f>
        <v>5.10540723425197</v>
      </c>
      <c r="E1121" s="50" t="n">
        <f aca="false">(E1116+C1104)/C1101</f>
        <v>6.06926058070866</v>
      </c>
      <c r="F1121" s="50" t="n">
        <f aca="false">(F1116+C1104)/C1101</f>
        <v>6.21797982283465</v>
      </c>
      <c r="G1121" s="50" t="n">
        <f aca="false">(G1116+C1104)/C1101</f>
        <v>6.42055954724409</v>
      </c>
      <c r="H1121" s="50" t="n">
        <f aca="false">(H1116+C1104)/C1101</f>
        <v>6.69259517716535</v>
      </c>
      <c r="I1121" s="50" t="n">
        <f aca="false">(I1116+C1104)/C1101</f>
        <v>6.84539816929134</v>
      </c>
      <c r="J1121" s="50" t="n">
        <f aca="false">(J1116+C1104)/C1101</f>
        <v>7.02876175984252</v>
      </c>
      <c r="K1121" s="50" t="n">
        <f aca="false">(K1116+C1104)/C1101</f>
        <v>7.24879806850394</v>
      </c>
      <c r="L1121" s="50" t="n">
        <f aca="false">(L1116+C1104)/C1101</f>
        <v>7.51284163889764</v>
      </c>
      <c r="M1121" s="50" t="n">
        <f aca="false">(M1116+C1104)/C1101</f>
        <v>7.82969392337008</v>
      </c>
    </row>
    <row r="1122" customFormat="false" ht="15" hidden="false" customHeight="false" outlineLevel="0" collapsed="false">
      <c r="A1122" s="9" t="s">
        <v>503</v>
      </c>
      <c r="C1122" s="50" t="n">
        <f aca="false">(C1116-C1103+C1104)/C1101</f>
        <v>4.48680487204724</v>
      </c>
      <c r="D1122" s="50" t="n">
        <f aca="false">(D1116-C1103+C1104)/C1101</f>
        <v>3.66363188976378</v>
      </c>
      <c r="E1122" s="50" t="n">
        <f aca="false">(E1116-C1103+C1104)/C1101</f>
        <v>4.62748523622047</v>
      </c>
      <c r="F1122" s="50" t="n">
        <f aca="false">(F1116-C1103+C1104)/C1101</f>
        <v>4.77620447834646</v>
      </c>
      <c r="G1122" s="50" t="n">
        <f aca="false">(G1116-C1103+C1104)/C1101</f>
        <v>4.97878420275591</v>
      </c>
      <c r="H1122" s="50" t="n">
        <f aca="false">(H1116-C1103+C1104)/C1101</f>
        <v>5.25081983267717</v>
      </c>
      <c r="I1122" s="50" t="n">
        <f aca="false">(I1116-C1103+C1104)/C1101</f>
        <v>5.40362282480315</v>
      </c>
      <c r="J1122" s="50" t="n">
        <f aca="false">(J1116-C1103+C1104)/C1101</f>
        <v>5.58698641535433</v>
      </c>
      <c r="K1122" s="50" t="n">
        <f aca="false">(K1116-C1103+C1104)/C1101</f>
        <v>5.80702272401575</v>
      </c>
      <c r="L1122" s="50" t="n">
        <f aca="false">(L1116-C1103+C1104)/C1101</f>
        <v>6.07106629440945</v>
      </c>
      <c r="M1122" s="50" t="n">
        <f aca="false">(M1116-C1103+C1104)/C1101</f>
        <v>6.38791857888189</v>
      </c>
    </row>
    <row r="1123" customFormat="false" ht="15" hidden="false" customHeight="false" outlineLevel="0" collapsed="false">
      <c r="A1123" s="9" t="s">
        <v>504</v>
      </c>
      <c r="C1123" s="50" t="n">
        <f aca="false">C1111/C1101</f>
        <v>7.38188976377953</v>
      </c>
      <c r="D1123" s="50" t="n">
        <f aca="false">D1111/C1101</f>
        <v>7.38188976377953</v>
      </c>
      <c r="E1123" s="50" t="n">
        <f aca="false">E1111/C1101</f>
        <v>7.38188976377953</v>
      </c>
      <c r="F1123" s="50" t="n">
        <f aca="false">F1111/C1101</f>
        <v>7.38188976377953</v>
      </c>
      <c r="G1123" s="50" t="n">
        <f aca="false">G1111/C1101</f>
        <v>7.38188976377953</v>
      </c>
      <c r="H1123" s="50" t="n">
        <f aca="false">H1111/C1101</f>
        <v>7.38188976377953</v>
      </c>
      <c r="I1123" s="50" t="n">
        <f aca="false">I1111/C1101</f>
        <v>7.38188976377953</v>
      </c>
      <c r="J1123" s="50" t="n">
        <f aca="false">J1111/C1101</f>
        <v>7.38188976377953</v>
      </c>
      <c r="K1123" s="50" t="n">
        <f aca="false">K1111/C1101</f>
        <v>7.38188976377953</v>
      </c>
      <c r="L1123" s="50" t="n">
        <f aca="false">L1111/C1101</f>
        <v>7.38188976377953</v>
      </c>
      <c r="M1123" s="50" t="n">
        <f aca="false">M1111/C1101</f>
        <v>7.38188976377953</v>
      </c>
    </row>
    <row r="1124" customFormat="false" ht="15" hidden="false" customHeight="false" outlineLevel="0" collapsed="false">
      <c r="A1124" s="9" t="s">
        <v>505</v>
      </c>
      <c r="D1124" s="36" t="n">
        <f aca="false">D1097+D1106*(1-a_tax)-D1107-IF(D1084=1,C1105,0)</f>
        <v>-209.786</v>
      </c>
      <c r="E1124" s="36" t="n">
        <f aca="false">E1097+E1106*(1-a_tax)-E1107-IF(E1084=1,C1105,0)</f>
        <v>7.6956</v>
      </c>
      <c r="F1124" s="36" t="n">
        <f aca="false">F1097+F1106*(1-a_tax)-F1107-IF(F1084=1,C1105,0)</f>
        <v>17.07552</v>
      </c>
      <c r="G1124" s="36" t="n">
        <f aca="false">G1097+G1106*(1-a_tax)-G1107-IF(G1084=1,C1105,0)</f>
        <v>29.899584</v>
      </c>
      <c r="H1124" s="36" t="n">
        <f aca="false">H1097+H1106*(1-a_tax)-H1107-IF(H1084=1,C1105,0)</f>
        <v>47.1702528</v>
      </c>
      <c r="I1124" s="36" t="n">
        <f aca="false">I1097+I1106*(1-a_tax)-I1107-IF(I1084=1,C1105,0)</f>
        <v>56.60430336</v>
      </c>
      <c r="J1124" s="36" t="n">
        <f aca="false">J1097+J1106*(1-a_tax)-J1107-IF(J1084=1,C1105,0)</f>
        <v>67.925164032</v>
      </c>
      <c r="K1124" s="36" t="n">
        <f aca="false">K1097+K1106*(1-a_tax)-K1107-IF(K1084=1,C1105,0)</f>
        <v>81.5101968384</v>
      </c>
      <c r="L1124" s="36" t="n">
        <f aca="false">L1097+L1106*(1-a_tax)-L1107-IF(L1084=1,C1105,0)</f>
        <v>97.81223620608</v>
      </c>
      <c r="M1124" s="36" t="n">
        <f aca="false">M1097+M1106*(1-a_tax)-M1107-IF(M1084=1,C1105,0)</f>
        <v>117.374683447296</v>
      </c>
    </row>
    <row r="1125" customFormat="false" ht="15" hidden="false" customHeight="false" outlineLevel="0" collapsed="false">
      <c r="A1125" s="4" t="s">
        <v>506</v>
      </c>
      <c r="D1125" s="41" t="n">
        <f aca="false">D1124-C1102</f>
        <v>-304.286</v>
      </c>
      <c r="E1125" s="41" t="n">
        <f aca="false">E1124-C1102</f>
        <v>-86.8044</v>
      </c>
      <c r="F1125" s="41" t="n">
        <f aca="false">F1124-C1102</f>
        <v>-77.42448</v>
      </c>
      <c r="G1125" s="41" t="n">
        <f aca="false">G1124-C1102</f>
        <v>-64.600416</v>
      </c>
      <c r="H1125" s="41" t="n">
        <f aca="false">H1124-C1102</f>
        <v>-47.3297472</v>
      </c>
      <c r="I1125" s="41" t="n">
        <f aca="false">I1124-C1102</f>
        <v>-37.89569664</v>
      </c>
      <c r="J1125" s="41" t="n">
        <f aca="false">J1124-C1102</f>
        <v>-26.574835968</v>
      </c>
      <c r="K1125" s="41" t="n">
        <f aca="false">K1124-C1102</f>
        <v>-12.9898031616</v>
      </c>
      <c r="L1125" s="41" t="n">
        <f aca="false">L1124-C1102</f>
        <v>3.31223620608</v>
      </c>
      <c r="M1125" s="41" t="n">
        <f aca="false">M1124-C1102</f>
        <v>22.874683447296</v>
      </c>
    </row>
    <row r="1126" customFormat="false" ht="15" hidden="false" customHeight="false" outlineLevel="0" collapsed="false">
      <c r="A1126" s="9" t="s">
        <v>507</v>
      </c>
      <c r="C1126" s="36" t="n">
        <f aca="false">0</f>
        <v>0</v>
      </c>
      <c r="D1126" s="36" t="n">
        <f aca="false">D1112</f>
        <v>69</v>
      </c>
      <c r="E1126" s="36" t="n">
        <f aca="false">E1112</f>
        <v>69</v>
      </c>
      <c r="F1126" s="36" t="n">
        <f aca="false">F1112</f>
        <v>69</v>
      </c>
      <c r="G1126" s="36" t="n">
        <f aca="false">G1112</f>
        <v>69</v>
      </c>
      <c r="H1126" s="36" t="n">
        <f aca="false">H1112</f>
        <v>69</v>
      </c>
      <c r="I1126" s="36" t="n">
        <f aca="false">I1112</f>
        <v>69</v>
      </c>
      <c r="J1126" s="36" t="n">
        <f aca="false">J1112</f>
        <v>69</v>
      </c>
      <c r="K1126" s="36" t="n">
        <f aca="false">K1112</f>
        <v>69</v>
      </c>
      <c r="L1126" s="36" t="n">
        <f aca="false">L1112</f>
        <v>69</v>
      </c>
      <c r="M1126" s="36" t="n">
        <f aca="false">M1112</f>
        <v>69</v>
      </c>
    </row>
    <row r="1127" customFormat="false" ht="15" hidden="false" customHeight="false" outlineLevel="0" collapsed="false">
      <c r="A1127" s="9" t="s">
        <v>508</v>
      </c>
      <c r="D1127" s="36" t="n">
        <f aca="false">D1125+D1126</f>
        <v>-235.286</v>
      </c>
      <c r="E1127" s="36" t="n">
        <f aca="false">E1125+E1126</f>
        <v>-17.8044</v>
      </c>
      <c r="F1127" s="36" t="n">
        <f aca="false">F1125+F1126</f>
        <v>-8.42447999999999</v>
      </c>
      <c r="G1127" s="36" t="n">
        <f aca="false">G1125+G1126</f>
        <v>4.399584</v>
      </c>
      <c r="H1127" s="36" t="n">
        <f aca="false">H1125+H1126</f>
        <v>21.6702528</v>
      </c>
      <c r="I1127" s="36" t="n">
        <f aca="false">I1125+I1126</f>
        <v>31.10430336</v>
      </c>
      <c r="J1127" s="36" t="n">
        <f aca="false">J1125+J1126</f>
        <v>42.425164032</v>
      </c>
      <c r="K1127" s="36" t="n">
        <f aca="false">K1125+K1126</f>
        <v>56.0101968384</v>
      </c>
      <c r="L1127" s="36" t="n">
        <f aca="false">L1125+L1126</f>
        <v>72.31223620608</v>
      </c>
      <c r="M1127" s="36" t="n">
        <f aca="false">M1125+M1126</f>
        <v>91.874683447296</v>
      </c>
    </row>
    <row r="1128" customFormat="false" ht="15" hidden="false" customHeight="false" outlineLevel="0" collapsed="false">
      <c r="A1128" s="9" t="s">
        <v>509</v>
      </c>
      <c r="D1128" s="36" t="n">
        <f aca="false">IF(lv_mdr_in_deal=1,D1127,D1125)</f>
        <v>-304.286</v>
      </c>
      <c r="E1128" s="36" t="n">
        <f aca="false">IF(lv_mdr_in_deal=1,E1127,E1125)</f>
        <v>-86.8044</v>
      </c>
      <c r="F1128" s="36" t="n">
        <f aca="false">IF(lv_mdr_in_deal=1,F1127,F1125)</f>
        <v>-77.42448</v>
      </c>
      <c r="G1128" s="36" t="n">
        <f aca="false">IF(lv_mdr_in_deal=1,G1127,G1125)</f>
        <v>-64.600416</v>
      </c>
      <c r="H1128" s="36" t="n">
        <f aca="false">IF(lv_mdr_in_deal=1,H1127,H1125)</f>
        <v>-47.3297472</v>
      </c>
      <c r="I1128" s="36" t="n">
        <f aca="false">IF(lv_mdr_in_deal=1,I1127,I1125)</f>
        <v>-37.89569664</v>
      </c>
      <c r="J1128" s="36" t="n">
        <f aca="false">IF(lv_mdr_in_deal=1,J1127,J1125)</f>
        <v>-26.574835968</v>
      </c>
      <c r="K1128" s="36" t="n">
        <f aca="false">IF(lv_mdr_in_deal=1,K1127,K1125)</f>
        <v>-12.9898031616</v>
      </c>
      <c r="L1128" s="36" t="n">
        <f aca="false">IF(lv_mdr_in_deal=1,L1127,L1125)</f>
        <v>3.31223620608</v>
      </c>
      <c r="M1128" s="36" t="n">
        <f aca="false">IF(lv_mdr_in_deal=1,M1127,M1125)</f>
        <v>22.874683447296</v>
      </c>
    </row>
    <row r="1129" customFormat="false" ht="15" hidden="false" customHeight="false" outlineLevel="0" collapsed="false">
      <c r="A1129" s="9" t="s">
        <v>510</v>
      </c>
      <c r="C1129" s="36" t="n">
        <f aca="false">-lv_price</f>
        <v>-4000</v>
      </c>
      <c r="D1129" s="36" t="n">
        <f aca="false">C1129+D1128</f>
        <v>-4304.286</v>
      </c>
      <c r="E1129" s="36" t="n">
        <f aca="false">D1129+E1128</f>
        <v>-4391.0904</v>
      </c>
      <c r="F1129" s="36" t="n">
        <f aca="false">E1129+F1128</f>
        <v>-4468.51488</v>
      </c>
      <c r="G1129" s="36" t="n">
        <f aca="false">F1129+G1128</f>
        <v>-4533.115296</v>
      </c>
      <c r="H1129" s="36" t="n">
        <f aca="false">G1129+H1128</f>
        <v>-4580.4450432</v>
      </c>
      <c r="I1129" s="36" t="n">
        <f aca="false">H1129+I1128</f>
        <v>-4618.34073984</v>
      </c>
      <c r="J1129" s="36" t="n">
        <f aca="false">I1129+J1128</f>
        <v>-4644.915575808</v>
      </c>
      <c r="K1129" s="36" t="n">
        <f aca="false">J1129+K1128</f>
        <v>-4657.9053789696</v>
      </c>
      <c r="L1129" s="36" t="n">
        <f aca="false">K1129+L1128</f>
        <v>-4654.59314276352</v>
      </c>
      <c r="M1129" s="36" t="n">
        <f aca="false">L1129+M1128</f>
        <v>-4631.71845931623</v>
      </c>
    </row>
    <row r="1130" customFormat="false" ht="15" hidden="false" customHeight="false" outlineLevel="0" collapsed="false">
      <c r="A1130" s="9" t="s">
        <v>511</v>
      </c>
      <c r="C1130" s="43" t="n">
        <f aca="false">1</f>
        <v>1</v>
      </c>
      <c r="D1130" s="43" t="n">
        <f aca="false">1/(1+lv_wacc)^D1084</f>
        <v>0.884955752212389</v>
      </c>
      <c r="E1130" s="43" t="n">
        <f aca="false">1/(1+lv_wacc)^E1084</f>
        <v>0.783146683373796</v>
      </c>
      <c r="F1130" s="43" t="n">
        <f aca="false">1/(1+lv_wacc)^F1084</f>
        <v>0.693050162277696</v>
      </c>
      <c r="G1130" s="43" t="n">
        <f aca="false">1/(1+lv_wacc)^G1084</f>
        <v>0.613318727679377</v>
      </c>
      <c r="H1130" s="43" t="n">
        <f aca="false">1/(1+lv_wacc)^H1084</f>
        <v>0.542759935999449</v>
      </c>
      <c r="I1130" s="43" t="n">
        <f aca="false">1/(1+lv_wacc)^I1084</f>
        <v>0.48031852743314</v>
      </c>
      <c r="J1130" s="43" t="n">
        <f aca="false">1/(1+lv_wacc)^J1084</f>
        <v>0.425060643746142</v>
      </c>
      <c r="K1130" s="43" t="n">
        <f aca="false">1/(1+lv_wacc)^K1084</f>
        <v>0.37615986172225</v>
      </c>
      <c r="L1130" s="43" t="n">
        <f aca="false">1/(1+lv_wacc)^L1084</f>
        <v>0.332884833382522</v>
      </c>
      <c r="M1130" s="43" t="n">
        <f aca="false">1/(1+lv_wacc)^M1084</f>
        <v>0.294588348126126</v>
      </c>
    </row>
    <row r="1131" customFormat="false" ht="15" hidden="false" customHeight="false" outlineLevel="0" collapsed="false">
      <c r="A1131" s="9" t="s">
        <v>512</v>
      </c>
      <c r="C1131" s="46" t="n">
        <f aca="false">99</f>
        <v>99</v>
      </c>
      <c r="D1131" s="46" t="n">
        <f aca="false">IF(D1115&gt;=0,D1084,99)</f>
        <v>99</v>
      </c>
      <c r="E1131" s="46" t="n">
        <f aca="false">IF(E1115&gt;=0,E1084,99)</f>
        <v>99</v>
      </c>
      <c r="F1131" s="46" t="n">
        <f aca="false">IF(F1115&gt;=0,F1084,99)</f>
        <v>99</v>
      </c>
      <c r="G1131" s="46" t="n">
        <f aca="false">IF(G1115&gt;=0,G1084,99)</f>
        <v>99</v>
      </c>
      <c r="H1131" s="46" t="n">
        <f aca="false">IF(H1115&gt;=0,H1084,99)</f>
        <v>99</v>
      </c>
      <c r="I1131" s="46" t="n">
        <f aca="false">IF(I1115&gt;=0,I1084,99)</f>
        <v>99</v>
      </c>
      <c r="J1131" s="46" t="n">
        <f aca="false">IF(J1115&gt;=0,J1084,99)</f>
        <v>99</v>
      </c>
      <c r="K1131" s="46" t="n">
        <f aca="false">IF(K1115&gt;=0,K1084,99)</f>
        <v>99</v>
      </c>
      <c r="L1131" s="46" t="n">
        <f aca="false">IF(L1115&gt;=0,L1084,99)</f>
        <v>9</v>
      </c>
      <c r="M1131" s="46" t="n">
        <f aca="false">IF(M1115&gt;=0,M1084,99)</f>
        <v>10</v>
      </c>
    </row>
    <row r="1132" customFormat="false" ht="15" hidden="false" customHeight="false" outlineLevel="0" collapsed="false">
      <c r="A1132" s="9" t="s">
        <v>513</v>
      </c>
      <c r="C1132" s="46" t="n">
        <f aca="false">99</f>
        <v>99</v>
      </c>
      <c r="D1132" s="46" t="n">
        <f aca="false">IF(D1115+D1112&gt;=0,D1084,99)</f>
        <v>99</v>
      </c>
      <c r="E1132" s="46" t="n">
        <f aca="false">IF(E1115+E1112&gt;=0,E1084,99)</f>
        <v>99</v>
      </c>
      <c r="F1132" s="46" t="n">
        <f aca="false">IF(F1115+F1112&gt;=0,F1084,99)</f>
        <v>99</v>
      </c>
      <c r="G1132" s="46" t="n">
        <f aca="false">IF(G1115+G1112&gt;=0,G1084,99)</f>
        <v>4</v>
      </c>
      <c r="H1132" s="46" t="n">
        <f aca="false">IF(H1115+H1112&gt;=0,H1084,99)</f>
        <v>5</v>
      </c>
      <c r="I1132" s="46" t="n">
        <f aca="false">IF(I1115+I1112&gt;=0,I1084,99)</f>
        <v>6</v>
      </c>
      <c r="J1132" s="46" t="n">
        <f aca="false">IF(J1115+J1112&gt;=0,J1084,99)</f>
        <v>7</v>
      </c>
      <c r="K1132" s="46" t="n">
        <f aca="false">IF(K1115+K1112&gt;=0,K1084,99)</f>
        <v>8</v>
      </c>
      <c r="L1132" s="46" t="n">
        <f aca="false">IF(L1115+L1112&gt;=0,L1084,99)</f>
        <v>9</v>
      </c>
      <c r="M1132" s="46" t="n">
        <f aca="false">IF(M1115+M1112&gt;=0,M1084,99)</f>
        <v>10</v>
      </c>
    </row>
    <row r="1133" customFormat="false" ht="15" hidden="false" customHeight="false" outlineLevel="0" collapsed="false">
      <c r="A1133" s="9" t="s">
        <v>514</v>
      </c>
      <c r="C1133" s="46" t="n">
        <f aca="false">99</f>
        <v>99</v>
      </c>
      <c r="D1133" s="46" t="n">
        <f aca="false">IF(D1125&gt;=0,D1084,99)</f>
        <v>99</v>
      </c>
      <c r="E1133" s="46" t="n">
        <f aca="false">IF(E1125&gt;=0,E1084,99)</f>
        <v>99</v>
      </c>
      <c r="F1133" s="46" t="n">
        <f aca="false">IF(F1125&gt;=0,F1084,99)</f>
        <v>99</v>
      </c>
      <c r="G1133" s="46" t="n">
        <f aca="false">IF(G1125&gt;=0,G1084,99)</f>
        <v>99</v>
      </c>
      <c r="H1133" s="46" t="n">
        <f aca="false">IF(H1125&gt;=0,H1084,99)</f>
        <v>99</v>
      </c>
      <c r="I1133" s="46" t="n">
        <f aca="false">IF(I1125&gt;=0,I1084,99)</f>
        <v>99</v>
      </c>
      <c r="J1133" s="46" t="n">
        <f aca="false">IF(J1125&gt;=0,J1084,99)</f>
        <v>99</v>
      </c>
      <c r="K1133" s="46" t="n">
        <f aca="false">IF(K1125&gt;=0,K1084,99)</f>
        <v>99</v>
      </c>
      <c r="L1133" s="46" t="n">
        <f aca="false">IF(L1125&gt;=0,L1084,99)</f>
        <v>9</v>
      </c>
      <c r="M1133" s="46" t="n">
        <f aca="false">IF(M1125&gt;=0,M1084,99)</f>
        <v>10</v>
      </c>
    </row>
    <row r="1134" customFormat="false" ht="15" hidden="false" customHeight="false" outlineLevel="0" collapsed="false">
      <c r="A1134" s="9" t="s">
        <v>515</v>
      </c>
      <c r="C1134" s="46" t="n">
        <f aca="false">99</f>
        <v>99</v>
      </c>
      <c r="D1134" s="46" t="n">
        <f aca="false">IF(D1127&gt;=0,D1084,99)</f>
        <v>99</v>
      </c>
      <c r="E1134" s="46" t="n">
        <f aca="false">IF(E1127&gt;=0,E1084,99)</f>
        <v>99</v>
      </c>
      <c r="F1134" s="46" t="n">
        <f aca="false">IF(F1127&gt;=0,F1084,99)</f>
        <v>99</v>
      </c>
      <c r="G1134" s="46" t="n">
        <f aca="false">IF(G1127&gt;=0,G1084,99)</f>
        <v>4</v>
      </c>
      <c r="H1134" s="46" t="n">
        <f aca="false">IF(H1127&gt;=0,H1084,99)</f>
        <v>5</v>
      </c>
      <c r="I1134" s="46" t="n">
        <f aca="false">IF(I1127&gt;=0,I1084,99)</f>
        <v>6</v>
      </c>
      <c r="J1134" s="46" t="n">
        <f aca="false">IF(J1127&gt;=0,J1084,99)</f>
        <v>7</v>
      </c>
      <c r="K1134" s="46" t="n">
        <f aca="false">IF(K1127&gt;=0,K1084,99)</f>
        <v>8</v>
      </c>
      <c r="L1134" s="46" t="n">
        <f aca="false">IF(L1127&gt;=0,L1084,99)</f>
        <v>9</v>
      </c>
      <c r="M1134" s="46" t="n">
        <f aca="false">IF(M1127&gt;=0,M1084,99)</f>
        <v>10</v>
      </c>
    </row>
    <row r="1135" customFormat="false" ht="15" hidden="false" customHeight="false" outlineLevel="0" collapsed="false">
      <c r="A1135" s="9" t="s">
        <v>516</v>
      </c>
      <c r="C1135" s="46" t="n">
        <f aca="false">99</f>
        <v>99</v>
      </c>
      <c r="D1135" s="46" t="n">
        <f aca="false">IF(D1129&gt;=0,D1084,99)</f>
        <v>99</v>
      </c>
      <c r="E1135" s="46" t="n">
        <f aca="false">IF(E1129&gt;=0,E1084,99)</f>
        <v>99</v>
      </c>
      <c r="F1135" s="46" t="n">
        <f aca="false">IF(F1129&gt;=0,F1084,99)</f>
        <v>99</v>
      </c>
      <c r="G1135" s="46" t="n">
        <f aca="false">IF(G1129&gt;=0,G1084,99)</f>
        <v>99</v>
      </c>
      <c r="H1135" s="46" t="n">
        <f aca="false">IF(H1129&gt;=0,H1084,99)</f>
        <v>99</v>
      </c>
      <c r="I1135" s="46" t="n">
        <f aca="false">IF(I1129&gt;=0,I1084,99)</f>
        <v>99</v>
      </c>
      <c r="J1135" s="46" t="n">
        <f aca="false">IF(J1129&gt;=0,J1084,99)</f>
        <v>99</v>
      </c>
      <c r="K1135" s="46" t="n">
        <f aca="false">IF(K1129&gt;=0,K1084,99)</f>
        <v>99</v>
      </c>
      <c r="L1135" s="46" t="n">
        <f aca="false">IF(L1129&gt;=0,L1084,99)</f>
        <v>99</v>
      </c>
      <c r="M1135" s="46" t="n">
        <f aca="false">IF(M1129&gt;=0,M1084,99)</f>
        <v>99</v>
      </c>
    </row>
    <row r="1136" customFormat="false" ht="15" hidden="false" customHeight="false" outlineLevel="0" collapsed="false">
      <c r="A1136" s="4" t="s">
        <v>517</v>
      </c>
      <c r="C1136" s="23" t="n">
        <f aca="false">MIN(D1131:M1131)</f>
        <v>9</v>
      </c>
    </row>
    <row r="1137" customFormat="false" ht="15" hidden="false" customHeight="false" outlineLevel="0" collapsed="false">
      <c r="A1137" s="9" t="s">
        <v>518</v>
      </c>
      <c r="C1137" s="46" t="n">
        <f aca="false">MIN(D1132:M1132)</f>
        <v>4</v>
      </c>
    </row>
    <row r="1138" customFormat="false" ht="15" hidden="false" customHeight="false" outlineLevel="0" collapsed="false">
      <c r="A1138" s="4" t="s">
        <v>519</v>
      </c>
      <c r="C1138" s="23" t="n">
        <f aca="false">MIN(D1133:M1133)</f>
        <v>9</v>
      </c>
    </row>
    <row r="1139" customFormat="false" ht="15" hidden="false" customHeight="false" outlineLevel="0" collapsed="false">
      <c r="A1139" s="9" t="s">
        <v>520</v>
      </c>
      <c r="C1139" s="46" t="n">
        <f aca="false">MIN(D1134:M1134)</f>
        <v>4</v>
      </c>
    </row>
    <row r="1140" customFormat="false" ht="15" hidden="false" customHeight="false" outlineLevel="0" collapsed="false">
      <c r="A1140" s="9" t="s">
        <v>521</v>
      </c>
      <c r="C1140" s="46" t="n">
        <f aca="false">MIN(D1135:M1135)</f>
        <v>99</v>
      </c>
    </row>
    <row r="1141" customFormat="false" ht="15" hidden="false" customHeight="false" outlineLevel="0" collapsed="false">
      <c r="A1141" s="4" t="s">
        <v>522</v>
      </c>
      <c r="C1141" s="15" t="n">
        <f aca="false">M1129</f>
        <v>-4631.71845931623</v>
      </c>
    </row>
    <row r="1142" customFormat="false" ht="15" hidden="false" customHeight="false" outlineLevel="0" collapsed="false">
      <c r="A1142" s="9" t="s">
        <v>523</v>
      </c>
      <c r="C1142" s="36" t="n">
        <f aca="false">SUMPRODUCT(D1097:M1097,D1130:M1130)</f>
        <v>171.601364670473</v>
      </c>
    </row>
    <row r="1143" customFormat="false" ht="15" hidden="false" customHeight="false" outlineLevel="0" collapsed="false">
      <c r="A1143" s="9" t="s">
        <v>524</v>
      </c>
      <c r="C1143" s="36" t="n">
        <f aca="false">M1097*(1+a_tg)/(lv_wacc-a_tg)</f>
        <v>1540.54272024576</v>
      </c>
    </row>
    <row r="1144" customFormat="false" ht="15" hidden="false" customHeight="false" outlineLevel="0" collapsed="false">
      <c r="A1144" s="9" t="s">
        <v>314</v>
      </c>
      <c r="C1144" s="36" t="n">
        <f aca="false">C1143*M1130</f>
        <v>453.825935174926</v>
      </c>
    </row>
    <row r="1145" customFormat="false" ht="15" hidden="false" customHeight="false" outlineLevel="0" collapsed="false">
      <c r="A1145" s="4" t="s">
        <v>525</v>
      </c>
      <c r="C1145" s="15" t="n">
        <f aca="false">C1142+C1144</f>
        <v>625.427299845399</v>
      </c>
    </row>
    <row r="1146" customFormat="false" ht="15" hidden="false" customHeight="false" outlineLevel="0" collapsed="false">
      <c r="A1146" s="9" t="s">
        <v>526</v>
      </c>
      <c r="C1146" s="32" t="n">
        <f aca="false">SUMPRODUCT(D1107:M1107,D1130:M1130)-a_recovery*M1109*M1130</f>
        <v>0</v>
      </c>
    </row>
    <row r="1147" customFormat="false" ht="15" hidden="false" customHeight="false" outlineLevel="0" collapsed="false">
      <c r="A1147" s="9" t="s">
        <v>527</v>
      </c>
      <c r="C1147" s="36" t="n">
        <f aca="false">SUMPRODUCT(D1106:M1106,D1130:M1130)*(1-a_tax)</f>
        <v>0</v>
      </c>
    </row>
    <row r="1148" customFormat="false" ht="15" hidden="false" customHeight="false" outlineLevel="0" collapsed="false">
      <c r="A1148" s="9" t="s">
        <v>528</v>
      </c>
      <c r="C1148" s="36" t="n">
        <f aca="false">C1105*D1130</f>
        <v>141.592920353982</v>
      </c>
    </row>
    <row r="1149" customFormat="false" ht="15" hidden="false" customHeight="false" outlineLevel="0" collapsed="false">
      <c r="A1149" s="4" t="s">
        <v>529</v>
      </c>
      <c r="C1149" s="20" t="n">
        <f aca="false">C1145+C1147-C1146-C1148-lv_price</f>
        <v>-3516.16562050858</v>
      </c>
    </row>
    <row r="1150" customFormat="false" ht="15" hidden="false" customHeight="false" outlineLevel="0" collapsed="false">
      <c r="A1150" s="9" t="s">
        <v>530</v>
      </c>
      <c r="C1150" s="32" t="n">
        <f aca="false">C1149+SUMPRODUCT(D1126:M1126,D1130:M1130)</f>
        <v>-3141.75482066783</v>
      </c>
    </row>
    <row r="1151" customFormat="false" ht="15" hidden="false" customHeight="false" outlineLevel="0" collapsed="false">
      <c r="A1151" s="4" t="s">
        <v>531</v>
      </c>
      <c r="C1151" s="59" t="n">
        <f aca="false">lv_price/D1087</f>
        <v>27.5482093663912</v>
      </c>
    </row>
    <row r="1152" customFormat="false" ht="15" hidden="false" customHeight="false" outlineLevel="0" collapsed="false">
      <c r="A1152" s="9" t="s">
        <v>532</v>
      </c>
      <c r="C1152" s="17" t="n">
        <f aca="false">(lv_price+C1146)/D1087</f>
        <v>27.5482093663912</v>
      </c>
    </row>
    <row r="1153" customFormat="false" ht="15" hidden="false" customHeight="false" outlineLevel="0" collapsed="false">
      <c r="A1153" s="4" t="s">
        <v>533</v>
      </c>
      <c r="C1153" s="15" t="n">
        <f aca="false">(C1149+C1146)/SUMPRODUCT(D1130:M1130)</f>
        <v>-647.992600422546</v>
      </c>
    </row>
    <row r="1154" customFormat="false" ht="15" hidden="false" customHeight="false" outlineLevel="0" collapsed="false">
      <c r="A1154" s="4" t="s">
        <v>534</v>
      </c>
      <c r="C1154" s="25" t="n">
        <f aca="false">D1117</f>
        <v>5.10540723425197</v>
      </c>
    </row>
    <row r="1155" customFormat="false" ht="15" hidden="false" customHeight="false" outlineLevel="0" collapsed="false">
      <c r="A1155" s="9" t="s">
        <v>535</v>
      </c>
      <c r="C1155" s="50" t="n">
        <f aca="false">F1117</f>
        <v>6.21797982283465</v>
      </c>
    </row>
    <row r="1156" customFormat="false" ht="15" hidden="false" customHeight="false" outlineLevel="0" collapsed="false">
      <c r="A1156" s="4" t="s">
        <v>536</v>
      </c>
      <c r="C1156" s="20" t="n">
        <f aca="false">D1125</f>
        <v>-304.286</v>
      </c>
    </row>
    <row r="1157" customFormat="false" ht="15" hidden="false" customHeight="false" outlineLevel="0" collapsed="false">
      <c r="A1157" s="9" t="s">
        <v>537</v>
      </c>
      <c r="C1157" s="32" t="n">
        <f aca="false">cf_cash-lv_mix_cash-C1105</f>
        <v>6640</v>
      </c>
    </row>
    <row r="1158" customFormat="false" ht="15" hidden="false" customHeight="false" outlineLevel="0" collapsed="false">
      <c r="A1158" s="9" t="s">
        <v>538</v>
      </c>
      <c r="C1158" s="32" t="n">
        <f aca="false">cf_debt+lv_mix_debt</f>
        <v>350</v>
      </c>
    </row>
    <row r="1159" customFormat="false" ht="15" hidden="false" customHeight="false" outlineLevel="0" collapsed="false">
      <c r="A1159" s="9" t="s">
        <v>539</v>
      </c>
      <c r="C1159" s="34" t="n">
        <f aca="false">C1158/cf_ebitda</f>
        <v>0.546875</v>
      </c>
    </row>
    <row r="1160" customFormat="false" ht="15" hidden="false" customHeight="false" outlineLevel="0" collapsed="false">
      <c r="A1160" s="9" t="s">
        <v>540</v>
      </c>
      <c r="C1160" s="32" t="n">
        <f aca="false">C1157+SUM(D1128:F1128)+3*cf_pat</f>
        <v>7611.48512</v>
      </c>
    </row>
    <row r="1162" customFormat="false" ht="15" hidden="false" customHeight="false" outlineLevel="0" collapsed="false">
      <c r="A1162" s="7" t="s">
        <v>665</v>
      </c>
      <c r="B1162" s="8"/>
      <c r="C1162" s="8"/>
      <c r="D1162" s="8"/>
      <c r="E1162" s="8"/>
      <c r="F1162" s="8"/>
      <c r="G1162" s="8"/>
      <c r="H1162" s="8"/>
      <c r="I1162" s="8"/>
      <c r="J1162" s="8"/>
      <c r="K1162" s="8"/>
      <c r="L1162" s="8"/>
      <c r="M1162" s="8"/>
      <c r="N1162" s="8"/>
    </row>
    <row r="1163" customFormat="false" ht="15" hidden="false" customHeight="false" outlineLevel="0" collapsed="false">
      <c r="A1163" s="4" t="s">
        <v>284</v>
      </c>
      <c r="C1163" s="39" t="n">
        <v>0</v>
      </c>
      <c r="D1163" s="39" t="n">
        <v>1</v>
      </c>
      <c r="E1163" s="39" t="n">
        <v>2</v>
      </c>
      <c r="F1163" s="39" t="n">
        <v>3</v>
      </c>
      <c r="G1163" s="39" t="n">
        <v>4</v>
      </c>
      <c r="H1163" s="39" t="n">
        <v>5</v>
      </c>
      <c r="I1163" s="39" t="n">
        <v>6</v>
      </c>
      <c r="J1163" s="39" t="n">
        <v>7</v>
      </c>
      <c r="K1163" s="39" t="n">
        <v>8</v>
      </c>
      <c r="L1163" s="39" t="n">
        <v>9</v>
      </c>
      <c r="M1163" s="39" t="n">
        <v>10</v>
      </c>
    </row>
    <row r="1164" customFormat="false" ht="15" hidden="false" customHeight="false" outlineLevel="0" collapsed="false">
      <c r="A1164" s="9" t="s">
        <v>285</v>
      </c>
      <c r="C1164" s="40" t="n">
        <f aca="false">cf_arr</f>
        <v>220</v>
      </c>
      <c r="D1164" s="36" t="n">
        <f aca="false">C1164*(1+lv_g)</f>
        <v>264</v>
      </c>
      <c r="E1164" s="36" t="n">
        <f aca="false">D1164*(1+lv_g)</f>
        <v>316.8</v>
      </c>
      <c r="F1164" s="36" t="n">
        <f aca="false">E1164*(1+lv_g)</f>
        <v>380.16</v>
      </c>
      <c r="G1164" s="36" t="n">
        <f aca="false">F1164*(1+lv_g)</f>
        <v>456.192</v>
      </c>
      <c r="H1164" s="36" t="n">
        <f aca="false">G1164*(1+lv_g)</f>
        <v>547.4304</v>
      </c>
      <c r="I1164" s="36" t="n">
        <f aca="false">H1164*(1+lv_g)</f>
        <v>656.91648</v>
      </c>
      <c r="J1164" s="36" t="n">
        <f aca="false">I1164*(1+lv_g)</f>
        <v>788.299776</v>
      </c>
      <c r="K1164" s="36" t="n">
        <f aca="false">J1164*(1+lv_g)</f>
        <v>945.9597312</v>
      </c>
      <c r="L1164" s="36" t="n">
        <f aca="false">K1164*(1+lv_g)</f>
        <v>1135.15167744</v>
      </c>
      <c r="M1164" s="36" t="n">
        <f aca="false">L1164*(1+lv_g)</f>
        <v>1362.182012928</v>
      </c>
    </row>
    <row r="1165" customFormat="false" ht="15" hidden="false" customHeight="false" outlineLevel="0" collapsed="false">
      <c r="A1165" s="9" t="s">
        <v>286</v>
      </c>
      <c r="C1165" s="18" t="n">
        <f aca="false">1</f>
        <v>1</v>
      </c>
      <c r="D1165" s="18" t="n">
        <f aca="false">IF(D1163&gt;=a_churn_year,1-Churn!$A$20,1)</f>
        <v>0.5</v>
      </c>
      <c r="E1165" s="18" t="n">
        <f aca="false">IF(E1163&gt;=a_churn_year,1-Churn!$A$20,1)</f>
        <v>0.5</v>
      </c>
      <c r="F1165" s="18" t="n">
        <f aca="false">IF(F1163&gt;=a_churn_year,1-Churn!$A$20,1)</f>
        <v>0.5</v>
      </c>
      <c r="G1165" s="18" t="n">
        <f aca="false">IF(G1163&gt;=a_churn_year,1-Churn!$A$20,1)</f>
        <v>0.5</v>
      </c>
      <c r="H1165" s="18" t="n">
        <f aca="false">IF(H1163&gt;=a_churn_year,1-Churn!$A$20,1)</f>
        <v>0.5</v>
      </c>
      <c r="I1165" s="18" t="n">
        <f aca="false">IF(I1163&gt;=a_churn_year,1-Churn!$A$20,1)</f>
        <v>0.5</v>
      </c>
      <c r="J1165" s="18" t="n">
        <f aca="false">IF(J1163&gt;=a_churn_year,1-Churn!$A$20,1)</f>
        <v>0.5</v>
      </c>
      <c r="K1165" s="18" t="n">
        <f aca="false">IF(K1163&gt;=a_churn_year,1-Churn!$A$20,1)</f>
        <v>0.5</v>
      </c>
      <c r="L1165" s="18" t="n">
        <f aca="false">IF(L1163&gt;=a_churn_year,1-Churn!$A$20,1)</f>
        <v>0.5</v>
      </c>
      <c r="M1165" s="18" t="n">
        <f aca="false">IF(M1163&gt;=a_churn_year,1-Churn!$A$20,1)</f>
        <v>0.5</v>
      </c>
    </row>
    <row r="1166" customFormat="false" ht="15" hidden="false" customHeight="false" outlineLevel="0" collapsed="false">
      <c r="A1166" s="4" t="s">
        <v>287</v>
      </c>
      <c r="C1166" s="41" t="n">
        <f aca="false">C1164*C1165</f>
        <v>220</v>
      </c>
      <c r="D1166" s="41" t="n">
        <f aca="false">D1164*D1165</f>
        <v>132</v>
      </c>
      <c r="E1166" s="41" t="n">
        <f aca="false">E1164*E1165</f>
        <v>158.4</v>
      </c>
      <c r="F1166" s="41" t="n">
        <f aca="false">F1164*F1165</f>
        <v>190.08</v>
      </c>
      <c r="G1166" s="41" t="n">
        <f aca="false">G1164*G1165</f>
        <v>228.096</v>
      </c>
      <c r="H1166" s="41" t="n">
        <f aca="false">H1164*H1165</f>
        <v>273.7152</v>
      </c>
      <c r="I1166" s="41" t="n">
        <f aca="false">I1164*I1165</f>
        <v>328.45824</v>
      </c>
      <c r="J1166" s="41" t="n">
        <f aca="false">J1164*J1165</f>
        <v>394.149888</v>
      </c>
      <c r="K1166" s="41" t="n">
        <f aca="false">K1164*K1165</f>
        <v>472.9798656</v>
      </c>
      <c r="L1166" s="41" t="n">
        <f aca="false">L1164*L1165</f>
        <v>567.57583872</v>
      </c>
      <c r="M1166" s="41" t="n">
        <f aca="false">M1164*M1165</f>
        <v>681.091006464</v>
      </c>
    </row>
    <row r="1167" customFormat="false" ht="15" hidden="false" customHeight="false" outlineLevel="0" collapsed="false">
      <c r="A1167" s="9" t="s">
        <v>288</v>
      </c>
      <c r="C1167" s="18" t="n">
        <f aca="false">MIN(a_m0+a_mstep*C1163,a_mcap)</f>
        <v>0</v>
      </c>
      <c r="D1167" s="18" t="n">
        <f aca="false">MIN(a_m0+a_mstep*D1163,a_mcap)</f>
        <v>0.05</v>
      </c>
      <c r="E1167" s="18" t="n">
        <f aca="false">MIN(a_m0+a_mstep*E1163,a_mcap)</f>
        <v>0.1</v>
      </c>
      <c r="F1167" s="18" t="n">
        <f aca="false">MIN(a_m0+a_mstep*F1163,a_mcap)</f>
        <v>0.15</v>
      </c>
      <c r="G1167" s="18" t="n">
        <f aca="false">MIN(a_m0+a_mstep*G1163,a_mcap)</f>
        <v>0.2</v>
      </c>
      <c r="H1167" s="18" t="n">
        <f aca="false">MIN(a_m0+a_mstep*H1163,a_mcap)</f>
        <v>0.25</v>
      </c>
      <c r="I1167" s="18" t="n">
        <f aca="false">MIN(a_m0+a_mstep*I1163,a_mcap)</f>
        <v>0.25</v>
      </c>
      <c r="J1167" s="18" t="n">
        <f aca="false">MIN(a_m0+a_mstep*J1163,a_mcap)</f>
        <v>0.25</v>
      </c>
      <c r="K1167" s="18" t="n">
        <f aca="false">MIN(a_m0+a_mstep*K1163,a_mcap)</f>
        <v>0.25</v>
      </c>
      <c r="L1167" s="18" t="n">
        <f aca="false">MIN(a_m0+a_mstep*L1163,a_mcap)</f>
        <v>0.25</v>
      </c>
      <c r="M1167" s="18" t="n">
        <f aca="false">MIN(a_m0+a_mstep*M1163,a_mcap)</f>
        <v>0.25</v>
      </c>
    </row>
    <row r="1168" customFormat="false" ht="15" hidden="false" customHeight="false" outlineLevel="0" collapsed="false">
      <c r="A1168" s="9" t="s">
        <v>289</v>
      </c>
      <c r="C1168" s="36" t="n">
        <f aca="false">IF(C1163=a_churn_year,a_sticky*(C1164-C1166)*(1-C1167),0)</f>
        <v>0</v>
      </c>
      <c r="D1168" s="36" t="n">
        <f aca="false">IF(D1163=a_churn_year,a_sticky*(D1164-D1166)*(1-D1167),0)</f>
        <v>62.7</v>
      </c>
      <c r="E1168" s="36" t="n">
        <f aca="false">IF(E1163=a_churn_year,a_sticky*(E1164-E1166)*(1-E1167),0)</f>
        <v>0</v>
      </c>
      <c r="F1168" s="36" t="n">
        <f aca="false">IF(F1163=a_churn_year,a_sticky*(F1164-F1166)*(1-F1167),0)</f>
        <v>0</v>
      </c>
      <c r="G1168" s="36" t="n">
        <f aca="false">IF(G1163=a_churn_year,a_sticky*(G1164-G1166)*(1-G1167),0)</f>
        <v>0</v>
      </c>
      <c r="H1168" s="36" t="n">
        <f aca="false">IF(H1163=a_churn_year,a_sticky*(H1164-H1166)*(1-H1167),0)</f>
        <v>0</v>
      </c>
      <c r="I1168" s="36" t="n">
        <f aca="false">IF(I1163=a_churn_year,a_sticky*(I1164-I1166)*(1-I1167),0)</f>
        <v>0</v>
      </c>
      <c r="J1168" s="36" t="n">
        <f aca="false">IF(J1163=a_churn_year,a_sticky*(J1164-J1166)*(1-J1167),0)</f>
        <v>0</v>
      </c>
      <c r="K1168" s="36" t="n">
        <f aca="false">IF(K1163=a_churn_year,a_sticky*(K1164-K1166)*(1-K1167),0)</f>
        <v>0</v>
      </c>
      <c r="L1168" s="36" t="n">
        <f aca="false">IF(L1163=a_churn_year,a_sticky*(L1164-L1166)*(1-L1167),0)</f>
        <v>0</v>
      </c>
      <c r="M1168" s="36" t="n">
        <f aca="false">IF(M1163=a_churn_year,a_sticky*(M1164-M1166)*(1-M1167),0)</f>
        <v>0</v>
      </c>
    </row>
    <row r="1169" customFormat="false" ht="15" hidden="false" customHeight="false" outlineLevel="0" collapsed="false">
      <c r="A1169" s="4" t="s">
        <v>290</v>
      </c>
      <c r="C1169" s="41" t="n">
        <f aca="false">C1166*C1167-C1168</f>
        <v>0</v>
      </c>
      <c r="D1169" s="41" t="n">
        <f aca="false">D1166*D1167-D1168</f>
        <v>-56.1</v>
      </c>
      <c r="E1169" s="41" t="n">
        <f aca="false">E1166*E1167-E1168</f>
        <v>15.84</v>
      </c>
      <c r="F1169" s="41" t="n">
        <f aca="false">F1166*F1167-F1168</f>
        <v>28.512</v>
      </c>
      <c r="G1169" s="41" t="n">
        <f aca="false">G1166*G1167-G1168</f>
        <v>45.6192</v>
      </c>
      <c r="H1169" s="41" t="n">
        <f aca="false">H1166*H1167-H1168</f>
        <v>68.4288</v>
      </c>
      <c r="I1169" s="41" t="n">
        <f aca="false">I1166*I1167-I1168</f>
        <v>82.11456</v>
      </c>
      <c r="J1169" s="41" t="n">
        <f aca="false">J1166*J1167-J1168</f>
        <v>98.537472</v>
      </c>
      <c r="K1169" s="41" t="n">
        <f aca="false">K1166*K1167-K1168</f>
        <v>118.2449664</v>
      </c>
      <c r="L1169" s="41" t="n">
        <f aca="false">L1166*L1167-L1168</f>
        <v>141.89395968</v>
      </c>
      <c r="M1169" s="41" t="n">
        <f aca="false">M1166*M1167-M1168</f>
        <v>170.272751616</v>
      </c>
    </row>
    <row r="1170" customFormat="false" ht="15" hidden="false" customHeight="false" outlineLevel="0" collapsed="false">
      <c r="A1170" s="9" t="s">
        <v>291</v>
      </c>
      <c r="C1170" s="36" t="n">
        <f aca="false">C1166*a_da</f>
        <v>6.6</v>
      </c>
      <c r="D1170" s="36" t="n">
        <f aca="false">D1166*a_da</f>
        <v>3.96</v>
      </c>
      <c r="E1170" s="36" t="n">
        <f aca="false">E1166*a_da</f>
        <v>4.752</v>
      </c>
      <c r="F1170" s="36" t="n">
        <f aca="false">F1166*a_da</f>
        <v>5.7024</v>
      </c>
      <c r="G1170" s="36" t="n">
        <f aca="false">G1166*a_da</f>
        <v>6.84288</v>
      </c>
      <c r="H1170" s="36" t="n">
        <f aca="false">H1166*a_da</f>
        <v>8.211456</v>
      </c>
      <c r="I1170" s="36" t="n">
        <f aca="false">I1166*a_da</f>
        <v>9.8537472</v>
      </c>
      <c r="J1170" s="36" t="n">
        <f aca="false">J1166*a_da</f>
        <v>11.82449664</v>
      </c>
      <c r="K1170" s="36" t="n">
        <f aca="false">K1166*a_da</f>
        <v>14.189395968</v>
      </c>
      <c r="L1170" s="36" t="n">
        <f aca="false">L1166*a_da</f>
        <v>17.0272751616</v>
      </c>
      <c r="M1170" s="36" t="n">
        <f aca="false">M1166*a_da</f>
        <v>20.43273019392</v>
      </c>
    </row>
    <row r="1171" customFormat="false" ht="15" hidden="false" customHeight="false" outlineLevel="0" collapsed="false">
      <c r="A1171" s="9" t="s">
        <v>292</v>
      </c>
      <c r="C1171" s="36" t="n">
        <f aca="false">C1169-C1170</f>
        <v>-6.6</v>
      </c>
      <c r="D1171" s="36" t="n">
        <f aca="false">D1169-D1170</f>
        <v>-60.06</v>
      </c>
      <c r="E1171" s="36" t="n">
        <f aca="false">E1169-E1170</f>
        <v>11.088</v>
      </c>
      <c r="F1171" s="36" t="n">
        <f aca="false">F1169-F1170</f>
        <v>22.8096</v>
      </c>
      <c r="G1171" s="36" t="n">
        <f aca="false">G1169-G1170</f>
        <v>38.77632</v>
      </c>
      <c r="H1171" s="36" t="n">
        <f aca="false">H1169-H1170</f>
        <v>60.217344</v>
      </c>
      <c r="I1171" s="36" t="n">
        <f aca="false">I1169-I1170</f>
        <v>72.2608128</v>
      </c>
      <c r="J1171" s="36" t="n">
        <f aca="false">J1169-J1170</f>
        <v>86.71297536</v>
      </c>
      <c r="K1171" s="36" t="n">
        <f aca="false">K1169-K1170</f>
        <v>104.055570432</v>
      </c>
      <c r="L1171" s="36" t="n">
        <f aca="false">L1169-L1170</f>
        <v>124.8666845184</v>
      </c>
      <c r="M1171" s="36" t="n">
        <f aca="false">M1169-M1170</f>
        <v>149.84002142208</v>
      </c>
    </row>
    <row r="1172" customFormat="false" ht="15" hidden="false" customHeight="false" outlineLevel="0" collapsed="false">
      <c r="A1172" s="9" t="s">
        <v>293</v>
      </c>
      <c r="C1172" s="36" t="n">
        <f aca="false">MAX(0,C1171)*a_tax</f>
        <v>0</v>
      </c>
      <c r="D1172" s="36" t="n">
        <f aca="false">MAX(0,D1171)*a_tax</f>
        <v>0</v>
      </c>
      <c r="E1172" s="36" t="n">
        <f aca="false">MAX(0,E1171)*a_tax</f>
        <v>2.772</v>
      </c>
      <c r="F1172" s="36" t="n">
        <f aca="false">MAX(0,F1171)*a_tax</f>
        <v>5.7024</v>
      </c>
      <c r="G1172" s="36" t="n">
        <f aca="false">MAX(0,G1171)*a_tax</f>
        <v>9.69408</v>
      </c>
      <c r="H1172" s="36" t="n">
        <f aca="false">MAX(0,H1171)*a_tax</f>
        <v>15.054336</v>
      </c>
      <c r="I1172" s="36" t="n">
        <f aca="false">MAX(0,I1171)*a_tax</f>
        <v>18.0652032</v>
      </c>
      <c r="J1172" s="36" t="n">
        <f aca="false">MAX(0,J1171)*a_tax</f>
        <v>21.67824384</v>
      </c>
      <c r="K1172" s="36" t="n">
        <f aca="false">MAX(0,K1171)*a_tax</f>
        <v>26.013892608</v>
      </c>
      <c r="L1172" s="36" t="n">
        <f aca="false">MAX(0,L1171)*a_tax</f>
        <v>31.2166711296</v>
      </c>
      <c r="M1172" s="36" t="n">
        <f aca="false">MAX(0,M1171)*a_tax</f>
        <v>37.46000535552</v>
      </c>
    </row>
    <row r="1173" customFormat="false" ht="15" hidden="false" customHeight="false" outlineLevel="0" collapsed="false">
      <c r="A1173" s="4" t="s">
        <v>294</v>
      </c>
      <c r="C1173" s="42" t="n">
        <f aca="false">cf_lim_pat</f>
        <v>0</v>
      </c>
      <c r="D1173" s="41" t="n">
        <f aca="false">D1171-D1172</f>
        <v>-60.06</v>
      </c>
      <c r="E1173" s="41" t="n">
        <f aca="false">E1171-E1172</f>
        <v>8.316</v>
      </c>
      <c r="F1173" s="41" t="n">
        <f aca="false">F1171-F1172</f>
        <v>17.1072</v>
      </c>
      <c r="G1173" s="41" t="n">
        <f aca="false">G1171-G1172</f>
        <v>29.08224</v>
      </c>
      <c r="H1173" s="41" t="n">
        <f aca="false">H1171-H1172</f>
        <v>45.163008</v>
      </c>
      <c r="I1173" s="41" t="n">
        <f aca="false">I1171-I1172</f>
        <v>54.1956096</v>
      </c>
      <c r="J1173" s="41" t="n">
        <f aca="false">J1171-J1172</f>
        <v>65.03473152</v>
      </c>
      <c r="K1173" s="41" t="n">
        <f aca="false">K1171-K1172</f>
        <v>78.041677824</v>
      </c>
      <c r="L1173" s="41" t="n">
        <f aca="false">L1171-L1172</f>
        <v>93.6500133888</v>
      </c>
      <c r="M1173" s="41" t="n">
        <f aca="false">M1171-M1172</f>
        <v>112.38001606656</v>
      </c>
    </row>
    <row r="1174" customFormat="false" ht="15" hidden="false" customHeight="false" outlineLevel="0" collapsed="false">
      <c r="A1174" s="9" t="s">
        <v>295</v>
      </c>
      <c r="C1174" s="36" t="n">
        <f aca="false">C1166*a_capex</f>
        <v>6.6</v>
      </c>
      <c r="D1174" s="36" t="n">
        <f aca="false">D1166*a_capex</f>
        <v>3.96</v>
      </c>
      <c r="E1174" s="36" t="n">
        <f aca="false">E1166*a_capex</f>
        <v>4.752</v>
      </c>
      <c r="F1174" s="36" t="n">
        <f aca="false">F1166*a_capex</f>
        <v>5.7024</v>
      </c>
      <c r="G1174" s="36" t="n">
        <f aca="false">G1166*a_capex</f>
        <v>6.84288</v>
      </c>
      <c r="H1174" s="36" t="n">
        <f aca="false">H1166*a_capex</f>
        <v>8.211456</v>
      </c>
      <c r="I1174" s="36" t="n">
        <f aca="false">I1166*a_capex</f>
        <v>9.8537472</v>
      </c>
      <c r="J1174" s="36" t="n">
        <f aca="false">J1166*a_capex</f>
        <v>11.82449664</v>
      </c>
      <c r="K1174" s="36" t="n">
        <f aca="false">K1166*a_capex</f>
        <v>14.189395968</v>
      </c>
      <c r="L1174" s="36" t="n">
        <f aca="false">L1166*a_capex</f>
        <v>17.0272751616</v>
      </c>
      <c r="M1174" s="36" t="n">
        <f aca="false">M1166*a_capex</f>
        <v>20.43273019392</v>
      </c>
    </row>
    <row r="1175" customFormat="false" ht="15" hidden="false" customHeight="false" outlineLevel="0" collapsed="false">
      <c r="A1175" s="9" t="s">
        <v>296</v>
      </c>
      <c r="C1175" s="36" t="n">
        <f aca="false">0</f>
        <v>0</v>
      </c>
      <c r="D1175" s="36" t="n">
        <f aca="false">a_wc*(D1166-C1166)</f>
        <v>-4.4</v>
      </c>
      <c r="E1175" s="36" t="n">
        <f aca="false">a_wc*(E1166-D1166)</f>
        <v>1.32</v>
      </c>
      <c r="F1175" s="36" t="n">
        <f aca="false">a_wc*(F1166-E1166)</f>
        <v>1.584</v>
      </c>
      <c r="G1175" s="36" t="n">
        <f aca="false">a_wc*(G1166-F1166)</f>
        <v>1.9008</v>
      </c>
      <c r="H1175" s="36" t="n">
        <f aca="false">a_wc*(H1166-G1166)</f>
        <v>2.28096</v>
      </c>
      <c r="I1175" s="36" t="n">
        <f aca="false">a_wc*(I1166-H1166)</f>
        <v>2.737152</v>
      </c>
      <c r="J1175" s="36" t="n">
        <f aca="false">a_wc*(J1166-I1166)</f>
        <v>3.2845824</v>
      </c>
      <c r="K1175" s="36" t="n">
        <f aca="false">a_wc*(K1166-J1166)</f>
        <v>3.94149888</v>
      </c>
      <c r="L1175" s="36" t="n">
        <f aca="false">a_wc*(L1166-K1166)</f>
        <v>4.729798656</v>
      </c>
      <c r="M1175" s="36" t="n">
        <f aca="false">a_wc*(M1166-L1166)</f>
        <v>5.6757583872</v>
      </c>
    </row>
    <row r="1176" customFormat="false" ht="15" hidden="false" customHeight="false" outlineLevel="0" collapsed="false">
      <c r="A1176" s="4" t="s">
        <v>297</v>
      </c>
      <c r="C1176" s="36" t="n">
        <f aca="false">0</f>
        <v>0</v>
      </c>
      <c r="D1176" s="41" t="n">
        <f aca="false">D1173+D1170-D1174-D1175</f>
        <v>-55.66</v>
      </c>
      <c r="E1176" s="41" t="n">
        <f aca="false">E1173+E1170-E1174-E1175</f>
        <v>6.996</v>
      </c>
      <c r="F1176" s="41" t="n">
        <f aca="false">F1173+F1170-F1174-F1175</f>
        <v>15.5232</v>
      </c>
      <c r="G1176" s="41" t="n">
        <f aca="false">G1173+G1170-G1174-G1175</f>
        <v>27.18144</v>
      </c>
      <c r="H1176" s="41" t="n">
        <f aca="false">H1173+H1170-H1174-H1175</f>
        <v>42.882048</v>
      </c>
      <c r="I1176" s="41" t="n">
        <f aca="false">I1173+I1170-I1174-I1175</f>
        <v>51.4584576</v>
      </c>
      <c r="J1176" s="41" t="n">
        <f aca="false">J1173+J1170-J1174-J1175</f>
        <v>61.75014912</v>
      </c>
      <c r="K1176" s="41" t="n">
        <f aca="false">K1173+K1170-K1174-K1175</f>
        <v>74.100178944</v>
      </c>
      <c r="L1176" s="41" t="n">
        <f aca="false">L1173+L1170-L1174-L1175</f>
        <v>88.9202147328</v>
      </c>
      <c r="M1176" s="41" t="n">
        <f aca="false">M1173+M1170-M1174-M1175</f>
        <v>106.70425767936</v>
      </c>
    </row>
    <row r="1178" customFormat="false" ht="15" hidden="false" customHeight="false" outlineLevel="0" collapsed="false">
      <c r="A1178" s="7" t="s">
        <v>666</v>
      </c>
      <c r="B1178" s="8"/>
      <c r="C1178" s="8"/>
      <c r="D1178" s="8"/>
      <c r="E1178" s="8"/>
      <c r="F1178" s="8"/>
      <c r="G1178" s="8"/>
      <c r="H1178" s="8"/>
      <c r="I1178" s="8"/>
      <c r="J1178" s="8"/>
      <c r="K1178" s="8"/>
      <c r="L1178" s="8"/>
      <c r="M1178" s="8"/>
      <c r="N1178" s="8"/>
    </row>
    <row r="1179" customFormat="false" ht="15" hidden="false" customHeight="false" outlineLevel="0" collapsed="false">
      <c r="A1179" s="9" t="s">
        <v>482</v>
      </c>
      <c r="C1179" s="35" t="n">
        <f aca="false">lv_mix_eq/(c_price*(1-a_issue_disc))</f>
        <v>1.024</v>
      </c>
    </row>
    <row r="1180" customFormat="false" ht="15" hidden="false" customHeight="false" outlineLevel="0" collapsed="false">
      <c r="A1180" s="9" t="s">
        <v>449</v>
      </c>
      <c r="C1180" s="35" t="n">
        <f aca="false">cf_shares+C1179</f>
        <v>65.024</v>
      </c>
    </row>
    <row r="1181" customFormat="false" ht="15" hidden="false" customHeight="false" outlineLevel="0" collapsed="false">
      <c r="A1181" s="9" t="s">
        <v>483</v>
      </c>
      <c r="C1181" s="36" t="n">
        <f aca="false">lv_mix_cash*a_yield*(1-a_tax)+lv_mix_debt*a_kd*(1-a_tax)</f>
        <v>94.5</v>
      </c>
    </row>
    <row r="1182" customFormat="false" ht="15" hidden="false" customHeight="false" outlineLevel="0" collapsed="false">
      <c r="A1182" s="9" t="s">
        <v>484</v>
      </c>
      <c r="C1182" s="36" t="n">
        <f aca="false">lv_price*a_ppa_share/a_ppa_life*(1-a_tax)</f>
        <v>93.75</v>
      </c>
    </row>
    <row r="1183" customFormat="false" ht="15" hidden="false" customHeight="false" outlineLevel="0" collapsed="false">
      <c r="A1183" s="9" t="s">
        <v>485</v>
      </c>
      <c r="C1183" s="36" t="n">
        <f aca="false">a_ppa_on*C1182</f>
        <v>0</v>
      </c>
    </row>
    <row r="1184" customFormat="false" ht="15" hidden="false" customHeight="false" outlineLevel="0" collapsed="false">
      <c r="A1184" s="9" t="s">
        <v>486</v>
      </c>
      <c r="C1184" s="36" t="n">
        <f aca="false">lv_price*a_fees_pct+a_integ_full</f>
        <v>160</v>
      </c>
    </row>
    <row r="1185" customFormat="false" ht="15" hidden="false" customHeight="false" outlineLevel="0" collapsed="false">
      <c r="A1185" s="9" t="s">
        <v>487</v>
      </c>
      <c r="C1185" s="36" t="n">
        <f aca="false">0</f>
        <v>0</v>
      </c>
      <c r="D1185" s="36" t="n">
        <f aca="false">a_syn_on*(a_syn_partner_rev_y3+a_syn_xsell_y3)*a_mcap*IF(D1163=1,a_syn_ramp1,IF(D1163=2,a_syn_ramp2,1))+a_syn_on*IF(D1163&gt;=2,a_syn_cost,0)</f>
        <v>0</v>
      </c>
      <c r="E1185" s="36" t="n">
        <f aca="false">a_syn_on*(a_syn_partner_rev_y3+a_syn_xsell_y3)*a_mcap*IF(E1163=1,a_syn_ramp1,IF(E1163=2,a_syn_ramp2,1))+a_syn_on*IF(E1163&gt;=2,a_syn_cost,0)</f>
        <v>0</v>
      </c>
      <c r="F1185" s="36" t="n">
        <f aca="false">a_syn_on*(a_syn_partner_rev_y3+a_syn_xsell_y3)*a_mcap*IF(F1163=1,a_syn_ramp1,IF(F1163=2,a_syn_ramp2,1))+a_syn_on*IF(F1163&gt;=2,a_syn_cost,0)</f>
        <v>0</v>
      </c>
      <c r="G1185" s="36" t="n">
        <f aca="false">a_syn_on*(a_syn_partner_rev_y3+a_syn_xsell_y3)*a_mcap*IF(G1163=1,a_syn_ramp1,IF(G1163=2,a_syn_ramp2,1))+a_syn_on*IF(G1163&gt;=2,a_syn_cost,0)</f>
        <v>0</v>
      </c>
      <c r="H1185" s="36" t="n">
        <f aca="false">a_syn_on*(a_syn_partner_rev_y3+a_syn_xsell_y3)*a_mcap*IF(H1163=1,a_syn_ramp1,IF(H1163=2,a_syn_ramp2,1))+a_syn_on*IF(H1163&gt;=2,a_syn_cost,0)</f>
        <v>0</v>
      </c>
      <c r="I1185" s="36" t="n">
        <f aca="false">a_syn_on*(a_syn_partner_rev_y3+a_syn_xsell_y3)*a_mcap*IF(I1163=1,a_syn_ramp1,IF(I1163=2,a_syn_ramp2,1))+a_syn_on*IF(I1163&gt;=2,a_syn_cost,0)</f>
        <v>0</v>
      </c>
      <c r="J1185" s="36" t="n">
        <f aca="false">a_syn_on*(a_syn_partner_rev_y3+a_syn_xsell_y3)*a_mcap*IF(J1163=1,a_syn_ramp1,IF(J1163=2,a_syn_ramp2,1))+a_syn_on*IF(J1163&gt;=2,a_syn_cost,0)</f>
        <v>0</v>
      </c>
      <c r="K1185" s="36" t="n">
        <f aca="false">a_syn_on*(a_syn_partner_rev_y3+a_syn_xsell_y3)*a_mcap*IF(K1163=1,a_syn_ramp1,IF(K1163=2,a_syn_ramp2,1))+a_syn_on*IF(K1163&gt;=2,a_syn_cost,0)</f>
        <v>0</v>
      </c>
      <c r="L1185" s="36" t="n">
        <f aca="false">a_syn_on*(a_syn_partner_rev_y3+a_syn_xsell_y3)*a_mcap*IF(L1163=1,a_syn_ramp1,IF(L1163=2,a_syn_ramp2,1))+a_syn_on*IF(L1163&gt;=2,a_syn_cost,0)</f>
        <v>0</v>
      </c>
      <c r="M1185" s="36" t="n">
        <f aca="false">a_syn_on*(a_syn_partner_rev_y3+a_syn_xsell_y3)*a_mcap*IF(M1163=1,a_syn_ramp1,IF(M1163=2,a_syn_ramp2,1))+a_syn_on*IF(M1163&gt;=2,a_syn_cost,0)</f>
        <v>0</v>
      </c>
    </row>
    <row r="1186" customFormat="false" ht="15" hidden="false" customHeight="false" outlineLevel="0" collapsed="false">
      <c r="A1186" s="9" t="s">
        <v>488</v>
      </c>
      <c r="C1186" s="36" t="n">
        <f aca="false">0</f>
        <v>0</v>
      </c>
      <c r="D1186" s="36" t="n">
        <f aca="false">CHOOSE(lv_drag_mode,lv_drag,lv_drag*D1166/cf_arr,lv_drag*(1-a_tax))</f>
        <v>750</v>
      </c>
      <c r="E1186" s="36" t="n">
        <f aca="false">CHOOSE(lv_drag_mode,lv_drag,lv_drag*E1166/cf_arr,lv_drag*(1-a_tax))</f>
        <v>750</v>
      </c>
      <c r="F1186" s="36" t="n">
        <f aca="false">CHOOSE(lv_drag_mode,lv_drag,lv_drag*F1166/cf_arr,lv_drag*(1-a_tax))</f>
        <v>750</v>
      </c>
      <c r="G1186" s="36" t="n">
        <f aca="false">CHOOSE(lv_drag_mode,lv_drag,lv_drag*G1166/cf_arr,lv_drag*(1-a_tax))</f>
        <v>750</v>
      </c>
      <c r="H1186" s="36" t="n">
        <f aca="false">CHOOSE(lv_drag_mode,lv_drag,lv_drag*H1166/cf_arr,lv_drag*(1-a_tax))</f>
        <v>750</v>
      </c>
      <c r="I1186" s="36" t="n">
        <f aca="false">CHOOSE(lv_drag_mode,lv_drag,lv_drag*I1166/cf_arr,lv_drag*(1-a_tax))</f>
        <v>750</v>
      </c>
      <c r="J1186" s="36" t="n">
        <f aca="false">CHOOSE(lv_drag_mode,lv_drag,lv_drag*J1166/cf_arr,lv_drag*(1-a_tax))</f>
        <v>750</v>
      </c>
      <c r="K1186" s="36" t="n">
        <f aca="false">CHOOSE(lv_drag_mode,lv_drag,lv_drag*K1166/cf_arr,lv_drag*(1-a_tax))</f>
        <v>750</v>
      </c>
      <c r="L1186" s="36" t="n">
        <f aca="false">CHOOSE(lv_drag_mode,lv_drag,lv_drag*L1166/cf_arr,lv_drag*(1-a_tax))</f>
        <v>750</v>
      </c>
      <c r="M1186" s="36" t="n">
        <f aca="false">CHOOSE(lv_drag_mode,lv_drag,lv_drag*M1166/cf_arr,lv_drag*(1-a_tax))</f>
        <v>750</v>
      </c>
    </row>
    <row r="1187" customFormat="false" ht="15" hidden="false" customHeight="false" outlineLevel="0" collapsed="false">
      <c r="A1187" s="9" t="s">
        <v>489</v>
      </c>
      <c r="C1187" s="36" t="n">
        <f aca="false">0</f>
        <v>0</v>
      </c>
      <c r="D1187" s="36" t="n">
        <f aca="false">IF(lv_drag_mode=3,lv_drag*(1-a_tax),0)</f>
        <v>0</v>
      </c>
      <c r="E1187" s="36" t="n">
        <f aca="false">IF(lv_drag_mode=3,lv_drag*(1-a_tax),0)</f>
        <v>0</v>
      </c>
      <c r="F1187" s="36" t="n">
        <f aca="false">IF(lv_drag_mode=3,lv_drag*(1-a_tax),0)</f>
        <v>0</v>
      </c>
      <c r="G1187" s="36" t="n">
        <f aca="false">IF(lv_drag_mode=3,lv_drag*(1-a_tax),0)</f>
        <v>0</v>
      </c>
      <c r="H1187" s="36" t="n">
        <f aca="false">IF(lv_drag_mode=3,lv_drag*(1-a_tax),0)</f>
        <v>0</v>
      </c>
      <c r="I1187" s="36" t="n">
        <f aca="false">IF(lv_drag_mode=3,lv_drag*(1-a_tax),0)</f>
        <v>0</v>
      </c>
      <c r="J1187" s="36" t="n">
        <f aca="false">IF(lv_drag_mode=3,lv_drag*(1-a_tax),0)</f>
        <v>0</v>
      </c>
      <c r="K1187" s="36" t="n">
        <f aca="false">IF(lv_drag_mode=3,lv_drag*(1-a_tax),0)</f>
        <v>0</v>
      </c>
      <c r="L1187" s="36" t="n">
        <f aca="false">IF(lv_drag_mode=3,lv_drag*(1-a_tax),0)</f>
        <v>0</v>
      </c>
      <c r="M1187" s="36" t="n">
        <f aca="false">IF(lv_drag_mode=3,lv_drag*(1-a_tax),0)</f>
        <v>0</v>
      </c>
    </row>
    <row r="1188" customFormat="false" ht="15" hidden="false" customHeight="false" outlineLevel="0" collapsed="false">
      <c r="A1188" s="9" t="s">
        <v>490</v>
      </c>
      <c r="C1188" s="36" t="n">
        <f aca="false">0</f>
        <v>0</v>
      </c>
      <c r="D1188" s="36" t="n">
        <f aca="false">IF(lv_drag_mode=3,0,C1188+D1186)</f>
        <v>750</v>
      </c>
      <c r="E1188" s="36" t="n">
        <f aca="false">IF(lv_drag_mode=3,0,D1188+E1186)</f>
        <v>1500</v>
      </c>
      <c r="F1188" s="36" t="n">
        <f aca="false">IF(lv_drag_mode=3,0,E1188+F1186)</f>
        <v>2250</v>
      </c>
      <c r="G1188" s="36" t="n">
        <f aca="false">IF(lv_drag_mode=3,0,F1188+G1186)</f>
        <v>3000</v>
      </c>
      <c r="H1188" s="36" t="n">
        <f aca="false">IF(lv_drag_mode=3,0,G1188+H1186)</f>
        <v>3750</v>
      </c>
      <c r="I1188" s="36" t="n">
        <f aca="false">IF(lv_drag_mode=3,0,H1188+I1186)</f>
        <v>4500</v>
      </c>
      <c r="J1188" s="36" t="n">
        <f aca="false">IF(lv_drag_mode=3,0,I1188+J1186)</f>
        <v>5250</v>
      </c>
      <c r="K1188" s="36" t="n">
        <f aca="false">IF(lv_drag_mode=3,0,J1188+K1186)</f>
        <v>6000</v>
      </c>
      <c r="L1188" s="36" t="n">
        <f aca="false">IF(lv_drag_mode=3,0,K1188+L1186)</f>
        <v>6750</v>
      </c>
      <c r="M1188" s="36" t="n">
        <f aca="false">IF(lv_drag_mode=3,0,L1188+M1186)</f>
        <v>7500</v>
      </c>
    </row>
    <row r="1189" customFormat="false" ht="15" hidden="false" customHeight="false" outlineLevel="0" collapsed="false">
      <c r="A1189" s="9" t="s">
        <v>491</v>
      </c>
      <c r="C1189" s="36" t="n">
        <f aca="false">0</f>
        <v>0</v>
      </c>
      <c r="D1189" s="36" t="n">
        <f aca="false">C1188*a_yield*(1-a_tax)</f>
        <v>0</v>
      </c>
      <c r="E1189" s="36" t="n">
        <f aca="false">D1188*a_yield*(1-a_tax)</f>
        <v>33.75</v>
      </c>
      <c r="F1189" s="36" t="n">
        <f aca="false">E1188*a_yield*(1-a_tax)</f>
        <v>67.5</v>
      </c>
      <c r="G1189" s="36" t="n">
        <f aca="false">F1188*a_yield*(1-a_tax)</f>
        <v>101.25</v>
      </c>
      <c r="H1189" s="36" t="n">
        <f aca="false">G1188*a_yield*(1-a_tax)</f>
        <v>135</v>
      </c>
      <c r="I1189" s="36" t="n">
        <f aca="false">H1188*a_yield*(1-a_tax)</f>
        <v>168.75</v>
      </c>
      <c r="J1189" s="36" t="n">
        <f aca="false">I1188*a_yield*(1-a_tax)</f>
        <v>202.5</v>
      </c>
      <c r="K1189" s="36" t="n">
        <f aca="false">J1188*a_yield*(1-a_tax)</f>
        <v>236.25</v>
      </c>
      <c r="L1189" s="36" t="n">
        <f aca="false">K1188*a_yield*(1-a_tax)</f>
        <v>270</v>
      </c>
      <c r="M1189" s="36" t="n">
        <f aca="false">L1188*a_yield*(1-a_tax)</f>
        <v>303.75</v>
      </c>
    </row>
    <row r="1190" customFormat="false" ht="15" hidden="false" customHeight="false" outlineLevel="0" collapsed="false">
      <c r="A1190" s="9" t="s">
        <v>492</v>
      </c>
      <c r="C1190" s="36" t="n">
        <f aca="false">cf_pat</f>
        <v>480</v>
      </c>
      <c r="D1190" s="36" t="n">
        <f aca="false">cf_pat*(1+a_pat_growth)^D1163</f>
        <v>480</v>
      </c>
      <c r="E1190" s="36" t="n">
        <f aca="false">cf_pat*(1+a_pat_growth)^E1163</f>
        <v>480</v>
      </c>
      <c r="F1190" s="36" t="n">
        <f aca="false">cf_pat*(1+a_pat_growth)^F1163</f>
        <v>480</v>
      </c>
      <c r="G1190" s="36" t="n">
        <f aca="false">cf_pat*(1+a_pat_growth)^G1163</f>
        <v>480</v>
      </c>
      <c r="H1190" s="36" t="n">
        <f aca="false">cf_pat*(1+a_pat_growth)^H1163</f>
        <v>480</v>
      </c>
      <c r="I1190" s="36" t="n">
        <f aca="false">cf_pat*(1+a_pat_growth)^I1163</f>
        <v>480</v>
      </c>
      <c r="J1190" s="36" t="n">
        <f aca="false">cf_pat*(1+a_pat_growth)^J1163</f>
        <v>480</v>
      </c>
      <c r="K1190" s="36" t="n">
        <f aca="false">cf_pat*(1+a_pat_growth)^K1163</f>
        <v>480</v>
      </c>
      <c r="L1190" s="36" t="n">
        <f aca="false">cf_pat*(1+a_pat_growth)^L1163</f>
        <v>480</v>
      </c>
      <c r="M1190" s="36" t="n">
        <f aca="false">cf_pat*(1+a_pat_growth)^M1163</f>
        <v>480</v>
      </c>
    </row>
    <row r="1191" customFormat="false" ht="15" hidden="false" customHeight="false" outlineLevel="0" collapsed="false">
      <c r="A1191" s="9" t="s">
        <v>493</v>
      </c>
      <c r="C1191" s="36" t="n">
        <f aca="false">0</f>
        <v>0</v>
      </c>
      <c r="D1191" s="36" t="n">
        <f aca="false">cf_mdr*a_mdr_flow*(1-a_tax)</f>
        <v>69</v>
      </c>
      <c r="E1191" s="36" t="n">
        <f aca="false">cf_mdr*a_mdr_flow*(1-a_tax)</f>
        <v>69</v>
      </c>
      <c r="F1191" s="36" t="n">
        <f aca="false">cf_mdr*a_mdr_flow*(1-a_tax)</f>
        <v>69</v>
      </c>
      <c r="G1191" s="36" t="n">
        <f aca="false">cf_mdr*a_mdr_flow*(1-a_tax)</f>
        <v>69</v>
      </c>
      <c r="H1191" s="36" t="n">
        <f aca="false">cf_mdr*a_mdr_flow*(1-a_tax)</f>
        <v>69</v>
      </c>
      <c r="I1191" s="36" t="n">
        <f aca="false">cf_mdr*a_mdr_flow*(1-a_tax)</f>
        <v>69</v>
      </c>
      <c r="J1191" s="36" t="n">
        <f aca="false">cf_mdr*a_mdr_flow*(1-a_tax)</f>
        <v>69</v>
      </c>
      <c r="K1191" s="36" t="n">
        <f aca="false">cf_mdr*a_mdr_flow*(1-a_tax)</f>
        <v>69</v>
      </c>
      <c r="L1191" s="36" t="n">
        <f aca="false">cf_mdr*a_mdr_flow*(1-a_tax)</f>
        <v>69</v>
      </c>
      <c r="M1191" s="36" t="n">
        <f aca="false">cf_mdr*a_mdr_flow*(1-a_tax)</f>
        <v>69</v>
      </c>
    </row>
    <row r="1192" customFormat="false" ht="15" hidden="false" customHeight="false" outlineLevel="0" collapsed="false">
      <c r="A1192" s="9" t="s">
        <v>494</v>
      </c>
      <c r="C1192" s="50" t="n">
        <f aca="false">cf_eps</f>
        <v>7.5</v>
      </c>
      <c r="D1192" s="50" t="n">
        <f aca="false">D1190/cf_shares</f>
        <v>7.5</v>
      </c>
      <c r="E1192" s="50" t="n">
        <f aca="false">E1190/cf_shares</f>
        <v>7.5</v>
      </c>
      <c r="F1192" s="50" t="n">
        <f aca="false">F1190/cf_shares</f>
        <v>7.5</v>
      </c>
      <c r="G1192" s="50" t="n">
        <f aca="false">G1190/cf_shares</f>
        <v>7.5</v>
      </c>
      <c r="H1192" s="50" t="n">
        <f aca="false">H1190/cf_shares</f>
        <v>7.5</v>
      </c>
      <c r="I1192" s="50" t="n">
        <f aca="false">I1190/cf_shares</f>
        <v>7.5</v>
      </c>
      <c r="J1192" s="50" t="n">
        <f aca="false">J1190/cf_shares</f>
        <v>7.5</v>
      </c>
      <c r="K1192" s="50" t="n">
        <f aca="false">K1190/cf_shares</f>
        <v>7.5</v>
      </c>
      <c r="L1192" s="50" t="n">
        <f aca="false">L1190/cf_shares</f>
        <v>7.5</v>
      </c>
      <c r="M1192" s="50" t="n">
        <f aca="false">M1190/cf_shares</f>
        <v>7.5</v>
      </c>
    </row>
    <row r="1193" customFormat="false" ht="15" hidden="false" customHeight="false" outlineLevel="0" collapsed="false">
      <c r="A1193" s="9" t="s">
        <v>495</v>
      </c>
      <c r="C1193" s="50" t="n">
        <f aca="false">cf_eps</f>
        <v>7.5</v>
      </c>
      <c r="D1193" s="50" t="n">
        <f aca="false">(D1190+D1191)/cf_shares</f>
        <v>8.578125</v>
      </c>
      <c r="E1193" s="50" t="n">
        <f aca="false">(E1190+E1191)/cf_shares</f>
        <v>8.578125</v>
      </c>
      <c r="F1193" s="50" t="n">
        <f aca="false">(F1190+F1191)/cf_shares</f>
        <v>8.578125</v>
      </c>
      <c r="G1193" s="50" t="n">
        <f aca="false">(G1190+G1191)/cf_shares</f>
        <v>8.578125</v>
      </c>
      <c r="H1193" s="50" t="n">
        <f aca="false">(H1190+H1191)/cf_shares</f>
        <v>8.578125</v>
      </c>
      <c r="I1193" s="50" t="n">
        <f aca="false">(I1190+I1191)/cf_shares</f>
        <v>8.578125</v>
      </c>
      <c r="J1193" s="50" t="n">
        <f aca="false">(J1190+J1191)/cf_shares</f>
        <v>8.578125</v>
      </c>
      <c r="K1193" s="50" t="n">
        <f aca="false">(K1190+K1191)/cf_shares</f>
        <v>8.578125</v>
      </c>
      <c r="L1193" s="50" t="n">
        <f aca="false">(L1190+L1191)/cf_shares</f>
        <v>8.578125</v>
      </c>
      <c r="M1193" s="50" t="n">
        <f aca="false">(M1190+M1191)/cf_shares</f>
        <v>8.578125</v>
      </c>
    </row>
    <row r="1194" customFormat="false" ht="15" hidden="false" customHeight="false" outlineLevel="0" collapsed="false">
      <c r="A1194" s="4" t="s">
        <v>496</v>
      </c>
      <c r="C1194" s="41" t="n">
        <f aca="false">-C1181-C1183</f>
        <v>-94.5</v>
      </c>
      <c r="D1194" s="41" t="n">
        <f aca="false">D1173+D1185*(1-a_tax)-C1181-C1183-D1187-D1189</f>
        <v>-154.56</v>
      </c>
      <c r="E1194" s="41" t="n">
        <f aca="false">E1173+E1185*(1-a_tax)-C1181-C1183-E1187-E1189</f>
        <v>-119.934</v>
      </c>
      <c r="F1194" s="41" t="n">
        <f aca="false">F1173+F1185*(1-a_tax)-C1181-C1183-F1187-F1189</f>
        <v>-144.8928</v>
      </c>
      <c r="G1194" s="41" t="n">
        <f aca="false">G1173+G1185*(1-a_tax)-C1181-C1183-G1187-G1189</f>
        <v>-166.66776</v>
      </c>
      <c r="H1194" s="41" t="n">
        <f aca="false">H1173+H1185*(1-a_tax)-C1181-C1183-H1187-H1189</f>
        <v>-184.336992</v>
      </c>
      <c r="I1194" s="41" t="n">
        <f aca="false">I1173+I1185*(1-a_tax)-C1181-C1183-I1187-I1189</f>
        <v>-209.0543904</v>
      </c>
      <c r="J1194" s="41" t="n">
        <f aca="false">J1173+J1185*(1-a_tax)-C1181-C1183-J1187-J1189</f>
        <v>-231.96526848</v>
      </c>
      <c r="K1194" s="41" t="n">
        <f aca="false">K1173+K1185*(1-a_tax)-C1181-C1183-K1187-K1189</f>
        <v>-252.708322176</v>
      </c>
      <c r="L1194" s="41" t="n">
        <f aca="false">L1173+L1185*(1-a_tax)-C1181-C1183-L1187-L1189</f>
        <v>-270.8499866112</v>
      </c>
      <c r="M1194" s="41" t="n">
        <f aca="false">M1173+M1185*(1-a_tax)-C1181-C1183-M1187-M1189</f>
        <v>-285.86998393344</v>
      </c>
    </row>
    <row r="1195" customFormat="false" ht="15" hidden="false" customHeight="false" outlineLevel="0" collapsed="false">
      <c r="A1195" s="9" t="s">
        <v>497</v>
      </c>
      <c r="C1195" s="36" t="n">
        <f aca="false">C1190+C1194</f>
        <v>385.5</v>
      </c>
      <c r="D1195" s="36" t="n">
        <f aca="false">D1190+D1194</f>
        <v>325.44</v>
      </c>
      <c r="E1195" s="36" t="n">
        <f aca="false">E1190+E1194</f>
        <v>360.066</v>
      </c>
      <c r="F1195" s="36" t="n">
        <f aca="false">F1190+F1194</f>
        <v>335.1072</v>
      </c>
      <c r="G1195" s="36" t="n">
        <f aca="false">G1190+G1194</f>
        <v>313.33224</v>
      </c>
      <c r="H1195" s="36" t="n">
        <f aca="false">H1190+H1194</f>
        <v>295.663008</v>
      </c>
      <c r="I1195" s="36" t="n">
        <f aca="false">I1190+I1194</f>
        <v>270.9456096</v>
      </c>
      <c r="J1195" s="36" t="n">
        <f aca="false">J1190+J1194</f>
        <v>248.03473152</v>
      </c>
      <c r="K1195" s="36" t="n">
        <f aca="false">K1190+K1194</f>
        <v>227.291677824</v>
      </c>
      <c r="L1195" s="36" t="n">
        <f aca="false">L1190+L1194</f>
        <v>209.1500133888</v>
      </c>
      <c r="M1195" s="36" t="n">
        <f aca="false">M1190+M1194</f>
        <v>194.13001606656</v>
      </c>
    </row>
    <row r="1196" customFormat="false" ht="15" hidden="false" customHeight="false" outlineLevel="0" collapsed="false">
      <c r="A1196" s="4" t="s">
        <v>498</v>
      </c>
      <c r="C1196" s="48" t="n">
        <f aca="false">C1195/C1180</f>
        <v>5.92858021653543</v>
      </c>
      <c r="D1196" s="48" t="n">
        <f aca="false">D1195/C1180</f>
        <v>5.00492125984252</v>
      </c>
      <c r="E1196" s="48" t="n">
        <f aca="false">E1195/C1180</f>
        <v>5.53743233267717</v>
      </c>
      <c r="F1196" s="48" t="n">
        <f aca="false">F1195/C1180</f>
        <v>5.15359251968504</v>
      </c>
      <c r="G1196" s="48" t="n">
        <f aca="false">G1195/C1180</f>
        <v>4.81871678149606</v>
      </c>
      <c r="H1196" s="48" t="n">
        <f aca="false">H1195/C1180</f>
        <v>4.54698277559055</v>
      </c>
      <c r="I1196" s="48" t="n">
        <f aca="false">I1195/C1180</f>
        <v>4.16685546259843</v>
      </c>
      <c r="J1196" s="48" t="n">
        <f aca="false">J1195/C1180</f>
        <v>3.81451051181102</v>
      </c>
      <c r="K1196" s="48" t="n">
        <f aca="false">K1195/C1180</f>
        <v>3.49550439566929</v>
      </c>
      <c r="L1196" s="48" t="n">
        <f aca="false">L1195/C1180</f>
        <v>3.21650488110236</v>
      </c>
      <c r="M1196" s="48" t="n">
        <f aca="false">M1195/C1180</f>
        <v>2.9855132884252</v>
      </c>
    </row>
    <row r="1197" customFormat="false" ht="15" hidden="false" customHeight="false" outlineLevel="0" collapsed="false">
      <c r="A1197" s="4" t="s">
        <v>499</v>
      </c>
      <c r="C1197" s="14" t="n">
        <f aca="false">C1196/cf_eps-1</f>
        <v>-0.209522637795276</v>
      </c>
      <c r="D1197" s="14" t="n">
        <f aca="false">D1196/cf_eps-1</f>
        <v>-0.332677165354331</v>
      </c>
      <c r="E1197" s="14" t="n">
        <f aca="false">E1196/cf_eps-1</f>
        <v>-0.261675688976378</v>
      </c>
      <c r="F1197" s="14" t="n">
        <f aca="false">F1196/cf_eps-1</f>
        <v>-0.312854330708661</v>
      </c>
      <c r="G1197" s="14" t="n">
        <f aca="false">G1196/cf_eps-1</f>
        <v>-0.357504429133858</v>
      </c>
      <c r="H1197" s="14" t="n">
        <f aca="false">H1196/cf_eps-1</f>
        <v>-0.39373562992126</v>
      </c>
      <c r="I1197" s="14" t="n">
        <f aca="false">I1196/cf_eps-1</f>
        <v>-0.444419271653543</v>
      </c>
      <c r="J1197" s="14" t="n">
        <f aca="false">J1196/cf_eps-1</f>
        <v>-0.491398598425197</v>
      </c>
      <c r="K1197" s="14" t="n">
        <f aca="false">K1196/cf_eps-1</f>
        <v>-0.533932747244095</v>
      </c>
      <c r="L1197" s="14" t="n">
        <f aca="false">L1196/cf_eps-1</f>
        <v>-0.571132682519685</v>
      </c>
      <c r="M1197" s="14" t="n">
        <f aca="false">M1196/cf_eps-1</f>
        <v>-0.601931561543307</v>
      </c>
    </row>
    <row r="1198" customFormat="false" ht="15" hidden="false" customHeight="false" outlineLevel="0" collapsed="false">
      <c r="A1198" s="9" t="s">
        <v>500</v>
      </c>
      <c r="C1198" s="50" t="n">
        <f aca="false">C1196</f>
        <v>5.92858021653543</v>
      </c>
      <c r="D1198" s="50" t="n">
        <f aca="false">(D1195+D1191)/C1180</f>
        <v>6.06606791338583</v>
      </c>
      <c r="E1198" s="50" t="n">
        <f aca="false">(E1195+E1191)/C1180</f>
        <v>6.59857898622047</v>
      </c>
      <c r="F1198" s="50" t="n">
        <f aca="false">(F1195+F1191)/C1180</f>
        <v>6.21473917322835</v>
      </c>
      <c r="G1198" s="50" t="n">
        <f aca="false">(G1195+G1191)/C1180</f>
        <v>5.87986343503937</v>
      </c>
      <c r="H1198" s="50" t="n">
        <f aca="false">(H1195+H1191)/C1180</f>
        <v>5.60812942913386</v>
      </c>
      <c r="I1198" s="50" t="n">
        <f aca="false">(I1195+I1191)/C1180</f>
        <v>5.22800211614173</v>
      </c>
      <c r="J1198" s="50" t="n">
        <f aca="false">(J1195+J1191)/C1180</f>
        <v>4.87565716535433</v>
      </c>
      <c r="K1198" s="50" t="n">
        <f aca="false">(K1195+K1191)/C1180</f>
        <v>4.5566510492126</v>
      </c>
      <c r="L1198" s="50" t="n">
        <f aca="false">(L1195+L1191)/C1180</f>
        <v>4.27765153464567</v>
      </c>
      <c r="M1198" s="50" t="n">
        <f aca="false">(M1195+M1191)/C1180</f>
        <v>4.0466599419685</v>
      </c>
    </row>
    <row r="1199" customFormat="false" ht="15" hidden="false" customHeight="false" outlineLevel="0" collapsed="false">
      <c r="A1199" s="9" t="s">
        <v>501</v>
      </c>
      <c r="C1199" s="18" t="n">
        <f aca="false">C1197</f>
        <v>-0.209522637795276</v>
      </c>
      <c r="D1199" s="18" t="n">
        <f aca="false">D1198/D1193-1</f>
        <v>-0.292844541973237</v>
      </c>
      <c r="E1199" s="18" t="n">
        <f aca="false">E1198/E1193-1</f>
        <v>-0.230766748418743</v>
      </c>
      <c r="F1199" s="18" t="n">
        <f aca="false">F1198/F1193-1</f>
        <v>-0.275513101845876</v>
      </c>
      <c r="G1199" s="18" t="n">
        <f aca="false">G1198/G1193-1</f>
        <v>-0.314551439266813</v>
      </c>
      <c r="H1199" s="18" t="n">
        <f aca="false">H1198/H1193-1</f>
        <v>-0.34622899186782</v>
      </c>
      <c r="I1199" s="18" t="n">
        <f aca="false">I1198/I1193-1</f>
        <v>-0.390542558409707</v>
      </c>
      <c r="J1199" s="18" t="n">
        <f aca="false">J1198/J1193-1</f>
        <v>-0.431617379630825</v>
      </c>
      <c r="K1199" s="18" t="n">
        <f aca="false">K1198/K1193-1</f>
        <v>-0.46880570646702</v>
      </c>
      <c r="L1199" s="18" t="n">
        <f aca="false">L1198/L1193-1</f>
        <v>-0.501330240041306</v>
      </c>
      <c r="M1199" s="18" t="n">
        <f aca="false">M1198/M1193-1</f>
        <v>-0.528258221701304</v>
      </c>
    </row>
    <row r="1200" customFormat="false" ht="15" hidden="false" customHeight="false" outlineLevel="0" collapsed="false">
      <c r="A1200" s="9" t="s">
        <v>502</v>
      </c>
      <c r="C1200" s="50" t="n">
        <f aca="false">(C1195+C1183)/C1180</f>
        <v>5.92858021653543</v>
      </c>
      <c r="D1200" s="50" t="n">
        <f aca="false">(D1195+C1183)/C1180</f>
        <v>5.00492125984252</v>
      </c>
      <c r="E1200" s="50" t="n">
        <f aca="false">(E1195+C1183)/C1180</f>
        <v>5.53743233267717</v>
      </c>
      <c r="F1200" s="50" t="n">
        <f aca="false">(F1195+C1183)/C1180</f>
        <v>5.15359251968504</v>
      </c>
      <c r="G1200" s="50" t="n">
        <f aca="false">(G1195+C1183)/C1180</f>
        <v>4.81871678149606</v>
      </c>
      <c r="H1200" s="50" t="n">
        <f aca="false">(H1195+C1183)/C1180</f>
        <v>4.54698277559055</v>
      </c>
      <c r="I1200" s="50" t="n">
        <f aca="false">(I1195+C1183)/C1180</f>
        <v>4.16685546259843</v>
      </c>
      <c r="J1200" s="50" t="n">
        <f aca="false">(J1195+C1183)/C1180</f>
        <v>3.81451051181102</v>
      </c>
      <c r="K1200" s="50" t="n">
        <f aca="false">(K1195+C1183)/C1180</f>
        <v>3.49550439566929</v>
      </c>
      <c r="L1200" s="50" t="n">
        <f aca="false">(L1195+C1183)/C1180</f>
        <v>3.21650488110236</v>
      </c>
      <c r="M1200" s="50" t="n">
        <f aca="false">(M1195+C1183)/C1180</f>
        <v>2.9855132884252</v>
      </c>
    </row>
    <row r="1201" customFormat="false" ht="15" hidden="false" customHeight="false" outlineLevel="0" collapsed="false">
      <c r="A1201" s="9" t="s">
        <v>503</v>
      </c>
      <c r="C1201" s="50" t="n">
        <f aca="false">(C1195-C1182+C1183)/C1180</f>
        <v>4.48680487204724</v>
      </c>
      <c r="D1201" s="50" t="n">
        <f aca="false">(D1195-C1182+C1183)/C1180</f>
        <v>3.56314591535433</v>
      </c>
      <c r="E1201" s="50" t="n">
        <f aca="false">(E1195-C1182+C1183)/C1180</f>
        <v>4.09565698818898</v>
      </c>
      <c r="F1201" s="50" t="n">
        <f aca="false">(F1195-C1182+C1183)/C1180</f>
        <v>3.71181717519685</v>
      </c>
      <c r="G1201" s="50" t="n">
        <f aca="false">(G1195-C1182+C1183)/C1180</f>
        <v>3.37694143700787</v>
      </c>
      <c r="H1201" s="50" t="n">
        <f aca="false">(H1195-C1182+C1183)/C1180</f>
        <v>3.10520743110236</v>
      </c>
      <c r="I1201" s="50" t="n">
        <f aca="false">(I1195-C1182+C1183)/C1180</f>
        <v>2.72508011811024</v>
      </c>
      <c r="J1201" s="50" t="n">
        <f aca="false">(J1195-C1182+C1183)/C1180</f>
        <v>2.37273516732283</v>
      </c>
      <c r="K1201" s="50" t="n">
        <f aca="false">(K1195-C1182+C1183)/C1180</f>
        <v>2.0537290511811</v>
      </c>
      <c r="L1201" s="50" t="n">
        <f aca="false">(L1195-C1182+C1183)/C1180</f>
        <v>1.77472953661417</v>
      </c>
      <c r="M1201" s="50" t="n">
        <f aca="false">(M1195-C1182+C1183)/C1180</f>
        <v>1.54373794393701</v>
      </c>
    </row>
    <row r="1202" customFormat="false" ht="15" hidden="false" customHeight="false" outlineLevel="0" collapsed="false">
      <c r="A1202" s="9" t="s">
        <v>504</v>
      </c>
      <c r="C1202" s="50" t="n">
        <f aca="false">C1190/C1180</f>
        <v>7.38188976377953</v>
      </c>
      <c r="D1202" s="50" t="n">
        <f aca="false">D1190/C1180</f>
        <v>7.38188976377953</v>
      </c>
      <c r="E1202" s="50" t="n">
        <f aca="false">E1190/C1180</f>
        <v>7.38188976377953</v>
      </c>
      <c r="F1202" s="50" t="n">
        <f aca="false">F1190/C1180</f>
        <v>7.38188976377953</v>
      </c>
      <c r="G1202" s="50" t="n">
        <f aca="false">G1190/C1180</f>
        <v>7.38188976377953</v>
      </c>
      <c r="H1202" s="50" t="n">
        <f aca="false">H1190/C1180</f>
        <v>7.38188976377953</v>
      </c>
      <c r="I1202" s="50" t="n">
        <f aca="false">I1190/C1180</f>
        <v>7.38188976377953</v>
      </c>
      <c r="J1202" s="50" t="n">
        <f aca="false">J1190/C1180</f>
        <v>7.38188976377953</v>
      </c>
      <c r="K1202" s="50" t="n">
        <f aca="false">K1190/C1180</f>
        <v>7.38188976377953</v>
      </c>
      <c r="L1202" s="50" t="n">
        <f aca="false">L1190/C1180</f>
        <v>7.38188976377953</v>
      </c>
      <c r="M1202" s="50" t="n">
        <f aca="false">M1190/C1180</f>
        <v>7.38188976377953</v>
      </c>
    </row>
    <row r="1203" customFormat="false" ht="15" hidden="false" customHeight="false" outlineLevel="0" collapsed="false">
      <c r="A1203" s="9" t="s">
        <v>505</v>
      </c>
      <c r="D1203" s="36" t="n">
        <f aca="false">D1176+D1185*(1-a_tax)-D1186-IF(D1163=1,C1184,0)</f>
        <v>-965.66</v>
      </c>
      <c r="E1203" s="36" t="n">
        <f aca="false">E1176+E1185*(1-a_tax)-E1186-IF(E1163=1,C1184,0)</f>
        <v>-743.004</v>
      </c>
      <c r="F1203" s="36" t="n">
        <f aca="false">F1176+F1185*(1-a_tax)-F1186-IF(F1163=1,C1184,0)</f>
        <v>-734.4768</v>
      </c>
      <c r="G1203" s="36" t="n">
        <f aca="false">G1176+G1185*(1-a_tax)-G1186-IF(G1163=1,C1184,0)</f>
        <v>-722.81856</v>
      </c>
      <c r="H1203" s="36" t="n">
        <f aca="false">H1176+H1185*(1-a_tax)-H1186-IF(H1163=1,C1184,0)</f>
        <v>-707.117952</v>
      </c>
      <c r="I1203" s="36" t="n">
        <f aca="false">I1176+I1185*(1-a_tax)-I1186-IF(I1163=1,C1184,0)</f>
        <v>-698.5415424</v>
      </c>
      <c r="J1203" s="36" t="n">
        <f aca="false">J1176+J1185*(1-a_tax)-J1186-IF(J1163=1,C1184,0)</f>
        <v>-688.24985088</v>
      </c>
      <c r="K1203" s="36" t="n">
        <f aca="false">K1176+K1185*(1-a_tax)-K1186-IF(K1163=1,C1184,0)</f>
        <v>-675.899821056</v>
      </c>
      <c r="L1203" s="36" t="n">
        <f aca="false">L1176+L1185*(1-a_tax)-L1186-IF(L1163=1,C1184,0)</f>
        <v>-661.0797852672</v>
      </c>
      <c r="M1203" s="36" t="n">
        <f aca="false">M1176+M1185*(1-a_tax)-M1186-IF(M1163=1,C1184,0)</f>
        <v>-643.29574232064</v>
      </c>
    </row>
    <row r="1204" customFormat="false" ht="15" hidden="false" customHeight="false" outlineLevel="0" collapsed="false">
      <c r="A1204" s="4" t="s">
        <v>506</v>
      </c>
      <c r="D1204" s="41" t="n">
        <f aca="false">D1203-C1181</f>
        <v>-1060.16</v>
      </c>
      <c r="E1204" s="41" t="n">
        <f aca="false">E1203-C1181</f>
        <v>-837.504</v>
      </c>
      <c r="F1204" s="41" t="n">
        <f aca="false">F1203-C1181</f>
        <v>-828.9768</v>
      </c>
      <c r="G1204" s="41" t="n">
        <f aca="false">G1203-C1181</f>
        <v>-817.31856</v>
      </c>
      <c r="H1204" s="41" t="n">
        <f aca="false">H1203-C1181</f>
        <v>-801.617952</v>
      </c>
      <c r="I1204" s="41" t="n">
        <f aca="false">I1203-C1181</f>
        <v>-793.0415424</v>
      </c>
      <c r="J1204" s="41" t="n">
        <f aca="false">J1203-C1181</f>
        <v>-782.74985088</v>
      </c>
      <c r="K1204" s="41" t="n">
        <f aca="false">K1203-C1181</f>
        <v>-770.399821056</v>
      </c>
      <c r="L1204" s="41" t="n">
        <f aca="false">L1203-C1181</f>
        <v>-755.5797852672</v>
      </c>
      <c r="M1204" s="41" t="n">
        <f aca="false">M1203-C1181</f>
        <v>-737.79574232064</v>
      </c>
    </row>
    <row r="1205" customFormat="false" ht="15" hidden="false" customHeight="false" outlineLevel="0" collapsed="false">
      <c r="A1205" s="9" t="s">
        <v>507</v>
      </c>
      <c r="C1205" s="36" t="n">
        <f aca="false">0</f>
        <v>0</v>
      </c>
      <c r="D1205" s="36" t="n">
        <f aca="false">D1191</f>
        <v>69</v>
      </c>
      <c r="E1205" s="36" t="n">
        <f aca="false">E1191</f>
        <v>69</v>
      </c>
      <c r="F1205" s="36" t="n">
        <f aca="false">F1191</f>
        <v>69</v>
      </c>
      <c r="G1205" s="36" t="n">
        <f aca="false">G1191</f>
        <v>69</v>
      </c>
      <c r="H1205" s="36" t="n">
        <f aca="false">H1191</f>
        <v>69</v>
      </c>
      <c r="I1205" s="36" t="n">
        <f aca="false">I1191</f>
        <v>69</v>
      </c>
      <c r="J1205" s="36" t="n">
        <f aca="false">J1191</f>
        <v>69</v>
      </c>
      <c r="K1205" s="36" t="n">
        <f aca="false">K1191</f>
        <v>69</v>
      </c>
      <c r="L1205" s="36" t="n">
        <f aca="false">L1191</f>
        <v>69</v>
      </c>
      <c r="M1205" s="36" t="n">
        <f aca="false">M1191</f>
        <v>69</v>
      </c>
    </row>
    <row r="1206" customFormat="false" ht="15" hidden="false" customHeight="false" outlineLevel="0" collapsed="false">
      <c r="A1206" s="9" t="s">
        <v>508</v>
      </c>
      <c r="D1206" s="36" t="n">
        <f aca="false">D1204+D1205</f>
        <v>-991.16</v>
      </c>
      <c r="E1206" s="36" t="n">
        <f aca="false">E1204+E1205</f>
        <v>-768.504</v>
      </c>
      <c r="F1206" s="36" t="n">
        <f aca="false">F1204+F1205</f>
        <v>-759.9768</v>
      </c>
      <c r="G1206" s="36" t="n">
        <f aca="false">G1204+G1205</f>
        <v>-748.31856</v>
      </c>
      <c r="H1206" s="36" t="n">
        <f aca="false">H1204+H1205</f>
        <v>-732.617952</v>
      </c>
      <c r="I1206" s="36" t="n">
        <f aca="false">I1204+I1205</f>
        <v>-724.0415424</v>
      </c>
      <c r="J1206" s="36" t="n">
        <f aca="false">J1204+J1205</f>
        <v>-713.74985088</v>
      </c>
      <c r="K1206" s="36" t="n">
        <f aca="false">K1204+K1205</f>
        <v>-701.399821056</v>
      </c>
      <c r="L1206" s="36" t="n">
        <f aca="false">L1204+L1205</f>
        <v>-686.5797852672</v>
      </c>
      <c r="M1206" s="36" t="n">
        <f aca="false">M1204+M1205</f>
        <v>-668.79574232064</v>
      </c>
    </row>
    <row r="1207" customFormat="false" ht="15" hidden="false" customHeight="false" outlineLevel="0" collapsed="false">
      <c r="A1207" s="9" t="s">
        <v>509</v>
      </c>
      <c r="D1207" s="36" t="n">
        <f aca="false">IF(lv_mdr_in_deal=1,D1206,D1204)</f>
        <v>-1060.16</v>
      </c>
      <c r="E1207" s="36" t="n">
        <f aca="false">IF(lv_mdr_in_deal=1,E1206,E1204)</f>
        <v>-837.504</v>
      </c>
      <c r="F1207" s="36" t="n">
        <f aca="false">IF(lv_mdr_in_deal=1,F1206,F1204)</f>
        <v>-828.9768</v>
      </c>
      <c r="G1207" s="36" t="n">
        <f aca="false">IF(lv_mdr_in_deal=1,G1206,G1204)</f>
        <v>-817.31856</v>
      </c>
      <c r="H1207" s="36" t="n">
        <f aca="false">IF(lv_mdr_in_deal=1,H1206,H1204)</f>
        <v>-801.617952</v>
      </c>
      <c r="I1207" s="36" t="n">
        <f aca="false">IF(lv_mdr_in_deal=1,I1206,I1204)</f>
        <v>-793.0415424</v>
      </c>
      <c r="J1207" s="36" t="n">
        <f aca="false">IF(lv_mdr_in_deal=1,J1206,J1204)</f>
        <v>-782.74985088</v>
      </c>
      <c r="K1207" s="36" t="n">
        <f aca="false">IF(lv_mdr_in_deal=1,K1206,K1204)</f>
        <v>-770.399821056</v>
      </c>
      <c r="L1207" s="36" t="n">
        <f aca="false">IF(lv_mdr_in_deal=1,L1206,L1204)</f>
        <v>-755.5797852672</v>
      </c>
      <c r="M1207" s="36" t="n">
        <f aca="false">IF(lv_mdr_in_deal=1,M1206,M1204)</f>
        <v>-737.79574232064</v>
      </c>
    </row>
    <row r="1208" customFormat="false" ht="15" hidden="false" customHeight="false" outlineLevel="0" collapsed="false">
      <c r="A1208" s="9" t="s">
        <v>510</v>
      </c>
      <c r="C1208" s="36" t="n">
        <f aca="false">-lv_price</f>
        <v>-4000</v>
      </c>
      <c r="D1208" s="36" t="n">
        <f aca="false">C1208+D1207</f>
        <v>-5060.16</v>
      </c>
      <c r="E1208" s="36" t="n">
        <f aca="false">D1208+E1207</f>
        <v>-5897.664</v>
      </c>
      <c r="F1208" s="36" t="n">
        <f aca="false">E1208+F1207</f>
        <v>-6726.6408</v>
      </c>
      <c r="G1208" s="36" t="n">
        <f aca="false">F1208+G1207</f>
        <v>-7543.95936</v>
      </c>
      <c r="H1208" s="36" t="n">
        <f aca="false">G1208+H1207</f>
        <v>-8345.577312</v>
      </c>
      <c r="I1208" s="36" t="n">
        <f aca="false">H1208+I1207</f>
        <v>-9138.6188544</v>
      </c>
      <c r="J1208" s="36" t="n">
        <f aca="false">I1208+J1207</f>
        <v>-9921.36870528</v>
      </c>
      <c r="K1208" s="36" t="n">
        <f aca="false">J1208+K1207</f>
        <v>-10691.768526336</v>
      </c>
      <c r="L1208" s="36" t="n">
        <f aca="false">K1208+L1207</f>
        <v>-11447.3483116032</v>
      </c>
      <c r="M1208" s="36" t="n">
        <f aca="false">L1208+M1207</f>
        <v>-12185.1440539238</v>
      </c>
    </row>
    <row r="1209" customFormat="false" ht="15" hidden="false" customHeight="false" outlineLevel="0" collapsed="false">
      <c r="A1209" s="9" t="s">
        <v>511</v>
      </c>
      <c r="C1209" s="43" t="n">
        <f aca="false">1</f>
        <v>1</v>
      </c>
      <c r="D1209" s="43" t="n">
        <f aca="false">1/(1+lv_wacc)^D1163</f>
        <v>0.884955752212389</v>
      </c>
      <c r="E1209" s="43" t="n">
        <f aca="false">1/(1+lv_wacc)^E1163</f>
        <v>0.783146683373796</v>
      </c>
      <c r="F1209" s="43" t="n">
        <f aca="false">1/(1+lv_wacc)^F1163</f>
        <v>0.693050162277696</v>
      </c>
      <c r="G1209" s="43" t="n">
        <f aca="false">1/(1+lv_wacc)^G1163</f>
        <v>0.613318727679377</v>
      </c>
      <c r="H1209" s="43" t="n">
        <f aca="false">1/(1+lv_wacc)^H1163</f>
        <v>0.542759935999449</v>
      </c>
      <c r="I1209" s="43" t="n">
        <f aca="false">1/(1+lv_wacc)^I1163</f>
        <v>0.48031852743314</v>
      </c>
      <c r="J1209" s="43" t="n">
        <f aca="false">1/(1+lv_wacc)^J1163</f>
        <v>0.425060643746142</v>
      </c>
      <c r="K1209" s="43" t="n">
        <f aca="false">1/(1+lv_wacc)^K1163</f>
        <v>0.37615986172225</v>
      </c>
      <c r="L1209" s="43" t="n">
        <f aca="false">1/(1+lv_wacc)^L1163</f>
        <v>0.332884833382522</v>
      </c>
      <c r="M1209" s="43" t="n">
        <f aca="false">1/(1+lv_wacc)^M1163</f>
        <v>0.294588348126126</v>
      </c>
    </row>
    <row r="1210" customFormat="false" ht="15" hidden="false" customHeight="false" outlineLevel="0" collapsed="false">
      <c r="A1210" s="9" t="s">
        <v>512</v>
      </c>
      <c r="C1210" s="46" t="n">
        <f aca="false">99</f>
        <v>99</v>
      </c>
      <c r="D1210" s="46" t="n">
        <f aca="false">IF(D1194&gt;=0,D1163,99)</f>
        <v>99</v>
      </c>
      <c r="E1210" s="46" t="n">
        <f aca="false">IF(E1194&gt;=0,E1163,99)</f>
        <v>99</v>
      </c>
      <c r="F1210" s="46" t="n">
        <f aca="false">IF(F1194&gt;=0,F1163,99)</f>
        <v>99</v>
      </c>
      <c r="G1210" s="46" t="n">
        <f aca="false">IF(G1194&gt;=0,G1163,99)</f>
        <v>99</v>
      </c>
      <c r="H1210" s="46" t="n">
        <f aca="false">IF(H1194&gt;=0,H1163,99)</f>
        <v>99</v>
      </c>
      <c r="I1210" s="46" t="n">
        <f aca="false">IF(I1194&gt;=0,I1163,99)</f>
        <v>99</v>
      </c>
      <c r="J1210" s="46" t="n">
        <f aca="false">IF(J1194&gt;=0,J1163,99)</f>
        <v>99</v>
      </c>
      <c r="K1210" s="46" t="n">
        <f aca="false">IF(K1194&gt;=0,K1163,99)</f>
        <v>99</v>
      </c>
      <c r="L1210" s="46" t="n">
        <f aca="false">IF(L1194&gt;=0,L1163,99)</f>
        <v>99</v>
      </c>
      <c r="M1210" s="46" t="n">
        <f aca="false">IF(M1194&gt;=0,M1163,99)</f>
        <v>99</v>
      </c>
    </row>
    <row r="1211" customFormat="false" ht="15" hidden="false" customHeight="false" outlineLevel="0" collapsed="false">
      <c r="A1211" s="9" t="s">
        <v>513</v>
      </c>
      <c r="C1211" s="46" t="n">
        <f aca="false">99</f>
        <v>99</v>
      </c>
      <c r="D1211" s="46" t="n">
        <f aca="false">IF(D1194+D1191&gt;=0,D1163,99)</f>
        <v>99</v>
      </c>
      <c r="E1211" s="46" t="n">
        <f aca="false">IF(E1194+E1191&gt;=0,E1163,99)</f>
        <v>99</v>
      </c>
      <c r="F1211" s="46" t="n">
        <f aca="false">IF(F1194+F1191&gt;=0,F1163,99)</f>
        <v>99</v>
      </c>
      <c r="G1211" s="46" t="n">
        <f aca="false">IF(G1194+G1191&gt;=0,G1163,99)</f>
        <v>99</v>
      </c>
      <c r="H1211" s="46" t="n">
        <f aca="false">IF(H1194+H1191&gt;=0,H1163,99)</f>
        <v>99</v>
      </c>
      <c r="I1211" s="46" t="n">
        <f aca="false">IF(I1194+I1191&gt;=0,I1163,99)</f>
        <v>99</v>
      </c>
      <c r="J1211" s="46" t="n">
        <f aca="false">IF(J1194+J1191&gt;=0,J1163,99)</f>
        <v>99</v>
      </c>
      <c r="K1211" s="46" t="n">
        <f aca="false">IF(K1194+K1191&gt;=0,K1163,99)</f>
        <v>99</v>
      </c>
      <c r="L1211" s="46" t="n">
        <f aca="false">IF(L1194+L1191&gt;=0,L1163,99)</f>
        <v>99</v>
      </c>
      <c r="M1211" s="46" t="n">
        <f aca="false">IF(M1194+M1191&gt;=0,M1163,99)</f>
        <v>99</v>
      </c>
    </row>
    <row r="1212" customFormat="false" ht="15" hidden="false" customHeight="false" outlineLevel="0" collapsed="false">
      <c r="A1212" s="9" t="s">
        <v>514</v>
      </c>
      <c r="C1212" s="46" t="n">
        <f aca="false">99</f>
        <v>99</v>
      </c>
      <c r="D1212" s="46" t="n">
        <f aca="false">IF(D1204&gt;=0,D1163,99)</f>
        <v>99</v>
      </c>
      <c r="E1212" s="46" t="n">
        <f aca="false">IF(E1204&gt;=0,E1163,99)</f>
        <v>99</v>
      </c>
      <c r="F1212" s="46" t="n">
        <f aca="false">IF(F1204&gt;=0,F1163,99)</f>
        <v>99</v>
      </c>
      <c r="G1212" s="46" t="n">
        <f aca="false">IF(G1204&gt;=0,G1163,99)</f>
        <v>99</v>
      </c>
      <c r="H1212" s="46" t="n">
        <f aca="false">IF(H1204&gt;=0,H1163,99)</f>
        <v>99</v>
      </c>
      <c r="I1212" s="46" t="n">
        <f aca="false">IF(I1204&gt;=0,I1163,99)</f>
        <v>99</v>
      </c>
      <c r="J1212" s="46" t="n">
        <f aca="false">IF(J1204&gt;=0,J1163,99)</f>
        <v>99</v>
      </c>
      <c r="K1212" s="46" t="n">
        <f aca="false">IF(K1204&gt;=0,K1163,99)</f>
        <v>99</v>
      </c>
      <c r="L1212" s="46" t="n">
        <f aca="false">IF(L1204&gt;=0,L1163,99)</f>
        <v>99</v>
      </c>
      <c r="M1212" s="46" t="n">
        <f aca="false">IF(M1204&gt;=0,M1163,99)</f>
        <v>99</v>
      </c>
    </row>
    <row r="1213" customFormat="false" ht="15" hidden="false" customHeight="false" outlineLevel="0" collapsed="false">
      <c r="A1213" s="9" t="s">
        <v>515</v>
      </c>
      <c r="C1213" s="46" t="n">
        <f aca="false">99</f>
        <v>99</v>
      </c>
      <c r="D1213" s="46" t="n">
        <f aca="false">IF(D1206&gt;=0,D1163,99)</f>
        <v>99</v>
      </c>
      <c r="E1213" s="46" t="n">
        <f aca="false">IF(E1206&gt;=0,E1163,99)</f>
        <v>99</v>
      </c>
      <c r="F1213" s="46" t="n">
        <f aca="false">IF(F1206&gt;=0,F1163,99)</f>
        <v>99</v>
      </c>
      <c r="G1213" s="46" t="n">
        <f aca="false">IF(G1206&gt;=0,G1163,99)</f>
        <v>99</v>
      </c>
      <c r="H1213" s="46" t="n">
        <f aca="false">IF(H1206&gt;=0,H1163,99)</f>
        <v>99</v>
      </c>
      <c r="I1213" s="46" t="n">
        <f aca="false">IF(I1206&gt;=0,I1163,99)</f>
        <v>99</v>
      </c>
      <c r="J1213" s="46" t="n">
        <f aca="false">IF(J1206&gt;=0,J1163,99)</f>
        <v>99</v>
      </c>
      <c r="K1213" s="46" t="n">
        <f aca="false">IF(K1206&gt;=0,K1163,99)</f>
        <v>99</v>
      </c>
      <c r="L1213" s="46" t="n">
        <f aca="false">IF(L1206&gt;=0,L1163,99)</f>
        <v>99</v>
      </c>
      <c r="M1213" s="46" t="n">
        <f aca="false">IF(M1206&gt;=0,M1163,99)</f>
        <v>99</v>
      </c>
    </row>
    <row r="1214" customFormat="false" ht="15" hidden="false" customHeight="false" outlineLevel="0" collapsed="false">
      <c r="A1214" s="9" t="s">
        <v>516</v>
      </c>
      <c r="C1214" s="46" t="n">
        <f aca="false">99</f>
        <v>99</v>
      </c>
      <c r="D1214" s="46" t="n">
        <f aca="false">IF(D1208&gt;=0,D1163,99)</f>
        <v>99</v>
      </c>
      <c r="E1214" s="46" t="n">
        <f aca="false">IF(E1208&gt;=0,E1163,99)</f>
        <v>99</v>
      </c>
      <c r="F1214" s="46" t="n">
        <f aca="false">IF(F1208&gt;=0,F1163,99)</f>
        <v>99</v>
      </c>
      <c r="G1214" s="46" t="n">
        <f aca="false">IF(G1208&gt;=0,G1163,99)</f>
        <v>99</v>
      </c>
      <c r="H1214" s="46" t="n">
        <f aca="false">IF(H1208&gt;=0,H1163,99)</f>
        <v>99</v>
      </c>
      <c r="I1214" s="46" t="n">
        <f aca="false">IF(I1208&gt;=0,I1163,99)</f>
        <v>99</v>
      </c>
      <c r="J1214" s="46" t="n">
        <f aca="false">IF(J1208&gt;=0,J1163,99)</f>
        <v>99</v>
      </c>
      <c r="K1214" s="46" t="n">
        <f aca="false">IF(K1208&gt;=0,K1163,99)</f>
        <v>99</v>
      </c>
      <c r="L1214" s="46" t="n">
        <f aca="false">IF(L1208&gt;=0,L1163,99)</f>
        <v>99</v>
      </c>
      <c r="M1214" s="46" t="n">
        <f aca="false">IF(M1208&gt;=0,M1163,99)</f>
        <v>99</v>
      </c>
    </row>
    <row r="1215" customFormat="false" ht="15" hidden="false" customHeight="false" outlineLevel="0" collapsed="false">
      <c r="A1215" s="4" t="s">
        <v>517</v>
      </c>
      <c r="C1215" s="23" t="n">
        <f aca="false">MIN(D1210:M1210)</f>
        <v>99</v>
      </c>
    </row>
    <row r="1216" customFormat="false" ht="15" hidden="false" customHeight="false" outlineLevel="0" collapsed="false">
      <c r="A1216" s="9" t="s">
        <v>518</v>
      </c>
      <c r="C1216" s="46" t="n">
        <f aca="false">MIN(D1211:M1211)</f>
        <v>99</v>
      </c>
    </row>
    <row r="1217" customFormat="false" ht="15" hidden="false" customHeight="false" outlineLevel="0" collapsed="false">
      <c r="A1217" s="4" t="s">
        <v>519</v>
      </c>
      <c r="C1217" s="23" t="n">
        <f aca="false">MIN(D1212:M1212)</f>
        <v>99</v>
      </c>
    </row>
    <row r="1218" customFormat="false" ht="15" hidden="false" customHeight="false" outlineLevel="0" collapsed="false">
      <c r="A1218" s="9" t="s">
        <v>520</v>
      </c>
      <c r="C1218" s="46" t="n">
        <f aca="false">MIN(D1213:M1213)</f>
        <v>99</v>
      </c>
    </row>
    <row r="1219" customFormat="false" ht="15" hidden="false" customHeight="false" outlineLevel="0" collapsed="false">
      <c r="A1219" s="9" t="s">
        <v>521</v>
      </c>
      <c r="C1219" s="46" t="n">
        <f aca="false">MIN(D1214:M1214)</f>
        <v>99</v>
      </c>
    </row>
    <row r="1220" customFormat="false" ht="15" hidden="false" customHeight="false" outlineLevel="0" collapsed="false">
      <c r="A1220" s="4" t="s">
        <v>522</v>
      </c>
      <c r="C1220" s="15" t="n">
        <f aca="false">M1208</f>
        <v>-12185.1440539238</v>
      </c>
    </row>
    <row r="1221" customFormat="false" ht="15" hidden="false" customHeight="false" outlineLevel="0" collapsed="false">
      <c r="A1221" s="9" t="s">
        <v>523</v>
      </c>
      <c r="C1221" s="36" t="n">
        <f aca="false">SUMPRODUCT(D1176:M1176,D1209:M1209)</f>
        <v>146.797700786512</v>
      </c>
    </row>
    <row r="1222" customFormat="false" ht="15" hidden="false" customHeight="false" outlineLevel="0" collapsed="false">
      <c r="A1222" s="9" t="s">
        <v>524</v>
      </c>
      <c r="C1222" s="36" t="n">
        <f aca="false">M1176*(1+a_tg)/(lv_wacc-a_tg)</f>
        <v>1400.4933820416</v>
      </c>
    </row>
    <row r="1223" customFormat="false" ht="15" hidden="false" customHeight="false" outlineLevel="0" collapsed="false">
      <c r="A1223" s="9" t="s">
        <v>314</v>
      </c>
      <c r="C1223" s="36" t="n">
        <f aca="false">C1222*M1209</f>
        <v>412.569031977206</v>
      </c>
    </row>
    <row r="1224" customFormat="false" ht="15" hidden="false" customHeight="false" outlineLevel="0" collapsed="false">
      <c r="A1224" s="4" t="s">
        <v>525</v>
      </c>
      <c r="C1224" s="15" t="n">
        <f aca="false">C1221+C1223</f>
        <v>559.366732763717</v>
      </c>
    </row>
    <row r="1225" customFormat="false" ht="15" hidden="false" customHeight="false" outlineLevel="0" collapsed="false">
      <c r="A1225" s="9" t="s">
        <v>526</v>
      </c>
      <c r="C1225" s="32" t="n">
        <f aca="false">SUMPRODUCT(D1186:M1186,D1209:M1209)-a_recovery*M1188*M1209</f>
        <v>4069.68260696466</v>
      </c>
    </row>
    <row r="1226" customFormat="false" ht="15" hidden="false" customHeight="false" outlineLevel="0" collapsed="false">
      <c r="A1226" s="9" t="s">
        <v>527</v>
      </c>
      <c r="C1226" s="36" t="n">
        <f aca="false">SUMPRODUCT(D1185:M1185,D1209:M1209)*(1-a_tax)</f>
        <v>0</v>
      </c>
    </row>
    <row r="1227" customFormat="false" ht="15" hidden="false" customHeight="false" outlineLevel="0" collapsed="false">
      <c r="A1227" s="9" t="s">
        <v>528</v>
      </c>
      <c r="C1227" s="36" t="n">
        <f aca="false">C1184*D1209</f>
        <v>141.592920353982</v>
      </c>
    </row>
    <row r="1228" customFormat="false" ht="15" hidden="false" customHeight="false" outlineLevel="0" collapsed="false">
      <c r="A1228" s="4" t="s">
        <v>529</v>
      </c>
      <c r="C1228" s="20" t="n">
        <f aca="false">C1224+C1226-C1225-C1227-lv_price</f>
        <v>-7651.90879455493</v>
      </c>
    </row>
    <row r="1229" customFormat="false" ht="15" hidden="false" customHeight="false" outlineLevel="0" collapsed="false">
      <c r="A1229" s="9" t="s">
        <v>530</v>
      </c>
      <c r="C1229" s="32" t="n">
        <f aca="false">C1228+SUMPRODUCT(D1205:M1205,D1209:M1209)</f>
        <v>-7277.49799471418</v>
      </c>
    </row>
    <row r="1230" customFormat="false" ht="15" hidden="false" customHeight="false" outlineLevel="0" collapsed="false">
      <c r="A1230" s="4" t="s">
        <v>531</v>
      </c>
      <c r="C1230" s="59" t="n">
        <f aca="false">lv_price/D1166</f>
        <v>30.3030303030303</v>
      </c>
    </row>
    <row r="1231" customFormat="false" ht="15" hidden="false" customHeight="false" outlineLevel="0" collapsed="false">
      <c r="A1231" s="9" t="s">
        <v>532</v>
      </c>
      <c r="C1231" s="17" t="n">
        <f aca="false">(lv_price+C1225)/D1166</f>
        <v>61.1339591436717</v>
      </c>
    </row>
    <row r="1232" customFormat="false" ht="15" hidden="false" customHeight="false" outlineLevel="0" collapsed="false">
      <c r="A1232" s="4" t="s">
        <v>533</v>
      </c>
      <c r="C1232" s="15" t="n">
        <f aca="false">(C1228+C1225)/SUMPRODUCT(D1209:M1209)</f>
        <v>-660.1668729878</v>
      </c>
    </row>
    <row r="1233" customFormat="false" ht="15" hidden="false" customHeight="false" outlineLevel="0" collapsed="false">
      <c r="A1233" s="4" t="s">
        <v>534</v>
      </c>
      <c r="C1233" s="25" t="n">
        <f aca="false">D1196</f>
        <v>5.00492125984252</v>
      </c>
    </row>
    <row r="1234" customFormat="false" ht="15" hidden="false" customHeight="false" outlineLevel="0" collapsed="false">
      <c r="A1234" s="9" t="s">
        <v>535</v>
      </c>
      <c r="C1234" s="50" t="n">
        <f aca="false">F1196</f>
        <v>5.15359251968504</v>
      </c>
    </row>
    <row r="1235" customFormat="false" ht="15" hidden="false" customHeight="false" outlineLevel="0" collapsed="false">
      <c r="A1235" s="4" t="s">
        <v>536</v>
      </c>
      <c r="C1235" s="20" t="n">
        <f aca="false">D1204</f>
        <v>-1060.16</v>
      </c>
    </row>
    <row r="1236" customFormat="false" ht="15" hidden="false" customHeight="false" outlineLevel="0" collapsed="false">
      <c r="A1236" s="9" t="s">
        <v>537</v>
      </c>
      <c r="C1236" s="32" t="n">
        <f aca="false">cf_cash-lv_mix_cash-C1184</f>
        <v>6640</v>
      </c>
    </row>
    <row r="1237" customFormat="false" ht="15" hidden="false" customHeight="false" outlineLevel="0" collapsed="false">
      <c r="A1237" s="9" t="s">
        <v>538</v>
      </c>
      <c r="C1237" s="32" t="n">
        <f aca="false">cf_debt+lv_mix_debt</f>
        <v>350</v>
      </c>
    </row>
    <row r="1238" customFormat="false" ht="15" hidden="false" customHeight="false" outlineLevel="0" collapsed="false">
      <c r="A1238" s="9" t="s">
        <v>539</v>
      </c>
      <c r="C1238" s="34" t="n">
        <f aca="false">C1237/cf_ebitda</f>
        <v>0.546875</v>
      </c>
    </row>
    <row r="1239" customFormat="false" ht="15" hidden="false" customHeight="false" outlineLevel="0" collapsed="false">
      <c r="A1239" s="9" t="s">
        <v>540</v>
      </c>
      <c r="C1239" s="32" t="n">
        <f aca="false">C1236+SUM(D1207:F1207)+3*cf_pat</f>
        <v>5353.3592</v>
      </c>
    </row>
    <row r="1241" customFormat="false" ht="15" hidden="false" customHeight="false" outlineLevel="0" collapsed="false">
      <c r="A1241" s="7" t="s">
        <v>667</v>
      </c>
      <c r="B1241" s="8"/>
      <c r="C1241" s="8"/>
      <c r="D1241" s="8"/>
      <c r="E1241" s="8"/>
      <c r="F1241" s="8"/>
      <c r="G1241" s="8"/>
      <c r="H1241" s="8"/>
      <c r="I1241" s="8"/>
      <c r="J1241" s="8"/>
      <c r="K1241" s="8"/>
      <c r="L1241" s="8"/>
      <c r="M1241" s="8"/>
      <c r="N1241" s="8"/>
    </row>
    <row r="1242" customFormat="false" ht="15" hidden="false" customHeight="false" outlineLevel="0" collapsed="false">
      <c r="A1242" s="4" t="s">
        <v>284</v>
      </c>
      <c r="C1242" s="39" t="n">
        <v>0</v>
      </c>
      <c r="D1242" s="39" t="n">
        <v>1</v>
      </c>
      <c r="E1242" s="39" t="n">
        <v>2</v>
      </c>
      <c r="F1242" s="39" t="n">
        <v>3</v>
      </c>
      <c r="G1242" s="39" t="n">
        <v>4</v>
      </c>
      <c r="H1242" s="39" t="n">
        <v>5</v>
      </c>
      <c r="I1242" s="39" t="n">
        <v>6</v>
      </c>
      <c r="J1242" s="39" t="n">
        <v>7</v>
      </c>
      <c r="K1242" s="39" t="n">
        <v>8</v>
      </c>
      <c r="L1242" s="39" t="n">
        <v>9</v>
      </c>
      <c r="M1242" s="39" t="n">
        <v>10</v>
      </c>
    </row>
    <row r="1243" customFormat="false" ht="15" hidden="false" customHeight="false" outlineLevel="0" collapsed="false">
      <c r="A1243" s="9" t="s">
        <v>285</v>
      </c>
      <c r="C1243" s="40" t="n">
        <f aca="false">cf_arr</f>
        <v>220</v>
      </c>
      <c r="D1243" s="36" t="n">
        <f aca="false">C1243*(1+lv_g)</f>
        <v>264</v>
      </c>
      <c r="E1243" s="36" t="n">
        <f aca="false">D1243*(1+lv_g)</f>
        <v>316.8</v>
      </c>
      <c r="F1243" s="36" t="n">
        <f aca="false">E1243*(1+lv_g)</f>
        <v>380.16</v>
      </c>
      <c r="G1243" s="36" t="n">
        <f aca="false">F1243*(1+lv_g)</f>
        <v>456.192</v>
      </c>
      <c r="H1243" s="36" t="n">
        <f aca="false">G1243*(1+lv_g)</f>
        <v>547.4304</v>
      </c>
      <c r="I1243" s="36" t="n">
        <f aca="false">H1243*(1+lv_g)</f>
        <v>656.91648</v>
      </c>
      <c r="J1243" s="36" t="n">
        <f aca="false">I1243*(1+lv_g)</f>
        <v>788.299776</v>
      </c>
      <c r="K1243" s="36" t="n">
        <f aca="false">J1243*(1+lv_g)</f>
        <v>945.9597312</v>
      </c>
      <c r="L1243" s="36" t="n">
        <f aca="false">K1243*(1+lv_g)</f>
        <v>1135.15167744</v>
      </c>
      <c r="M1243" s="36" t="n">
        <f aca="false">L1243*(1+lv_g)</f>
        <v>1362.182012928</v>
      </c>
    </row>
    <row r="1244" customFormat="false" ht="15" hidden="false" customHeight="false" outlineLevel="0" collapsed="false">
      <c r="A1244" s="9" t="s">
        <v>286</v>
      </c>
      <c r="C1244" s="18" t="n">
        <f aca="false">1</f>
        <v>1</v>
      </c>
      <c r="D1244" s="18" t="n">
        <f aca="false">IF(D1242&gt;=a_churn_year,1-Churn!$A$20,1)</f>
        <v>0.5</v>
      </c>
      <c r="E1244" s="18" t="n">
        <f aca="false">IF(E1242&gt;=a_churn_year,1-Churn!$A$20,1)</f>
        <v>0.5</v>
      </c>
      <c r="F1244" s="18" t="n">
        <f aca="false">IF(F1242&gt;=a_churn_year,1-Churn!$A$20,1)</f>
        <v>0.5</v>
      </c>
      <c r="G1244" s="18" t="n">
        <f aca="false">IF(G1242&gt;=a_churn_year,1-Churn!$A$20,1)</f>
        <v>0.5</v>
      </c>
      <c r="H1244" s="18" t="n">
        <f aca="false">IF(H1242&gt;=a_churn_year,1-Churn!$A$20,1)</f>
        <v>0.5</v>
      </c>
      <c r="I1244" s="18" t="n">
        <f aca="false">IF(I1242&gt;=a_churn_year,1-Churn!$A$20,1)</f>
        <v>0.5</v>
      </c>
      <c r="J1244" s="18" t="n">
        <f aca="false">IF(J1242&gt;=a_churn_year,1-Churn!$A$20,1)</f>
        <v>0.5</v>
      </c>
      <c r="K1244" s="18" t="n">
        <f aca="false">IF(K1242&gt;=a_churn_year,1-Churn!$A$20,1)</f>
        <v>0.5</v>
      </c>
      <c r="L1244" s="18" t="n">
        <f aca="false">IF(L1242&gt;=a_churn_year,1-Churn!$A$20,1)</f>
        <v>0.5</v>
      </c>
      <c r="M1244" s="18" t="n">
        <f aca="false">IF(M1242&gt;=a_churn_year,1-Churn!$A$20,1)</f>
        <v>0.5</v>
      </c>
    </row>
    <row r="1245" customFormat="false" ht="15" hidden="false" customHeight="false" outlineLevel="0" collapsed="false">
      <c r="A1245" s="4" t="s">
        <v>287</v>
      </c>
      <c r="C1245" s="41" t="n">
        <f aca="false">C1243*C1244</f>
        <v>220</v>
      </c>
      <c r="D1245" s="41" t="n">
        <f aca="false">D1243*D1244</f>
        <v>132</v>
      </c>
      <c r="E1245" s="41" t="n">
        <f aca="false">E1243*E1244</f>
        <v>158.4</v>
      </c>
      <c r="F1245" s="41" t="n">
        <f aca="false">F1243*F1244</f>
        <v>190.08</v>
      </c>
      <c r="G1245" s="41" t="n">
        <f aca="false">G1243*G1244</f>
        <v>228.096</v>
      </c>
      <c r="H1245" s="41" t="n">
        <f aca="false">H1243*H1244</f>
        <v>273.7152</v>
      </c>
      <c r="I1245" s="41" t="n">
        <f aca="false">I1243*I1244</f>
        <v>328.45824</v>
      </c>
      <c r="J1245" s="41" t="n">
        <f aca="false">J1243*J1244</f>
        <v>394.149888</v>
      </c>
      <c r="K1245" s="41" t="n">
        <f aca="false">K1243*K1244</f>
        <v>472.9798656</v>
      </c>
      <c r="L1245" s="41" t="n">
        <f aca="false">L1243*L1244</f>
        <v>567.57583872</v>
      </c>
      <c r="M1245" s="41" t="n">
        <f aca="false">M1243*M1244</f>
        <v>681.091006464</v>
      </c>
    </row>
    <row r="1246" customFormat="false" ht="15" hidden="false" customHeight="false" outlineLevel="0" collapsed="false">
      <c r="A1246" s="9" t="s">
        <v>288</v>
      </c>
      <c r="C1246" s="18" t="n">
        <f aca="false">MIN(a_m0+a_mstep*C1242,a_mcap)</f>
        <v>0</v>
      </c>
      <c r="D1246" s="18" t="n">
        <f aca="false">MIN(a_m0+a_mstep*D1242,a_mcap)</f>
        <v>0.05</v>
      </c>
      <c r="E1246" s="18" t="n">
        <f aca="false">MIN(a_m0+a_mstep*E1242,a_mcap)</f>
        <v>0.1</v>
      </c>
      <c r="F1246" s="18" t="n">
        <f aca="false">MIN(a_m0+a_mstep*F1242,a_mcap)</f>
        <v>0.15</v>
      </c>
      <c r="G1246" s="18" t="n">
        <f aca="false">MIN(a_m0+a_mstep*G1242,a_mcap)</f>
        <v>0.2</v>
      </c>
      <c r="H1246" s="18" t="n">
        <f aca="false">MIN(a_m0+a_mstep*H1242,a_mcap)</f>
        <v>0.25</v>
      </c>
      <c r="I1246" s="18" t="n">
        <f aca="false">MIN(a_m0+a_mstep*I1242,a_mcap)</f>
        <v>0.25</v>
      </c>
      <c r="J1246" s="18" t="n">
        <f aca="false">MIN(a_m0+a_mstep*J1242,a_mcap)</f>
        <v>0.25</v>
      </c>
      <c r="K1246" s="18" t="n">
        <f aca="false">MIN(a_m0+a_mstep*K1242,a_mcap)</f>
        <v>0.25</v>
      </c>
      <c r="L1246" s="18" t="n">
        <f aca="false">MIN(a_m0+a_mstep*L1242,a_mcap)</f>
        <v>0.25</v>
      </c>
      <c r="M1246" s="18" t="n">
        <f aca="false">MIN(a_m0+a_mstep*M1242,a_mcap)</f>
        <v>0.25</v>
      </c>
    </row>
    <row r="1247" customFormat="false" ht="15" hidden="false" customHeight="false" outlineLevel="0" collapsed="false">
      <c r="A1247" s="9" t="s">
        <v>289</v>
      </c>
      <c r="C1247" s="36" t="n">
        <f aca="false">IF(C1242=a_churn_year,a_sticky*(C1243-C1245)*(1-C1246),0)</f>
        <v>0</v>
      </c>
      <c r="D1247" s="36" t="n">
        <f aca="false">IF(D1242=a_churn_year,a_sticky*(D1243-D1245)*(1-D1246),0)</f>
        <v>62.7</v>
      </c>
      <c r="E1247" s="36" t="n">
        <f aca="false">IF(E1242=a_churn_year,a_sticky*(E1243-E1245)*(1-E1246),0)</f>
        <v>0</v>
      </c>
      <c r="F1247" s="36" t="n">
        <f aca="false">IF(F1242=a_churn_year,a_sticky*(F1243-F1245)*(1-F1246),0)</f>
        <v>0</v>
      </c>
      <c r="G1247" s="36" t="n">
        <f aca="false">IF(G1242=a_churn_year,a_sticky*(G1243-G1245)*(1-G1246),0)</f>
        <v>0</v>
      </c>
      <c r="H1247" s="36" t="n">
        <f aca="false">IF(H1242=a_churn_year,a_sticky*(H1243-H1245)*(1-H1246),0)</f>
        <v>0</v>
      </c>
      <c r="I1247" s="36" t="n">
        <f aca="false">IF(I1242=a_churn_year,a_sticky*(I1243-I1245)*(1-I1246),0)</f>
        <v>0</v>
      </c>
      <c r="J1247" s="36" t="n">
        <f aca="false">IF(J1242=a_churn_year,a_sticky*(J1243-J1245)*(1-J1246),0)</f>
        <v>0</v>
      </c>
      <c r="K1247" s="36" t="n">
        <f aca="false">IF(K1242=a_churn_year,a_sticky*(K1243-K1245)*(1-K1246),0)</f>
        <v>0</v>
      </c>
      <c r="L1247" s="36" t="n">
        <f aca="false">IF(L1242=a_churn_year,a_sticky*(L1243-L1245)*(1-L1246),0)</f>
        <v>0</v>
      </c>
      <c r="M1247" s="36" t="n">
        <f aca="false">IF(M1242=a_churn_year,a_sticky*(M1243-M1245)*(1-M1246),0)</f>
        <v>0</v>
      </c>
    </row>
    <row r="1248" customFormat="false" ht="15" hidden="false" customHeight="false" outlineLevel="0" collapsed="false">
      <c r="A1248" s="4" t="s">
        <v>290</v>
      </c>
      <c r="C1248" s="41" t="n">
        <f aca="false">C1245*C1246-C1247</f>
        <v>0</v>
      </c>
      <c r="D1248" s="41" t="n">
        <f aca="false">D1245*D1246-D1247</f>
        <v>-56.1</v>
      </c>
      <c r="E1248" s="41" t="n">
        <f aca="false">E1245*E1246-E1247</f>
        <v>15.84</v>
      </c>
      <c r="F1248" s="41" t="n">
        <f aca="false">F1245*F1246-F1247</f>
        <v>28.512</v>
      </c>
      <c r="G1248" s="41" t="n">
        <f aca="false">G1245*G1246-G1247</f>
        <v>45.6192</v>
      </c>
      <c r="H1248" s="41" t="n">
        <f aca="false">H1245*H1246-H1247</f>
        <v>68.4288</v>
      </c>
      <c r="I1248" s="41" t="n">
        <f aca="false">I1245*I1246-I1247</f>
        <v>82.11456</v>
      </c>
      <c r="J1248" s="41" t="n">
        <f aca="false">J1245*J1246-J1247</f>
        <v>98.537472</v>
      </c>
      <c r="K1248" s="41" t="n">
        <f aca="false">K1245*K1246-K1247</f>
        <v>118.2449664</v>
      </c>
      <c r="L1248" s="41" t="n">
        <f aca="false">L1245*L1246-L1247</f>
        <v>141.89395968</v>
      </c>
      <c r="M1248" s="41" t="n">
        <f aca="false">M1245*M1246-M1247</f>
        <v>170.272751616</v>
      </c>
    </row>
    <row r="1249" customFormat="false" ht="15" hidden="false" customHeight="false" outlineLevel="0" collapsed="false">
      <c r="A1249" s="9" t="s">
        <v>291</v>
      </c>
      <c r="C1249" s="36" t="n">
        <f aca="false">C1245*a_da</f>
        <v>6.6</v>
      </c>
      <c r="D1249" s="36" t="n">
        <f aca="false">D1245*a_da</f>
        <v>3.96</v>
      </c>
      <c r="E1249" s="36" t="n">
        <f aca="false">E1245*a_da</f>
        <v>4.752</v>
      </c>
      <c r="F1249" s="36" t="n">
        <f aca="false">F1245*a_da</f>
        <v>5.7024</v>
      </c>
      <c r="G1249" s="36" t="n">
        <f aca="false">G1245*a_da</f>
        <v>6.84288</v>
      </c>
      <c r="H1249" s="36" t="n">
        <f aca="false">H1245*a_da</f>
        <v>8.211456</v>
      </c>
      <c r="I1249" s="36" t="n">
        <f aca="false">I1245*a_da</f>
        <v>9.8537472</v>
      </c>
      <c r="J1249" s="36" t="n">
        <f aca="false">J1245*a_da</f>
        <v>11.82449664</v>
      </c>
      <c r="K1249" s="36" t="n">
        <f aca="false">K1245*a_da</f>
        <v>14.189395968</v>
      </c>
      <c r="L1249" s="36" t="n">
        <f aca="false">L1245*a_da</f>
        <v>17.0272751616</v>
      </c>
      <c r="M1249" s="36" t="n">
        <f aca="false">M1245*a_da</f>
        <v>20.43273019392</v>
      </c>
    </row>
    <row r="1250" customFormat="false" ht="15" hidden="false" customHeight="false" outlineLevel="0" collapsed="false">
      <c r="A1250" s="9" t="s">
        <v>292</v>
      </c>
      <c r="C1250" s="36" t="n">
        <f aca="false">C1248-C1249</f>
        <v>-6.6</v>
      </c>
      <c r="D1250" s="36" t="n">
        <f aca="false">D1248-D1249</f>
        <v>-60.06</v>
      </c>
      <c r="E1250" s="36" t="n">
        <f aca="false">E1248-E1249</f>
        <v>11.088</v>
      </c>
      <c r="F1250" s="36" t="n">
        <f aca="false">F1248-F1249</f>
        <v>22.8096</v>
      </c>
      <c r="G1250" s="36" t="n">
        <f aca="false">G1248-G1249</f>
        <v>38.77632</v>
      </c>
      <c r="H1250" s="36" t="n">
        <f aca="false">H1248-H1249</f>
        <v>60.217344</v>
      </c>
      <c r="I1250" s="36" t="n">
        <f aca="false">I1248-I1249</f>
        <v>72.2608128</v>
      </c>
      <c r="J1250" s="36" t="n">
        <f aca="false">J1248-J1249</f>
        <v>86.71297536</v>
      </c>
      <c r="K1250" s="36" t="n">
        <f aca="false">K1248-K1249</f>
        <v>104.055570432</v>
      </c>
      <c r="L1250" s="36" t="n">
        <f aca="false">L1248-L1249</f>
        <v>124.8666845184</v>
      </c>
      <c r="M1250" s="36" t="n">
        <f aca="false">M1248-M1249</f>
        <v>149.84002142208</v>
      </c>
    </row>
    <row r="1251" customFormat="false" ht="15" hidden="false" customHeight="false" outlineLevel="0" collapsed="false">
      <c r="A1251" s="9" t="s">
        <v>293</v>
      </c>
      <c r="C1251" s="36" t="n">
        <f aca="false">MAX(0,C1250)*a_tax</f>
        <v>0</v>
      </c>
      <c r="D1251" s="36" t="n">
        <f aca="false">MAX(0,D1250)*a_tax</f>
        <v>0</v>
      </c>
      <c r="E1251" s="36" t="n">
        <f aca="false">MAX(0,E1250)*a_tax</f>
        <v>2.772</v>
      </c>
      <c r="F1251" s="36" t="n">
        <f aca="false">MAX(0,F1250)*a_tax</f>
        <v>5.7024</v>
      </c>
      <c r="G1251" s="36" t="n">
        <f aca="false">MAX(0,G1250)*a_tax</f>
        <v>9.69408</v>
      </c>
      <c r="H1251" s="36" t="n">
        <f aca="false">MAX(0,H1250)*a_tax</f>
        <v>15.054336</v>
      </c>
      <c r="I1251" s="36" t="n">
        <f aca="false">MAX(0,I1250)*a_tax</f>
        <v>18.0652032</v>
      </c>
      <c r="J1251" s="36" t="n">
        <f aca="false">MAX(0,J1250)*a_tax</f>
        <v>21.67824384</v>
      </c>
      <c r="K1251" s="36" t="n">
        <f aca="false">MAX(0,K1250)*a_tax</f>
        <v>26.013892608</v>
      </c>
      <c r="L1251" s="36" t="n">
        <f aca="false">MAX(0,L1250)*a_tax</f>
        <v>31.2166711296</v>
      </c>
      <c r="M1251" s="36" t="n">
        <f aca="false">MAX(0,M1250)*a_tax</f>
        <v>37.46000535552</v>
      </c>
    </row>
    <row r="1252" customFormat="false" ht="15" hidden="false" customHeight="false" outlineLevel="0" collapsed="false">
      <c r="A1252" s="4" t="s">
        <v>294</v>
      </c>
      <c r="C1252" s="42" t="n">
        <f aca="false">cf_lim_pat</f>
        <v>0</v>
      </c>
      <c r="D1252" s="41" t="n">
        <f aca="false">D1250-D1251</f>
        <v>-60.06</v>
      </c>
      <c r="E1252" s="41" t="n">
        <f aca="false">E1250-E1251</f>
        <v>8.316</v>
      </c>
      <c r="F1252" s="41" t="n">
        <f aca="false">F1250-F1251</f>
        <v>17.1072</v>
      </c>
      <c r="G1252" s="41" t="n">
        <f aca="false">G1250-G1251</f>
        <v>29.08224</v>
      </c>
      <c r="H1252" s="41" t="n">
        <f aca="false">H1250-H1251</f>
        <v>45.163008</v>
      </c>
      <c r="I1252" s="41" t="n">
        <f aca="false">I1250-I1251</f>
        <v>54.1956096</v>
      </c>
      <c r="J1252" s="41" t="n">
        <f aca="false">J1250-J1251</f>
        <v>65.03473152</v>
      </c>
      <c r="K1252" s="41" t="n">
        <f aca="false">K1250-K1251</f>
        <v>78.041677824</v>
      </c>
      <c r="L1252" s="41" t="n">
        <f aca="false">L1250-L1251</f>
        <v>93.6500133888</v>
      </c>
      <c r="M1252" s="41" t="n">
        <f aca="false">M1250-M1251</f>
        <v>112.38001606656</v>
      </c>
    </row>
    <row r="1253" customFormat="false" ht="15" hidden="false" customHeight="false" outlineLevel="0" collapsed="false">
      <c r="A1253" s="9" t="s">
        <v>295</v>
      </c>
      <c r="C1253" s="36" t="n">
        <f aca="false">C1245*a_capex</f>
        <v>6.6</v>
      </c>
      <c r="D1253" s="36" t="n">
        <f aca="false">D1245*a_capex</f>
        <v>3.96</v>
      </c>
      <c r="E1253" s="36" t="n">
        <f aca="false">E1245*a_capex</f>
        <v>4.752</v>
      </c>
      <c r="F1253" s="36" t="n">
        <f aca="false">F1245*a_capex</f>
        <v>5.7024</v>
      </c>
      <c r="G1253" s="36" t="n">
        <f aca="false">G1245*a_capex</f>
        <v>6.84288</v>
      </c>
      <c r="H1253" s="36" t="n">
        <f aca="false">H1245*a_capex</f>
        <v>8.211456</v>
      </c>
      <c r="I1253" s="36" t="n">
        <f aca="false">I1245*a_capex</f>
        <v>9.8537472</v>
      </c>
      <c r="J1253" s="36" t="n">
        <f aca="false">J1245*a_capex</f>
        <v>11.82449664</v>
      </c>
      <c r="K1253" s="36" t="n">
        <f aca="false">K1245*a_capex</f>
        <v>14.189395968</v>
      </c>
      <c r="L1253" s="36" t="n">
        <f aca="false">L1245*a_capex</f>
        <v>17.0272751616</v>
      </c>
      <c r="M1253" s="36" t="n">
        <f aca="false">M1245*a_capex</f>
        <v>20.43273019392</v>
      </c>
    </row>
    <row r="1254" customFormat="false" ht="15" hidden="false" customHeight="false" outlineLevel="0" collapsed="false">
      <c r="A1254" s="9" t="s">
        <v>296</v>
      </c>
      <c r="C1254" s="36" t="n">
        <f aca="false">0</f>
        <v>0</v>
      </c>
      <c r="D1254" s="36" t="n">
        <f aca="false">a_wc*(D1245-C1245)</f>
        <v>-4.4</v>
      </c>
      <c r="E1254" s="36" t="n">
        <f aca="false">a_wc*(E1245-D1245)</f>
        <v>1.32</v>
      </c>
      <c r="F1254" s="36" t="n">
        <f aca="false">a_wc*(F1245-E1245)</f>
        <v>1.584</v>
      </c>
      <c r="G1254" s="36" t="n">
        <f aca="false">a_wc*(G1245-F1245)</f>
        <v>1.9008</v>
      </c>
      <c r="H1254" s="36" t="n">
        <f aca="false">a_wc*(H1245-G1245)</f>
        <v>2.28096</v>
      </c>
      <c r="I1254" s="36" t="n">
        <f aca="false">a_wc*(I1245-H1245)</f>
        <v>2.737152</v>
      </c>
      <c r="J1254" s="36" t="n">
        <f aca="false">a_wc*(J1245-I1245)</f>
        <v>3.2845824</v>
      </c>
      <c r="K1254" s="36" t="n">
        <f aca="false">a_wc*(K1245-J1245)</f>
        <v>3.94149888</v>
      </c>
      <c r="L1254" s="36" t="n">
        <f aca="false">a_wc*(L1245-K1245)</f>
        <v>4.729798656</v>
      </c>
      <c r="M1254" s="36" t="n">
        <f aca="false">a_wc*(M1245-L1245)</f>
        <v>5.6757583872</v>
      </c>
    </row>
    <row r="1255" customFormat="false" ht="15" hidden="false" customHeight="false" outlineLevel="0" collapsed="false">
      <c r="A1255" s="4" t="s">
        <v>297</v>
      </c>
      <c r="C1255" s="36" t="n">
        <f aca="false">0</f>
        <v>0</v>
      </c>
      <c r="D1255" s="41" t="n">
        <f aca="false">D1252+D1249-D1253-D1254</f>
        <v>-55.66</v>
      </c>
      <c r="E1255" s="41" t="n">
        <f aca="false">E1252+E1249-E1253-E1254</f>
        <v>6.996</v>
      </c>
      <c r="F1255" s="41" t="n">
        <f aca="false">F1252+F1249-F1253-F1254</f>
        <v>15.5232</v>
      </c>
      <c r="G1255" s="41" t="n">
        <f aca="false">G1252+G1249-G1253-G1254</f>
        <v>27.18144</v>
      </c>
      <c r="H1255" s="41" t="n">
        <f aca="false">H1252+H1249-H1253-H1254</f>
        <v>42.882048</v>
      </c>
      <c r="I1255" s="41" t="n">
        <f aca="false">I1252+I1249-I1253-I1254</f>
        <v>51.4584576</v>
      </c>
      <c r="J1255" s="41" t="n">
        <f aca="false">J1252+J1249-J1253-J1254</f>
        <v>61.75014912</v>
      </c>
      <c r="K1255" s="41" t="n">
        <f aca="false">K1252+K1249-K1253-K1254</f>
        <v>74.100178944</v>
      </c>
      <c r="L1255" s="41" t="n">
        <f aca="false">L1252+L1249-L1253-L1254</f>
        <v>88.9202147328</v>
      </c>
      <c r="M1255" s="41" t="n">
        <f aca="false">M1252+M1249-M1253-M1254</f>
        <v>106.70425767936</v>
      </c>
    </row>
    <row r="1257" customFormat="false" ht="15" hidden="false" customHeight="false" outlineLevel="0" collapsed="false">
      <c r="A1257" s="7" t="s">
        <v>668</v>
      </c>
      <c r="B1257" s="8"/>
      <c r="C1257" s="8"/>
      <c r="D1257" s="8"/>
      <c r="E1257" s="8"/>
      <c r="F1257" s="8"/>
      <c r="G1257" s="8"/>
      <c r="H1257" s="8"/>
      <c r="I1257" s="8"/>
      <c r="J1257" s="8"/>
      <c r="K1257" s="8"/>
      <c r="L1257" s="8"/>
      <c r="M1257" s="8"/>
      <c r="N1257" s="8"/>
    </row>
    <row r="1258" customFormat="false" ht="15" hidden="false" customHeight="false" outlineLevel="0" collapsed="false">
      <c r="A1258" s="9" t="s">
        <v>482</v>
      </c>
      <c r="C1258" s="35" t="n">
        <f aca="false">lv_mix_eq/(c_price*(1-a_issue_disc))</f>
        <v>1.024</v>
      </c>
    </row>
    <row r="1259" customFormat="false" ht="15" hidden="false" customHeight="false" outlineLevel="0" collapsed="false">
      <c r="A1259" s="9" t="s">
        <v>449</v>
      </c>
      <c r="C1259" s="35" t="n">
        <f aca="false">cf_shares+C1258</f>
        <v>65.024</v>
      </c>
    </row>
    <row r="1260" customFormat="false" ht="15" hidden="false" customHeight="false" outlineLevel="0" collapsed="false">
      <c r="A1260" s="9" t="s">
        <v>483</v>
      </c>
      <c r="C1260" s="36" t="n">
        <f aca="false">lv_mix_cash*a_yield*(1-a_tax)+lv_mix_debt*a_kd*(1-a_tax)</f>
        <v>94.5</v>
      </c>
    </row>
    <row r="1261" customFormat="false" ht="15" hidden="false" customHeight="false" outlineLevel="0" collapsed="false">
      <c r="A1261" s="9" t="s">
        <v>484</v>
      </c>
      <c r="C1261" s="36" t="n">
        <f aca="false">lv_price*a_ppa_share/a_ppa_life*(1-a_tax)</f>
        <v>93.75</v>
      </c>
    </row>
    <row r="1262" customFormat="false" ht="15" hidden="false" customHeight="false" outlineLevel="0" collapsed="false">
      <c r="A1262" s="9" t="s">
        <v>485</v>
      </c>
      <c r="C1262" s="36" t="n">
        <f aca="false">a_ppa_on*C1261</f>
        <v>0</v>
      </c>
    </row>
    <row r="1263" customFormat="false" ht="15" hidden="false" customHeight="false" outlineLevel="0" collapsed="false">
      <c r="A1263" s="9" t="s">
        <v>486</v>
      </c>
      <c r="C1263" s="36" t="n">
        <f aca="false">lv_price*a_fees_pct+a_integ_full</f>
        <v>160</v>
      </c>
    </row>
    <row r="1264" customFormat="false" ht="15" hidden="false" customHeight="false" outlineLevel="0" collapsed="false">
      <c r="A1264" s="9" t="s">
        <v>487</v>
      </c>
      <c r="C1264" s="36" t="n">
        <f aca="false">0</f>
        <v>0</v>
      </c>
      <c r="D1264" s="36" t="n">
        <f aca="false">a_syn_on*(a_syn_partner_rev_y3+a_syn_xsell_y3)*a_mcap*IF(D1242=1,a_syn_ramp1,IF(D1242=2,a_syn_ramp2,1))+a_syn_on*IF(D1242&gt;=2,a_syn_cost,0)</f>
        <v>0</v>
      </c>
      <c r="E1264" s="36" t="n">
        <f aca="false">a_syn_on*(a_syn_partner_rev_y3+a_syn_xsell_y3)*a_mcap*IF(E1242=1,a_syn_ramp1,IF(E1242=2,a_syn_ramp2,1))+a_syn_on*IF(E1242&gt;=2,a_syn_cost,0)</f>
        <v>0</v>
      </c>
      <c r="F1264" s="36" t="n">
        <f aca="false">a_syn_on*(a_syn_partner_rev_y3+a_syn_xsell_y3)*a_mcap*IF(F1242=1,a_syn_ramp1,IF(F1242=2,a_syn_ramp2,1))+a_syn_on*IF(F1242&gt;=2,a_syn_cost,0)</f>
        <v>0</v>
      </c>
      <c r="G1264" s="36" t="n">
        <f aca="false">a_syn_on*(a_syn_partner_rev_y3+a_syn_xsell_y3)*a_mcap*IF(G1242=1,a_syn_ramp1,IF(G1242=2,a_syn_ramp2,1))+a_syn_on*IF(G1242&gt;=2,a_syn_cost,0)</f>
        <v>0</v>
      </c>
      <c r="H1264" s="36" t="n">
        <f aca="false">a_syn_on*(a_syn_partner_rev_y3+a_syn_xsell_y3)*a_mcap*IF(H1242=1,a_syn_ramp1,IF(H1242=2,a_syn_ramp2,1))+a_syn_on*IF(H1242&gt;=2,a_syn_cost,0)</f>
        <v>0</v>
      </c>
      <c r="I1264" s="36" t="n">
        <f aca="false">a_syn_on*(a_syn_partner_rev_y3+a_syn_xsell_y3)*a_mcap*IF(I1242=1,a_syn_ramp1,IF(I1242=2,a_syn_ramp2,1))+a_syn_on*IF(I1242&gt;=2,a_syn_cost,0)</f>
        <v>0</v>
      </c>
      <c r="J1264" s="36" t="n">
        <f aca="false">a_syn_on*(a_syn_partner_rev_y3+a_syn_xsell_y3)*a_mcap*IF(J1242=1,a_syn_ramp1,IF(J1242=2,a_syn_ramp2,1))+a_syn_on*IF(J1242&gt;=2,a_syn_cost,0)</f>
        <v>0</v>
      </c>
      <c r="K1264" s="36" t="n">
        <f aca="false">a_syn_on*(a_syn_partner_rev_y3+a_syn_xsell_y3)*a_mcap*IF(K1242=1,a_syn_ramp1,IF(K1242=2,a_syn_ramp2,1))+a_syn_on*IF(K1242&gt;=2,a_syn_cost,0)</f>
        <v>0</v>
      </c>
      <c r="L1264" s="36" t="n">
        <f aca="false">a_syn_on*(a_syn_partner_rev_y3+a_syn_xsell_y3)*a_mcap*IF(L1242=1,a_syn_ramp1,IF(L1242=2,a_syn_ramp2,1))+a_syn_on*IF(L1242&gt;=2,a_syn_cost,0)</f>
        <v>0</v>
      </c>
      <c r="M1264" s="36" t="n">
        <f aca="false">a_syn_on*(a_syn_partner_rev_y3+a_syn_xsell_y3)*a_mcap*IF(M1242=1,a_syn_ramp1,IF(M1242=2,a_syn_ramp2,1))+a_syn_on*IF(M1242&gt;=2,a_syn_cost,0)</f>
        <v>0</v>
      </c>
    </row>
    <row r="1265" customFormat="false" ht="15" hidden="false" customHeight="false" outlineLevel="0" collapsed="false">
      <c r="A1265" s="9" t="s">
        <v>488</v>
      </c>
      <c r="C1265" s="36" t="n">
        <f aca="false">0</f>
        <v>0</v>
      </c>
      <c r="D1265" s="36" t="n">
        <f aca="false">CHOOSE(lv_drag_mode,0,0*D1245/cf_arr,0*(1-a_tax))</f>
        <v>0</v>
      </c>
      <c r="E1265" s="36" t="n">
        <f aca="false">CHOOSE(lv_drag_mode,0,0*E1245/cf_arr,0*(1-a_tax))</f>
        <v>0</v>
      </c>
      <c r="F1265" s="36" t="n">
        <f aca="false">CHOOSE(lv_drag_mode,0,0*F1245/cf_arr,0*(1-a_tax))</f>
        <v>0</v>
      </c>
      <c r="G1265" s="36" t="n">
        <f aca="false">CHOOSE(lv_drag_mode,0,0*G1245/cf_arr,0*(1-a_tax))</f>
        <v>0</v>
      </c>
      <c r="H1265" s="36" t="n">
        <f aca="false">CHOOSE(lv_drag_mode,0,0*H1245/cf_arr,0*(1-a_tax))</f>
        <v>0</v>
      </c>
      <c r="I1265" s="36" t="n">
        <f aca="false">CHOOSE(lv_drag_mode,0,0*I1245/cf_arr,0*(1-a_tax))</f>
        <v>0</v>
      </c>
      <c r="J1265" s="36" t="n">
        <f aca="false">CHOOSE(lv_drag_mode,0,0*J1245/cf_arr,0*(1-a_tax))</f>
        <v>0</v>
      </c>
      <c r="K1265" s="36" t="n">
        <f aca="false">CHOOSE(lv_drag_mode,0,0*K1245/cf_arr,0*(1-a_tax))</f>
        <v>0</v>
      </c>
      <c r="L1265" s="36" t="n">
        <f aca="false">CHOOSE(lv_drag_mode,0,0*L1245/cf_arr,0*(1-a_tax))</f>
        <v>0</v>
      </c>
      <c r="M1265" s="36" t="n">
        <f aca="false">CHOOSE(lv_drag_mode,0,0*M1245/cf_arr,0*(1-a_tax))</f>
        <v>0</v>
      </c>
    </row>
    <row r="1266" customFormat="false" ht="15" hidden="false" customHeight="false" outlineLevel="0" collapsed="false">
      <c r="A1266" s="9" t="s">
        <v>489</v>
      </c>
      <c r="C1266" s="36" t="n">
        <f aca="false">0</f>
        <v>0</v>
      </c>
      <c r="D1266" s="36" t="n">
        <f aca="false">IF(lv_drag_mode=3,0*(1-a_tax),0)</f>
        <v>0</v>
      </c>
      <c r="E1266" s="36" t="n">
        <f aca="false">IF(lv_drag_mode=3,0*(1-a_tax),0)</f>
        <v>0</v>
      </c>
      <c r="F1266" s="36" t="n">
        <f aca="false">IF(lv_drag_mode=3,0*(1-a_tax),0)</f>
        <v>0</v>
      </c>
      <c r="G1266" s="36" t="n">
        <f aca="false">IF(lv_drag_mode=3,0*(1-a_tax),0)</f>
        <v>0</v>
      </c>
      <c r="H1266" s="36" t="n">
        <f aca="false">IF(lv_drag_mode=3,0*(1-a_tax),0)</f>
        <v>0</v>
      </c>
      <c r="I1266" s="36" t="n">
        <f aca="false">IF(lv_drag_mode=3,0*(1-a_tax),0)</f>
        <v>0</v>
      </c>
      <c r="J1266" s="36" t="n">
        <f aca="false">IF(lv_drag_mode=3,0*(1-a_tax),0)</f>
        <v>0</v>
      </c>
      <c r="K1266" s="36" t="n">
        <f aca="false">IF(lv_drag_mode=3,0*(1-a_tax),0)</f>
        <v>0</v>
      </c>
      <c r="L1266" s="36" t="n">
        <f aca="false">IF(lv_drag_mode=3,0*(1-a_tax),0)</f>
        <v>0</v>
      </c>
      <c r="M1266" s="36" t="n">
        <f aca="false">IF(lv_drag_mode=3,0*(1-a_tax),0)</f>
        <v>0</v>
      </c>
    </row>
    <row r="1267" customFormat="false" ht="15" hidden="false" customHeight="false" outlineLevel="0" collapsed="false">
      <c r="A1267" s="9" t="s">
        <v>490</v>
      </c>
      <c r="C1267" s="36" t="n">
        <f aca="false">0</f>
        <v>0</v>
      </c>
      <c r="D1267" s="36" t="n">
        <f aca="false">IF(lv_drag_mode=3,0,C1267+D1265)</f>
        <v>0</v>
      </c>
      <c r="E1267" s="36" t="n">
        <f aca="false">IF(lv_drag_mode=3,0,D1267+E1265)</f>
        <v>0</v>
      </c>
      <c r="F1267" s="36" t="n">
        <f aca="false">IF(lv_drag_mode=3,0,E1267+F1265)</f>
        <v>0</v>
      </c>
      <c r="G1267" s="36" t="n">
        <f aca="false">IF(lv_drag_mode=3,0,F1267+G1265)</f>
        <v>0</v>
      </c>
      <c r="H1267" s="36" t="n">
        <f aca="false">IF(lv_drag_mode=3,0,G1267+H1265)</f>
        <v>0</v>
      </c>
      <c r="I1267" s="36" t="n">
        <f aca="false">IF(lv_drag_mode=3,0,H1267+I1265)</f>
        <v>0</v>
      </c>
      <c r="J1267" s="36" t="n">
        <f aca="false">IF(lv_drag_mode=3,0,I1267+J1265)</f>
        <v>0</v>
      </c>
      <c r="K1267" s="36" t="n">
        <f aca="false">IF(lv_drag_mode=3,0,J1267+K1265)</f>
        <v>0</v>
      </c>
      <c r="L1267" s="36" t="n">
        <f aca="false">IF(lv_drag_mode=3,0,K1267+L1265)</f>
        <v>0</v>
      </c>
      <c r="M1267" s="36" t="n">
        <f aca="false">IF(lv_drag_mode=3,0,L1267+M1265)</f>
        <v>0</v>
      </c>
    </row>
    <row r="1268" customFormat="false" ht="15" hidden="false" customHeight="false" outlineLevel="0" collapsed="false">
      <c r="A1268" s="9" t="s">
        <v>491</v>
      </c>
      <c r="C1268" s="36" t="n">
        <f aca="false">0</f>
        <v>0</v>
      </c>
      <c r="D1268" s="36" t="n">
        <f aca="false">C1267*a_yield*(1-a_tax)</f>
        <v>0</v>
      </c>
      <c r="E1268" s="36" t="n">
        <f aca="false">D1267*a_yield*(1-a_tax)</f>
        <v>0</v>
      </c>
      <c r="F1268" s="36" t="n">
        <f aca="false">E1267*a_yield*(1-a_tax)</f>
        <v>0</v>
      </c>
      <c r="G1268" s="36" t="n">
        <f aca="false">F1267*a_yield*(1-a_tax)</f>
        <v>0</v>
      </c>
      <c r="H1268" s="36" t="n">
        <f aca="false">G1267*a_yield*(1-a_tax)</f>
        <v>0</v>
      </c>
      <c r="I1268" s="36" t="n">
        <f aca="false">H1267*a_yield*(1-a_tax)</f>
        <v>0</v>
      </c>
      <c r="J1268" s="36" t="n">
        <f aca="false">I1267*a_yield*(1-a_tax)</f>
        <v>0</v>
      </c>
      <c r="K1268" s="36" t="n">
        <f aca="false">J1267*a_yield*(1-a_tax)</f>
        <v>0</v>
      </c>
      <c r="L1268" s="36" t="n">
        <f aca="false">K1267*a_yield*(1-a_tax)</f>
        <v>0</v>
      </c>
      <c r="M1268" s="36" t="n">
        <f aca="false">L1267*a_yield*(1-a_tax)</f>
        <v>0</v>
      </c>
    </row>
    <row r="1269" customFormat="false" ht="15" hidden="false" customHeight="false" outlineLevel="0" collapsed="false">
      <c r="A1269" s="9" t="s">
        <v>492</v>
      </c>
      <c r="C1269" s="36" t="n">
        <f aca="false">cf_pat</f>
        <v>480</v>
      </c>
      <c r="D1269" s="36" t="n">
        <f aca="false">cf_pat*(1+a_pat_growth)^D1242</f>
        <v>480</v>
      </c>
      <c r="E1269" s="36" t="n">
        <f aca="false">cf_pat*(1+a_pat_growth)^E1242</f>
        <v>480</v>
      </c>
      <c r="F1269" s="36" t="n">
        <f aca="false">cf_pat*(1+a_pat_growth)^F1242</f>
        <v>480</v>
      </c>
      <c r="G1269" s="36" t="n">
        <f aca="false">cf_pat*(1+a_pat_growth)^G1242</f>
        <v>480</v>
      </c>
      <c r="H1269" s="36" t="n">
        <f aca="false">cf_pat*(1+a_pat_growth)^H1242</f>
        <v>480</v>
      </c>
      <c r="I1269" s="36" t="n">
        <f aca="false">cf_pat*(1+a_pat_growth)^I1242</f>
        <v>480</v>
      </c>
      <c r="J1269" s="36" t="n">
        <f aca="false">cf_pat*(1+a_pat_growth)^J1242</f>
        <v>480</v>
      </c>
      <c r="K1269" s="36" t="n">
        <f aca="false">cf_pat*(1+a_pat_growth)^K1242</f>
        <v>480</v>
      </c>
      <c r="L1269" s="36" t="n">
        <f aca="false">cf_pat*(1+a_pat_growth)^L1242</f>
        <v>480</v>
      </c>
      <c r="M1269" s="36" t="n">
        <f aca="false">cf_pat*(1+a_pat_growth)^M1242</f>
        <v>480</v>
      </c>
    </row>
    <row r="1270" customFormat="false" ht="15" hidden="false" customHeight="false" outlineLevel="0" collapsed="false">
      <c r="A1270" s="9" t="s">
        <v>493</v>
      </c>
      <c r="C1270" s="36" t="n">
        <f aca="false">0</f>
        <v>0</v>
      </c>
      <c r="D1270" s="36" t="n">
        <f aca="false">cf_mdr*a_mdr_flow*(1-a_tax)</f>
        <v>69</v>
      </c>
      <c r="E1270" s="36" t="n">
        <f aca="false">cf_mdr*a_mdr_flow*(1-a_tax)</f>
        <v>69</v>
      </c>
      <c r="F1270" s="36" t="n">
        <f aca="false">cf_mdr*a_mdr_flow*(1-a_tax)</f>
        <v>69</v>
      </c>
      <c r="G1270" s="36" t="n">
        <f aca="false">cf_mdr*a_mdr_flow*(1-a_tax)</f>
        <v>69</v>
      </c>
      <c r="H1270" s="36" t="n">
        <f aca="false">cf_mdr*a_mdr_flow*(1-a_tax)</f>
        <v>69</v>
      </c>
      <c r="I1270" s="36" t="n">
        <f aca="false">cf_mdr*a_mdr_flow*(1-a_tax)</f>
        <v>69</v>
      </c>
      <c r="J1270" s="36" t="n">
        <f aca="false">cf_mdr*a_mdr_flow*(1-a_tax)</f>
        <v>69</v>
      </c>
      <c r="K1270" s="36" t="n">
        <f aca="false">cf_mdr*a_mdr_flow*(1-a_tax)</f>
        <v>69</v>
      </c>
      <c r="L1270" s="36" t="n">
        <f aca="false">cf_mdr*a_mdr_flow*(1-a_tax)</f>
        <v>69</v>
      </c>
      <c r="M1270" s="36" t="n">
        <f aca="false">cf_mdr*a_mdr_flow*(1-a_tax)</f>
        <v>69</v>
      </c>
    </row>
    <row r="1271" customFormat="false" ht="15" hidden="false" customHeight="false" outlineLevel="0" collapsed="false">
      <c r="A1271" s="9" t="s">
        <v>494</v>
      </c>
      <c r="C1271" s="50" t="n">
        <f aca="false">cf_eps</f>
        <v>7.5</v>
      </c>
      <c r="D1271" s="50" t="n">
        <f aca="false">D1269/cf_shares</f>
        <v>7.5</v>
      </c>
      <c r="E1271" s="50" t="n">
        <f aca="false">E1269/cf_shares</f>
        <v>7.5</v>
      </c>
      <c r="F1271" s="50" t="n">
        <f aca="false">F1269/cf_shares</f>
        <v>7.5</v>
      </c>
      <c r="G1271" s="50" t="n">
        <f aca="false">G1269/cf_shares</f>
        <v>7.5</v>
      </c>
      <c r="H1271" s="50" t="n">
        <f aca="false">H1269/cf_shares</f>
        <v>7.5</v>
      </c>
      <c r="I1271" s="50" t="n">
        <f aca="false">I1269/cf_shares</f>
        <v>7.5</v>
      </c>
      <c r="J1271" s="50" t="n">
        <f aca="false">J1269/cf_shares</f>
        <v>7.5</v>
      </c>
      <c r="K1271" s="50" t="n">
        <f aca="false">K1269/cf_shares</f>
        <v>7.5</v>
      </c>
      <c r="L1271" s="50" t="n">
        <f aca="false">L1269/cf_shares</f>
        <v>7.5</v>
      </c>
      <c r="M1271" s="50" t="n">
        <f aca="false">M1269/cf_shares</f>
        <v>7.5</v>
      </c>
    </row>
    <row r="1272" customFormat="false" ht="15" hidden="false" customHeight="false" outlineLevel="0" collapsed="false">
      <c r="A1272" s="9" t="s">
        <v>495</v>
      </c>
      <c r="C1272" s="50" t="n">
        <f aca="false">cf_eps</f>
        <v>7.5</v>
      </c>
      <c r="D1272" s="50" t="n">
        <f aca="false">(D1269+D1270)/cf_shares</f>
        <v>8.578125</v>
      </c>
      <c r="E1272" s="50" t="n">
        <f aca="false">(E1269+E1270)/cf_shares</f>
        <v>8.578125</v>
      </c>
      <c r="F1272" s="50" t="n">
        <f aca="false">(F1269+F1270)/cf_shares</f>
        <v>8.578125</v>
      </c>
      <c r="G1272" s="50" t="n">
        <f aca="false">(G1269+G1270)/cf_shares</f>
        <v>8.578125</v>
      </c>
      <c r="H1272" s="50" t="n">
        <f aca="false">(H1269+H1270)/cf_shares</f>
        <v>8.578125</v>
      </c>
      <c r="I1272" s="50" t="n">
        <f aca="false">(I1269+I1270)/cf_shares</f>
        <v>8.578125</v>
      </c>
      <c r="J1272" s="50" t="n">
        <f aca="false">(J1269+J1270)/cf_shares</f>
        <v>8.578125</v>
      </c>
      <c r="K1272" s="50" t="n">
        <f aca="false">(K1269+K1270)/cf_shares</f>
        <v>8.578125</v>
      </c>
      <c r="L1272" s="50" t="n">
        <f aca="false">(L1269+L1270)/cf_shares</f>
        <v>8.578125</v>
      </c>
      <c r="M1272" s="50" t="n">
        <f aca="false">(M1269+M1270)/cf_shares</f>
        <v>8.578125</v>
      </c>
    </row>
    <row r="1273" customFormat="false" ht="15" hidden="false" customHeight="false" outlineLevel="0" collapsed="false">
      <c r="A1273" s="4" t="s">
        <v>496</v>
      </c>
      <c r="C1273" s="41" t="n">
        <f aca="false">-C1260-C1262</f>
        <v>-94.5</v>
      </c>
      <c r="D1273" s="41" t="n">
        <f aca="false">D1252+D1264*(1-a_tax)-C1260-C1262-D1266-D1268</f>
        <v>-154.56</v>
      </c>
      <c r="E1273" s="41" t="n">
        <f aca="false">E1252+E1264*(1-a_tax)-C1260-C1262-E1266-E1268</f>
        <v>-86.184</v>
      </c>
      <c r="F1273" s="41" t="n">
        <f aca="false">F1252+F1264*(1-a_tax)-C1260-C1262-F1266-F1268</f>
        <v>-77.3928</v>
      </c>
      <c r="G1273" s="41" t="n">
        <f aca="false">G1252+G1264*(1-a_tax)-C1260-C1262-G1266-G1268</f>
        <v>-65.41776</v>
      </c>
      <c r="H1273" s="41" t="n">
        <f aca="false">H1252+H1264*(1-a_tax)-C1260-C1262-H1266-H1268</f>
        <v>-49.336992</v>
      </c>
      <c r="I1273" s="41" t="n">
        <f aca="false">I1252+I1264*(1-a_tax)-C1260-C1262-I1266-I1268</f>
        <v>-40.3043904</v>
      </c>
      <c r="J1273" s="41" t="n">
        <f aca="false">J1252+J1264*(1-a_tax)-C1260-C1262-J1266-J1268</f>
        <v>-29.46526848</v>
      </c>
      <c r="K1273" s="41" t="n">
        <f aca="false">K1252+K1264*(1-a_tax)-C1260-C1262-K1266-K1268</f>
        <v>-16.458322176</v>
      </c>
      <c r="L1273" s="41" t="n">
        <f aca="false">L1252+L1264*(1-a_tax)-C1260-C1262-L1266-L1268</f>
        <v>-0.849986611200023</v>
      </c>
      <c r="M1273" s="41" t="n">
        <f aca="false">M1252+M1264*(1-a_tax)-C1260-C1262-M1266-M1268</f>
        <v>17.88001606656</v>
      </c>
    </row>
    <row r="1274" customFormat="false" ht="15" hidden="false" customHeight="false" outlineLevel="0" collapsed="false">
      <c r="A1274" s="9" t="s">
        <v>497</v>
      </c>
      <c r="C1274" s="36" t="n">
        <f aca="false">C1269+C1273</f>
        <v>385.5</v>
      </c>
      <c r="D1274" s="36" t="n">
        <f aca="false">D1269+D1273</f>
        <v>325.44</v>
      </c>
      <c r="E1274" s="36" t="n">
        <f aca="false">E1269+E1273</f>
        <v>393.816</v>
      </c>
      <c r="F1274" s="36" t="n">
        <f aca="false">F1269+F1273</f>
        <v>402.6072</v>
      </c>
      <c r="G1274" s="36" t="n">
        <f aca="false">G1269+G1273</f>
        <v>414.58224</v>
      </c>
      <c r="H1274" s="36" t="n">
        <f aca="false">H1269+H1273</f>
        <v>430.663008</v>
      </c>
      <c r="I1274" s="36" t="n">
        <f aca="false">I1269+I1273</f>
        <v>439.6956096</v>
      </c>
      <c r="J1274" s="36" t="n">
        <f aca="false">J1269+J1273</f>
        <v>450.53473152</v>
      </c>
      <c r="K1274" s="36" t="n">
        <f aca="false">K1269+K1273</f>
        <v>463.541677824</v>
      </c>
      <c r="L1274" s="36" t="n">
        <f aca="false">L1269+L1273</f>
        <v>479.1500133888</v>
      </c>
      <c r="M1274" s="36" t="n">
        <f aca="false">M1269+M1273</f>
        <v>497.88001606656</v>
      </c>
    </row>
    <row r="1275" customFormat="false" ht="15" hidden="false" customHeight="false" outlineLevel="0" collapsed="false">
      <c r="A1275" s="4" t="s">
        <v>498</v>
      </c>
      <c r="C1275" s="48" t="n">
        <f aca="false">C1274/C1259</f>
        <v>5.92858021653543</v>
      </c>
      <c r="D1275" s="48" t="n">
        <f aca="false">D1274/C1259</f>
        <v>5.00492125984252</v>
      </c>
      <c r="E1275" s="48" t="n">
        <f aca="false">E1274/C1259</f>
        <v>6.05647145669291</v>
      </c>
      <c r="F1275" s="48" t="n">
        <f aca="false">F1274/C1259</f>
        <v>6.19167076771654</v>
      </c>
      <c r="G1275" s="48" t="n">
        <f aca="false">G1274/C1259</f>
        <v>6.37583415354331</v>
      </c>
      <c r="H1275" s="48" t="n">
        <f aca="false">H1274/C1259</f>
        <v>6.62313927165354</v>
      </c>
      <c r="I1275" s="48" t="n">
        <f aca="false">I1274/C1259</f>
        <v>6.76205108267717</v>
      </c>
      <c r="J1275" s="48" t="n">
        <f aca="false">J1274/C1259</f>
        <v>6.92874525590551</v>
      </c>
      <c r="K1275" s="48" t="n">
        <f aca="false">K1274/C1259</f>
        <v>7.12877826377953</v>
      </c>
      <c r="L1275" s="48" t="n">
        <f aca="false">L1274/C1259</f>
        <v>7.36881787322835</v>
      </c>
      <c r="M1275" s="48" t="n">
        <f aca="false">M1274/C1259</f>
        <v>7.65686540456693</v>
      </c>
    </row>
    <row r="1276" customFormat="false" ht="15" hidden="false" customHeight="false" outlineLevel="0" collapsed="false">
      <c r="A1276" s="4" t="s">
        <v>499</v>
      </c>
      <c r="C1276" s="14" t="n">
        <f aca="false">C1275/cf_eps-1</f>
        <v>-0.209522637795276</v>
      </c>
      <c r="D1276" s="14" t="n">
        <f aca="false">D1275/cf_eps-1</f>
        <v>-0.332677165354331</v>
      </c>
      <c r="E1276" s="14" t="n">
        <f aca="false">E1275/cf_eps-1</f>
        <v>-0.192470472440945</v>
      </c>
      <c r="F1276" s="14" t="n">
        <f aca="false">F1275/cf_eps-1</f>
        <v>-0.174443897637795</v>
      </c>
      <c r="G1276" s="14" t="n">
        <f aca="false">G1275/cf_eps-1</f>
        <v>-0.149888779527559</v>
      </c>
      <c r="H1276" s="14" t="n">
        <f aca="false">H1275/cf_eps-1</f>
        <v>-0.116914763779528</v>
      </c>
      <c r="I1276" s="14" t="n">
        <f aca="false">I1275/cf_eps-1</f>
        <v>-0.0983931889763779</v>
      </c>
      <c r="J1276" s="14" t="n">
        <f aca="false">J1275/cf_eps-1</f>
        <v>-0.0761672992125984</v>
      </c>
      <c r="K1276" s="14" t="n">
        <f aca="false">K1275/cf_eps-1</f>
        <v>-0.0494962314960631</v>
      </c>
      <c r="L1276" s="14" t="n">
        <f aca="false">L1275/cf_eps-1</f>
        <v>-0.0174909502362206</v>
      </c>
      <c r="M1276" s="14" t="n">
        <f aca="false">M1275/cf_eps-1</f>
        <v>0.0209153872755905</v>
      </c>
    </row>
    <row r="1277" customFormat="false" ht="15" hidden="false" customHeight="false" outlineLevel="0" collapsed="false">
      <c r="A1277" s="9" t="s">
        <v>500</v>
      </c>
      <c r="C1277" s="50" t="n">
        <f aca="false">C1275</f>
        <v>5.92858021653543</v>
      </c>
      <c r="D1277" s="50" t="n">
        <f aca="false">(D1274+D1270)/C1259</f>
        <v>6.06606791338583</v>
      </c>
      <c r="E1277" s="50" t="n">
        <f aca="false">(E1274+E1270)/C1259</f>
        <v>7.11761811023622</v>
      </c>
      <c r="F1277" s="50" t="n">
        <f aca="false">(F1274+F1270)/C1259</f>
        <v>7.25281742125984</v>
      </c>
      <c r="G1277" s="50" t="n">
        <f aca="false">(G1274+G1270)/C1259</f>
        <v>7.43698080708662</v>
      </c>
      <c r="H1277" s="50" t="n">
        <f aca="false">(H1274+H1270)/C1259</f>
        <v>7.68428592519685</v>
      </c>
      <c r="I1277" s="50" t="n">
        <f aca="false">(I1274+I1270)/C1259</f>
        <v>7.82319773622047</v>
      </c>
      <c r="J1277" s="50" t="n">
        <f aca="false">(J1274+J1270)/C1259</f>
        <v>7.98989190944882</v>
      </c>
      <c r="K1277" s="50" t="n">
        <f aca="false">(K1274+K1270)/C1259</f>
        <v>8.18992491732283</v>
      </c>
      <c r="L1277" s="50" t="n">
        <f aca="false">(L1274+L1270)/C1259</f>
        <v>8.42996452677165</v>
      </c>
      <c r="M1277" s="50" t="n">
        <f aca="false">(M1274+M1270)/C1259</f>
        <v>8.71801205811024</v>
      </c>
    </row>
    <row r="1278" customFormat="false" ht="15" hidden="false" customHeight="false" outlineLevel="0" collapsed="false">
      <c r="A1278" s="9" t="s">
        <v>501</v>
      </c>
      <c r="C1278" s="18" t="n">
        <f aca="false">C1276</f>
        <v>-0.209522637795276</v>
      </c>
      <c r="D1278" s="18" t="n">
        <f aca="false">D1277/D1272-1</f>
        <v>-0.292844541973237</v>
      </c>
      <c r="E1278" s="18" t="n">
        <f aca="false">E1277/E1272-1</f>
        <v>-0.170259455273009</v>
      </c>
      <c r="F1278" s="18" t="n">
        <f aca="false">F1277/F1272-1</f>
        <v>-0.154498515554408</v>
      </c>
      <c r="G1278" s="18" t="n">
        <f aca="false">G1277/G1272-1</f>
        <v>-0.133029559829611</v>
      </c>
      <c r="H1278" s="18" t="n">
        <f aca="false">H1277/H1272-1</f>
        <v>-0.104199819284885</v>
      </c>
      <c r="I1278" s="18" t="n">
        <f aca="false">I1277/I1272-1</f>
        <v>-0.0880060926810378</v>
      </c>
      <c r="J1278" s="18" t="n">
        <f aca="false">J1277/J1272-1</f>
        <v>-0.0685736207564218</v>
      </c>
      <c r="K1278" s="18" t="n">
        <f aca="false">K1277/K1272-1</f>
        <v>-0.0452546544468827</v>
      </c>
      <c r="L1278" s="18" t="n">
        <f aca="false">L1277/L1272-1</f>
        <v>-0.0172718948754358</v>
      </c>
      <c r="M1278" s="18" t="n">
        <f aca="false">M1277/M1272-1</f>
        <v>0.0163074166103006</v>
      </c>
    </row>
    <row r="1279" customFormat="false" ht="15" hidden="false" customHeight="false" outlineLevel="0" collapsed="false">
      <c r="A1279" s="9" t="s">
        <v>502</v>
      </c>
      <c r="C1279" s="50" t="n">
        <f aca="false">(C1274+C1262)/C1259</f>
        <v>5.92858021653543</v>
      </c>
      <c r="D1279" s="50" t="n">
        <f aca="false">(D1274+C1262)/C1259</f>
        <v>5.00492125984252</v>
      </c>
      <c r="E1279" s="50" t="n">
        <f aca="false">(E1274+C1262)/C1259</f>
        <v>6.05647145669291</v>
      </c>
      <c r="F1279" s="50" t="n">
        <f aca="false">(F1274+C1262)/C1259</f>
        <v>6.19167076771654</v>
      </c>
      <c r="G1279" s="50" t="n">
        <f aca="false">(G1274+C1262)/C1259</f>
        <v>6.37583415354331</v>
      </c>
      <c r="H1279" s="50" t="n">
        <f aca="false">(H1274+C1262)/C1259</f>
        <v>6.62313927165354</v>
      </c>
      <c r="I1279" s="50" t="n">
        <f aca="false">(I1274+C1262)/C1259</f>
        <v>6.76205108267717</v>
      </c>
      <c r="J1279" s="50" t="n">
        <f aca="false">(J1274+C1262)/C1259</f>
        <v>6.92874525590551</v>
      </c>
      <c r="K1279" s="50" t="n">
        <f aca="false">(K1274+C1262)/C1259</f>
        <v>7.12877826377953</v>
      </c>
      <c r="L1279" s="50" t="n">
        <f aca="false">(L1274+C1262)/C1259</f>
        <v>7.36881787322835</v>
      </c>
      <c r="M1279" s="50" t="n">
        <f aca="false">(M1274+C1262)/C1259</f>
        <v>7.65686540456693</v>
      </c>
    </row>
    <row r="1280" customFormat="false" ht="15" hidden="false" customHeight="false" outlineLevel="0" collapsed="false">
      <c r="A1280" s="9" t="s">
        <v>503</v>
      </c>
      <c r="C1280" s="50" t="n">
        <f aca="false">(C1274-C1261+C1262)/C1259</f>
        <v>4.48680487204724</v>
      </c>
      <c r="D1280" s="50" t="n">
        <f aca="false">(D1274-C1261+C1262)/C1259</f>
        <v>3.56314591535433</v>
      </c>
      <c r="E1280" s="50" t="n">
        <f aca="false">(E1274-C1261+C1262)/C1259</f>
        <v>4.61469611220473</v>
      </c>
      <c r="F1280" s="50" t="n">
        <f aca="false">(F1274-C1261+C1262)/C1259</f>
        <v>4.74989542322835</v>
      </c>
      <c r="G1280" s="50" t="n">
        <f aca="false">(G1274-C1261+C1262)/C1259</f>
        <v>4.93405880905512</v>
      </c>
      <c r="H1280" s="50" t="n">
        <f aca="false">(H1274-C1261+C1262)/C1259</f>
        <v>5.18136392716535</v>
      </c>
      <c r="I1280" s="50" t="n">
        <f aca="false">(I1274-C1261+C1262)/C1259</f>
        <v>5.32027573818898</v>
      </c>
      <c r="J1280" s="50" t="n">
        <f aca="false">(J1274-C1261+C1262)/C1259</f>
        <v>5.48696991141732</v>
      </c>
      <c r="K1280" s="50" t="n">
        <f aca="false">(K1274-C1261+C1262)/C1259</f>
        <v>5.68700291929134</v>
      </c>
      <c r="L1280" s="50" t="n">
        <f aca="false">(L1274-C1261+C1262)/C1259</f>
        <v>5.92704252874016</v>
      </c>
      <c r="M1280" s="50" t="n">
        <f aca="false">(M1274-C1261+C1262)/C1259</f>
        <v>6.21509006007874</v>
      </c>
    </row>
    <row r="1281" customFormat="false" ht="15" hidden="false" customHeight="false" outlineLevel="0" collapsed="false">
      <c r="A1281" s="9" t="s">
        <v>504</v>
      </c>
      <c r="C1281" s="50" t="n">
        <f aca="false">C1269/C1259</f>
        <v>7.38188976377953</v>
      </c>
      <c r="D1281" s="50" t="n">
        <f aca="false">D1269/C1259</f>
        <v>7.38188976377953</v>
      </c>
      <c r="E1281" s="50" t="n">
        <f aca="false">E1269/C1259</f>
        <v>7.38188976377953</v>
      </c>
      <c r="F1281" s="50" t="n">
        <f aca="false">F1269/C1259</f>
        <v>7.38188976377953</v>
      </c>
      <c r="G1281" s="50" t="n">
        <f aca="false">G1269/C1259</f>
        <v>7.38188976377953</v>
      </c>
      <c r="H1281" s="50" t="n">
        <f aca="false">H1269/C1259</f>
        <v>7.38188976377953</v>
      </c>
      <c r="I1281" s="50" t="n">
        <f aca="false">I1269/C1259</f>
        <v>7.38188976377953</v>
      </c>
      <c r="J1281" s="50" t="n">
        <f aca="false">J1269/C1259</f>
        <v>7.38188976377953</v>
      </c>
      <c r="K1281" s="50" t="n">
        <f aca="false">K1269/C1259</f>
        <v>7.38188976377953</v>
      </c>
      <c r="L1281" s="50" t="n">
        <f aca="false">L1269/C1259</f>
        <v>7.38188976377953</v>
      </c>
      <c r="M1281" s="50" t="n">
        <f aca="false">M1269/C1259</f>
        <v>7.38188976377953</v>
      </c>
    </row>
    <row r="1282" customFormat="false" ht="15" hidden="false" customHeight="false" outlineLevel="0" collapsed="false">
      <c r="A1282" s="9" t="s">
        <v>505</v>
      </c>
      <c r="D1282" s="36" t="n">
        <f aca="false">D1255+D1264*(1-a_tax)-D1265-IF(D1242=1,C1263,0)</f>
        <v>-215.66</v>
      </c>
      <c r="E1282" s="36" t="n">
        <f aca="false">E1255+E1264*(1-a_tax)-E1265-IF(E1242=1,C1263,0)</f>
        <v>6.996</v>
      </c>
      <c r="F1282" s="36" t="n">
        <f aca="false">F1255+F1264*(1-a_tax)-F1265-IF(F1242=1,C1263,0)</f>
        <v>15.5232</v>
      </c>
      <c r="G1282" s="36" t="n">
        <f aca="false">G1255+G1264*(1-a_tax)-G1265-IF(G1242=1,C1263,0)</f>
        <v>27.18144</v>
      </c>
      <c r="H1282" s="36" t="n">
        <f aca="false">H1255+H1264*(1-a_tax)-H1265-IF(H1242=1,C1263,0)</f>
        <v>42.882048</v>
      </c>
      <c r="I1282" s="36" t="n">
        <f aca="false">I1255+I1264*(1-a_tax)-I1265-IF(I1242=1,C1263,0)</f>
        <v>51.4584576</v>
      </c>
      <c r="J1282" s="36" t="n">
        <f aca="false">J1255+J1264*(1-a_tax)-J1265-IF(J1242=1,C1263,0)</f>
        <v>61.75014912</v>
      </c>
      <c r="K1282" s="36" t="n">
        <f aca="false">K1255+K1264*(1-a_tax)-K1265-IF(K1242=1,C1263,0)</f>
        <v>74.100178944</v>
      </c>
      <c r="L1282" s="36" t="n">
        <f aca="false">L1255+L1264*(1-a_tax)-L1265-IF(L1242=1,C1263,0)</f>
        <v>88.9202147328</v>
      </c>
      <c r="M1282" s="36" t="n">
        <f aca="false">M1255+M1264*(1-a_tax)-M1265-IF(M1242=1,C1263,0)</f>
        <v>106.70425767936</v>
      </c>
    </row>
    <row r="1283" customFormat="false" ht="15" hidden="false" customHeight="false" outlineLevel="0" collapsed="false">
      <c r="A1283" s="4" t="s">
        <v>506</v>
      </c>
      <c r="D1283" s="41" t="n">
        <f aca="false">D1282-C1260</f>
        <v>-310.16</v>
      </c>
      <c r="E1283" s="41" t="n">
        <f aca="false">E1282-C1260</f>
        <v>-87.504</v>
      </c>
      <c r="F1283" s="41" t="n">
        <f aca="false">F1282-C1260</f>
        <v>-78.9768</v>
      </c>
      <c r="G1283" s="41" t="n">
        <f aca="false">G1282-C1260</f>
        <v>-67.31856</v>
      </c>
      <c r="H1283" s="41" t="n">
        <f aca="false">H1282-C1260</f>
        <v>-51.617952</v>
      </c>
      <c r="I1283" s="41" t="n">
        <f aca="false">I1282-C1260</f>
        <v>-43.0415424</v>
      </c>
      <c r="J1283" s="41" t="n">
        <f aca="false">J1282-C1260</f>
        <v>-32.74985088</v>
      </c>
      <c r="K1283" s="41" t="n">
        <f aca="false">K1282-C1260</f>
        <v>-20.399821056</v>
      </c>
      <c r="L1283" s="41" t="n">
        <f aca="false">L1282-C1260</f>
        <v>-5.57978526720002</v>
      </c>
      <c r="M1283" s="41" t="n">
        <f aca="false">M1282-C1260</f>
        <v>12.20425767936</v>
      </c>
    </row>
    <row r="1284" customFormat="false" ht="15" hidden="false" customHeight="false" outlineLevel="0" collapsed="false">
      <c r="A1284" s="9" t="s">
        <v>507</v>
      </c>
      <c r="C1284" s="36" t="n">
        <f aca="false">0</f>
        <v>0</v>
      </c>
      <c r="D1284" s="36" t="n">
        <f aca="false">D1270</f>
        <v>69</v>
      </c>
      <c r="E1284" s="36" t="n">
        <f aca="false">E1270</f>
        <v>69</v>
      </c>
      <c r="F1284" s="36" t="n">
        <f aca="false">F1270</f>
        <v>69</v>
      </c>
      <c r="G1284" s="36" t="n">
        <f aca="false">G1270</f>
        <v>69</v>
      </c>
      <c r="H1284" s="36" t="n">
        <f aca="false">H1270</f>
        <v>69</v>
      </c>
      <c r="I1284" s="36" t="n">
        <f aca="false">I1270</f>
        <v>69</v>
      </c>
      <c r="J1284" s="36" t="n">
        <f aca="false">J1270</f>
        <v>69</v>
      </c>
      <c r="K1284" s="36" t="n">
        <f aca="false">K1270</f>
        <v>69</v>
      </c>
      <c r="L1284" s="36" t="n">
        <f aca="false">L1270</f>
        <v>69</v>
      </c>
      <c r="M1284" s="36" t="n">
        <f aca="false">M1270</f>
        <v>69</v>
      </c>
    </row>
    <row r="1285" customFormat="false" ht="15" hidden="false" customHeight="false" outlineLevel="0" collapsed="false">
      <c r="A1285" s="9" t="s">
        <v>508</v>
      </c>
      <c r="D1285" s="36" t="n">
        <f aca="false">D1283+D1284</f>
        <v>-241.16</v>
      </c>
      <c r="E1285" s="36" t="n">
        <f aca="false">E1283+E1284</f>
        <v>-18.504</v>
      </c>
      <c r="F1285" s="36" t="n">
        <f aca="false">F1283+F1284</f>
        <v>-9.9768</v>
      </c>
      <c r="G1285" s="36" t="n">
        <f aca="false">G1283+G1284</f>
        <v>1.68144000000001</v>
      </c>
      <c r="H1285" s="36" t="n">
        <f aca="false">H1283+H1284</f>
        <v>17.382048</v>
      </c>
      <c r="I1285" s="36" t="n">
        <f aca="false">I1283+I1284</f>
        <v>25.9584576</v>
      </c>
      <c r="J1285" s="36" t="n">
        <f aca="false">J1283+J1284</f>
        <v>36.25014912</v>
      </c>
      <c r="K1285" s="36" t="n">
        <f aca="false">K1283+K1284</f>
        <v>48.600178944</v>
      </c>
      <c r="L1285" s="36" t="n">
        <f aca="false">L1283+L1284</f>
        <v>63.4202147328</v>
      </c>
      <c r="M1285" s="36" t="n">
        <f aca="false">M1283+M1284</f>
        <v>81.20425767936</v>
      </c>
    </row>
    <row r="1286" customFormat="false" ht="15" hidden="false" customHeight="false" outlineLevel="0" collapsed="false">
      <c r="A1286" s="9" t="s">
        <v>509</v>
      </c>
      <c r="D1286" s="36" t="n">
        <f aca="false">IF(lv_mdr_in_deal=1,D1285,D1283)</f>
        <v>-310.16</v>
      </c>
      <c r="E1286" s="36" t="n">
        <f aca="false">IF(lv_mdr_in_deal=1,E1285,E1283)</f>
        <v>-87.504</v>
      </c>
      <c r="F1286" s="36" t="n">
        <f aca="false">IF(lv_mdr_in_deal=1,F1285,F1283)</f>
        <v>-78.9768</v>
      </c>
      <c r="G1286" s="36" t="n">
        <f aca="false">IF(lv_mdr_in_deal=1,G1285,G1283)</f>
        <v>-67.31856</v>
      </c>
      <c r="H1286" s="36" t="n">
        <f aca="false">IF(lv_mdr_in_deal=1,H1285,H1283)</f>
        <v>-51.617952</v>
      </c>
      <c r="I1286" s="36" t="n">
        <f aca="false">IF(lv_mdr_in_deal=1,I1285,I1283)</f>
        <v>-43.0415424</v>
      </c>
      <c r="J1286" s="36" t="n">
        <f aca="false">IF(lv_mdr_in_deal=1,J1285,J1283)</f>
        <v>-32.74985088</v>
      </c>
      <c r="K1286" s="36" t="n">
        <f aca="false">IF(lv_mdr_in_deal=1,K1285,K1283)</f>
        <v>-20.399821056</v>
      </c>
      <c r="L1286" s="36" t="n">
        <f aca="false">IF(lv_mdr_in_deal=1,L1285,L1283)</f>
        <v>-5.57978526720002</v>
      </c>
      <c r="M1286" s="36" t="n">
        <f aca="false">IF(lv_mdr_in_deal=1,M1285,M1283)</f>
        <v>12.20425767936</v>
      </c>
    </row>
    <row r="1287" customFormat="false" ht="15" hidden="false" customHeight="false" outlineLevel="0" collapsed="false">
      <c r="A1287" s="9" t="s">
        <v>510</v>
      </c>
      <c r="C1287" s="36" t="n">
        <f aca="false">-lv_price</f>
        <v>-4000</v>
      </c>
      <c r="D1287" s="36" t="n">
        <f aca="false">C1287+D1286</f>
        <v>-4310.16</v>
      </c>
      <c r="E1287" s="36" t="n">
        <f aca="false">D1287+E1286</f>
        <v>-4397.664</v>
      </c>
      <c r="F1287" s="36" t="n">
        <f aca="false">E1287+F1286</f>
        <v>-4476.6408</v>
      </c>
      <c r="G1287" s="36" t="n">
        <f aca="false">F1287+G1286</f>
        <v>-4543.95936</v>
      </c>
      <c r="H1287" s="36" t="n">
        <f aca="false">G1287+H1286</f>
        <v>-4595.577312</v>
      </c>
      <c r="I1287" s="36" t="n">
        <f aca="false">H1287+I1286</f>
        <v>-4638.6188544</v>
      </c>
      <c r="J1287" s="36" t="n">
        <f aca="false">I1287+J1286</f>
        <v>-4671.36870528</v>
      </c>
      <c r="K1287" s="36" t="n">
        <f aca="false">J1287+K1286</f>
        <v>-4691.768526336</v>
      </c>
      <c r="L1287" s="36" t="n">
        <f aca="false">K1287+L1286</f>
        <v>-4697.3483116032</v>
      </c>
      <c r="M1287" s="36" t="n">
        <f aca="false">L1287+M1286</f>
        <v>-4685.14405392384</v>
      </c>
    </row>
    <row r="1288" customFormat="false" ht="15" hidden="false" customHeight="false" outlineLevel="0" collapsed="false">
      <c r="A1288" s="9" t="s">
        <v>511</v>
      </c>
      <c r="C1288" s="43" t="n">
        <f aca="false">1</f>
        <v>1</v>
      </c>
      <c r="D1288" s="43" t="n">
        <f aca="false">1/(1+lv_wacc)^D1242</f>
        <v>0.884955752212389</v>
      </c>
      <c r="E1288" s="43" t="n">
        <f aca="false">1/(1+lv_wacc)^E1242</f>
        <v>0.783146683373796</v>
      </c>
      <c r="F1288" s="43" t="n">
        <f aca="false">1/(1+lv_wacc)^F1242</f>
        <v>0.693050162277696</v>
      </c>
      <c r="G1288" s="43" t="n">
        <f aca="false">1/(1+lv_wacc)^G1242</f>
        <v>0.613318727679377</v>
      </c>
      <c r="H1288" s="43" t="n">
        <f aca="false">1/(1+lv_wacc)^H1242</f>
        <v>0.542759935999449</v>
      </c>
      <c r="I1288" s="43" t="n">
        <f aca="false">1/(1+lv_wacc)^I1242</f>
        <v>0.48031852743314</v>
      </c>
      <c r="J1288" s="43" t="n">
        <f aca="false">1/(1+lv_wacc)^J1242</f>
        <v>0.425060643746142</v>
      </c>
      <c r="K1288" s="43" t="n">
        <f aca="false">1/(1+lv_wacc)^K1242</f>
        <v>0.37615986172225</v>
      </c>
      <c r="L1288" s="43" t="n">
        <f aca="false">1/(1+lv_wacc)^L1242</f>
        <v>0.332884833382522</v>
      </c>
      <c r="M1288" s="43" t="n">
        <f aca="false">1/(1+lv_wacc)^M1242</f>
        <v>0.294588348126126</v>
      </c>
    </row>
    <row r="1289" customFormat="false" ht="15" hidden="false" customHeight="false" outlineLevel="0" collapsed="false">
      <c r="A1289" s="9" t="s">
        <v>512</v>
      </c>
      <c r="C1289" s="46" t="n">
        <f aca="false">99</f>
        <v>99</v>
      </c>
      <c r="D1289" s="46" t="n">
        <f aca="false">IF(D1273&gt;=0,D1242,99)</f>
        <v>99</v>
      </c>
      <c r="E1289" s="46" t="n">
        <f aca="false">IF(E1273&gt;=0,E1242,99)</f>
        <v>99</v>
      </c>
      <c r="F1289" s="46" t="n">
        <f aca="false">IF(F1273&gt;=0,F1242,99)</f>
        <v>99</v>
      </c>
      <c r="G1289" s="46" t="n">
        <f aca="false">IF(G1273&gt;=0,G1242,99)</f>
        <v>99</v>
      </c>
      <c r="H1289" s="46" t="n">
        <f aca="false">IF(H1273&gt;=0,H1242,99)</f>
        <v>99</v>
      </c>
      <c r="I1289" s="46" t="n">
        <f aca="false">IF(I1273&gt;=0,I1242,99)</f>
        <v>99</v>
      </c>
      <c r="J1289" s="46" t="n">
        <f aca="false">IF(J1273&gt;=0,J1242,99)</f>
        <v>99</v>
      </c>
      <c r="K1289" s="46" t="n">
        <f aca="false">IF(K1273&gt;=0,K1242,99)</f>
        <v>99</v>
      </c>
      <c r="L1289" s="46" t="n">
        <f aca="false">IF(L1273&gt;=0,L1242,99)</f>
        <v>99</v>
      </c>
      <c r="M1289" s="46" t="n">
        <f aca="false">IF(M1273&gt;=0,M1242,99)</f>
        <v>10</v>
      </c>
    </row>
    <row r="1290" customFormat="false" ht="15" hidden="false" customHeight="false" outlineLevel="0" collapsed="false">
      <c r="A1290" s="9" t="s">
        <v>513</v>
      </c>
      <c r="C1290" s="46" t="n">
        <f aca="false">99</f>
        <v>99</v>
      </c>
      <c r="D1290" s="46" t="n">
        <f aca="false">IF(D1273+D1270&gt;=0,D1242,99)</f>
        <v>99</v>
      </c>
      <c r="E1290" s="46" t="n">
        <f aca="false">IF(E1273+E1270&gt;=0,E1242,99)</f>
        <v>99</v>
      </c>
      <c r="F1290" s="46" t="n">
        <f aca="false">IF(F1273+F1270&gt;=0,F1242,99)</f>
        <v>99</v>
      </c>
      <c r="G1290" s="46" t="n">
        <f aca="false">IF(G1273+G1270&gt;=0,G1242,99)</f>
        <v>4</v>
      </c>
      <c r="H1290" s="46" t="n">
        <f aca="false">IF(H1273+H1270&gt;=0,H1242,99)</f>
        <v>5</v>
      </c>
      <c r="I1290" s="46" t="n">
        <f aca="false">IF(I1273+I1270&gt;=0,I1242,99)</f>
        <v>6</v>
      </c>
      <c r="J1290" s="46" t="n">
        <f aca="false">IF(J1273+J1270&gt;=0,J1242,99)</f>
        <v>7</v>
      </c>
      <c r="K1290" s="46" t="n">
        <f aca="false">IF(K1273+K1270&gt;=0,K1242,99)</f>
        <v>8</v>
      </c>
      <c r="L1290" s="46" t="n">
        <f aca="false">IF(L1273+L1270&gt;=0,L1242,99)</f>
        <v>9</v>
      </c>
      <c r="M1290" s="46" t="n">
        <f aca="false">IF(M1273+M1270&gt;=0,M1242,99)</f>
        <v>10</v>
      </c>
    </row>
    <row r="1291" customFormat="false" ht="15" hidden="false" customHeight="false" outlineLevel="0" collapsed="false">
      <c r="A1291" s="9" t="s">
        <v>514</v>
      </c>
      <c r="C1291" s="46" t="n">
        <f aca="false">99</f>
        <v>99</v>
      </c>
      <c r="D1291" s="46" t="n">
        <f aca="false">IF(D1283&gt;=0,D1242,99)</f>
        <v>99</v>
      </c>
      <c r="E1291" s="46" t="n">
        <f aca="false">IF(E1283&gt;=0,E1242,99)</f>
        <v>99</v>
      </c>
      <c r="F1291" s="46" t="n">
        <f aca="false">IF(F1283&gt;=0,F1242,99)</f>
        <v>99</v>
      </c>
      <c r="G1291" s="46" t="n">
        <f aca="false">IF(G1283&gt;=0,G1242,99)</f>
        <v>99</v>
      </c>
      <c r="H1291" s="46" t="n">
        <f aca="false">IF(H1283&gt;=0,H1242,99)</f>
        <v>99</v>
      </c>
      <c r="I1291" s="46" t="n">
        <f aca="false">IF(I1283&gt;=0,I1242,99)</f>
        <v>99</v>
      </c>
      <c r="J1291" s="46" t="n">
        <f aca="false">IF(J1283&gt;=0,J1242,99)</f>
        <v>99</v>
      </c>
      <c r="K1291" s="46" t="n">
        <f aca="false">IF(K1283&gt;=0,K1242,99)</f>
        <v>99</v>
      </c>
      <c r="L1291" s="46" t="n">
        <f aca="false">IF(L1283&gt;=0,L1242,99)</f>
        <v>99</v>
      </c>
      <c r="M1291" s="46" t="n">
        <f aca="false">IF(M1283&gt;=0,M1242,99)</f>
        <v>10</v>
      </c>
    </row>
    <row r="1292" customFormat="false" ht="15" hidden="false" customHeight="false" outlineLevel="0" collapsed="false">
      <c r="A1292" s="9" t="s">
        <v>515</v>
      </c>
      <c r="C1292" s="46" t="n">
        <f aca="false">99</f>
        <v>99</v>
      </c>
      <c r="D1292" s="46" t="n">
        <f aca="false">IF(D1285&gt;=0,D1242,99)</f>
        <v>99</v>
      </c>
      <c r="E1292" s="46" t="n">
        <f aca="false">IF(E1285&gt;=0,E1242,99)</f>
        <v>99</v>
      </c>
      <c r="F1292" s="46" t="n">
        <f aca="false">IF(F1285&gt;=0,F1242,99)</f>
        <v>99</v>
      </c>
      <c r="G1292" s="46" t="n">
        <f aca="false">IF(G1285&gt;=0,G1242,99)</f>
        <v>4</v>
      </c>
      <c r="H1292" s="46" t="n">
        <f aca="false">IF(H1285&gt;=0,H1242,99)</f>
        <v>5</v>
      </c>
      <c r="I1292" s="46" t="n">
        <f aca="false">IF(I1285&gt;=0,I1242,99)</f>
        <v>6</v>
      </c>
      <c r="J1292" s="46" t="n">
        <f aca="false">IF(J1285&gt;=0,J1242,99)</f>
        <v>7</v>
      </c>
      <c r="K1292" s="46" t="n">
        <f aca="false">IF(K1285&gt;=0,K1242,99)</f>
        <v>8</v>
      </c>
      <c r="L1292" s="46" t="n">
        <f aca="false">IF(L1285&gt;=0,L1242,99)</f>
        <v>9</v>
      </c>
      <c r="M1292" s="46" t="n">
        <f aca="false">IF(M1285&gt;=0,M1242,99)</f>
        <v>10</v>
      </c>
    </row>
    <row r="1293" customFormat="false" ht="15" hidden="false" customHeight="false" outlineLevel="0" collapsed="false">
      <c r="A1293" s="9" t="s">
        <v>516</v>
      </c>
      <c r="C1293" s="46" t="n">
        <f aca="false">99</f>
        <v>99</v>
      </c>
      <c r="D1293" s="46" t="n">
        <f aca="false">IF(D1287&gt;=0,D1242,99)</f>
        <v>99</v>
      </c>
      <c r="E1293" s="46" t="n">
        <f aca="false">IF(E1287&gt;=0,E1242,99)</f>
        <v>99</v>
      </c>
      <c r="F1293" s="46" t="n">
        <f aca="false">IF(F1287&gt;=0,F1242,99)</f>
        <v>99</v>
      </c>
      <c r="G1293" s="46" t="n">
        <f aca="false">IF(G1287&gt;=0,G1242,99)</f>
        <v>99</v>
      </c>
      <c r="H1293" s="46" t="n">
        <f aca="false">IF(H1287&gt;=0,H1242,99)</f>
        <v>99</v>
      </c>
      <c r="I1293" s="46" t="n">
        <f aca="false">IF(I1287&gt;=0,I1242,99)</f>
        <v>99</v>
      </c>
      <c r="J1293" s="46" t="n">
        <f aca="false">IF(J1287&gt;=0,J1242,99)</f>
        <v>99</v>
      </c>
      <c r="K1293" s="46" t="n">
        <f aca="false">IF(K1287&gt;=0,K1242,99)</f>
        <v>99</v>
      </c>
      <c r="L1293" s="46" t="n">
        <f aca="false">IF(L1287&gt;=0,L1242,99)</f>
        <v>99</v>
      </c>
      <c r="M1293" s="46" t="n">
        <f aca="false">IF(M1287&gt;=0,M1242,99)</f>
        <v>99</v>
      </c>
    </row>
    <row r="1294" customFormat="false" ht="15" hidden="false" customHeight="false" outlineLevel="0" collapsed="false">
      <c r="A1294" s="4" t="s">
        <v>517</v>
      </c>
      <c r="C1294" s="23" t="n">
        <f aca="false">MIN(D1289:M1289)</f>
        <v>10</v>
      </c>
    </row>
    <row r="1295" customFormat="false" ht="15" hidden="false" customHeight="false" outlineLevel="0" collapsed="false">
      <c r="A1295" s="9" t="s">
        <v>518</v>
      </c>
      <c r="C1295" s="46" t="n">
        <f aca="false">MIN(D1290:M1290)</f>
        <v>4</v>
      </c>
    </row>
    <row r="1296" customFormat="false" ht="15" hidden="false" customHeight="false" outlineLevel="0" collapsed="false">
      <c r="A1296" s="4" t="s">
        <v>519</v>
      </c>
      <c r="C1296" s="23" t="n">
        <f aca="false">MIN(D1291:M1291)</f>
        <v>10</v>
      </c>
    </row>
    <row r="1297" customFormat="false" ht="15" hidden="false" customHeight="false" outlineLevel="0" collapsed="false">
      <c r="A1297" s="9" t="s">
        <v>520</v>
      </c>
      <c r="C1297" s="46" t="n">
        <f aca="false">MIN(D1292:M1292)</f>
        <v>4</v>
      </c>
    </row>
    <row r="1298" customFormat="false" ht="15" hidden="false" customHeight="false" outlineLevel="0" collapsed="false">
      <c r="A1298" s="9" t="s">
        <v>521</v>
      </c>
      <c r="C1298" s="46" t="n">
        <f aca="false">MIN(D1293:M1293)</f>
        <v>99</v>
      </c>
    </row>
    <row r="1299" customFormat="false" ht="15" hidden="false" customHeight="false" outlineLevel="0" collapsed="false">
      <c r="A1299" s="4" t="s">
        <v>522</v>
      </c>
      <c r="C1299" s="15" t="n">
        <f aca="false">M1287</f>
        <v>-4685.14405392384</v>
      </c>
    </row>
    <row r="1300" customFormat="false" ht="15" hidden="false" customHeight="false" outlineLevel="0" collapsed="false">
      <c r="A1300" s="9" t="s">
        <v>523</v>
      </c>
      <c r="C1300" s="36" t="n">
        <f aca="false">SUMPRODUCT(D1255:M1255,D1288:M1288)</f>
        <v>146.797700786512</v>
      </c>
    </row>
    <row r="1301" customFormat="false" ht="15" hidden="false" customHeight="false" outlineLevel="0" collapsed="false">
      <c r="A1301" s="9" t="s">
        <v>524</v>
      </c>
      <c r="C1301" s="36" t="n">
        <f aca="false">M1255*(1+a_tg)/(lv_wacc-a_tg)</f>
        <v>1400.4933820416</v>
      </c>
    </row>
    <row r="1302" customFormat="false" ht="15" hidden="false" customHeight="false" outlineLevel="0" collapsed="false">
      <c r="A1302" s="9" t="s">
        <v>314</v>
      </c>
      <c r="C1302" s="36" t="n">
        <f aca="false">C1301*M1288</f>
        <v>412.569031977206</v>
      </c>
    </row>
    <row r="1303" customFormat="false" ht="15" hidden="false" customHeight="false" outlineLevel="0" collapsed="false">
      <c r="A1303" s="4" t="s">
        <v>525</v>
      </c>
      <c r="C1303" s="15" t="n">
        <f aca="false">C1300+C1302</f>
        <v>559.366732763717</v>
      </c>
    </row>
    <row r="1304" customFormat="false" ht="15" hidden="false" customHeight="false" outlineLevel="0" collapsed="false">
      <c r="A1304" s="9" t="s">
        <v>526</v>
      </c>
      <c r="C1304" s="32" t="n">
        <f aca="false">SUMPRODUCT(D1265:M1265,D1288:M1288)-a_recovery*M1267*M1288</f>
        <v>0</v>
      </c>
    </row>
    <row r="1305" customFormat="false" ht="15" hidden="false" customHeight="false" outlineLevel="0" collapsed="false">
      <c r="A1305" s="9" t="s">
        <v>527</v>
      </c>
      <c r="C1305" s="36" t="n">
        <f aca="false">SUMPRODUCT(D1264:M1264,D1288:M1288)*(1-a_tax)</f>
        <v>0</v>
      </c>
    </row>
    <row r="1306" customFormat="false" ht="15" hidden="false" customHeight="false" outlineLevel="0" collapsed="false">
      <c r="A1306" s="9" t="s">
        <v>528</v>
      </c>
      <c r="C1306" s="36" t="n">
        <f aca="false">C1263*D1288</f>
        <v>141.592920353982</v>
      </c>
    </row>
    <row r="1307" customFormat="false" ht="15" hidden="false" customHeight="false" outlineLevel="0" collapsed="false">
      <c r="A1307" s="4" t="s">
        <v>529</v>
      </c>
      <c r="C1307" s="20" t="n">
        <f aca="false">C1303+C1305-C1304-C1306-lv_price</f>
        <v>-3582.22618759027</v>
      </c>
    </row>
    <row r="1308" customFormat="false" ht="15" hidden="false" customHeight="false" outlineLevel="0" collapsed="false">
      <c r="A1308" s="9" t="s">
        <v>530</v>
      </c>
      <c r="C1308" s="32" t="n">
        <f aca="false">C1307+SUMPRODUCT(D1284:M1284,D1288:M1288)</f>
        <v>-3207.81538774952</v>
      </c>
    </row>
    <row r="1309" customFormat="false" ht="15" hidden="false" customHeight="false" outlineLevel="0" collapsed="false">
      <c r="A1309" s="4" t="s">
        <v>531</v>
      </c>
      <c r="C1309" s="59" t="n">
        <f aca="false">lv_price/D1245</f>
        <v>30.3030303030303</v>
      </c>
    </row>
    <row r="1310" customFormat="false" ht="15" hidden="false" customHeight="false" outlineLevel="0" collapsed="false">
      <c r="A1310" s="9" t="s">
        <v>532</v>
      </c>
      <c r="C1310" s="17" t="n">
        <f aca="false">(lv_price+C1304)/D1245</f>
        <v>30.3030303030303</v>
      </c>
    </row>
    <row r="1311" customFormat="false" ht="15" hidden="false" customHeight="false" outlineLevel="0" collapsed="false">
      <c r="A1311" s="4" t="s">
        <v>533</v>
      </c>
      <c r="C1311" s="15" t="n">
        <f aca="false">(C1307+C1304)/SUMPRODUCT(D1288:M1288)</f>
        <v>-660.1668729878</v>
      </c>
    </row>
    <row r="1312" customFormat="false" ht="15" hidden="false" customHeight="false" outlineLevel="0" collapsed="false">
      <c r="A1312" s="4" t="s">
        <v>534</v>
      </c>
      <c r="C1312" s="25" t="n">
        <f aca="false">D1275</f>
        <v>5.00492125984252</v>
      </c>
    </row>
    <row r="1313" customFormat="false" ht="15" hidden="false" customHeight="false" outlineLevel="0" collapsed="false">
      <c r="A1313" s="9" t="s">
        <v>535</v>
      </c>
      <c r="C1313" s="50" t="n">
        <f aca="false">F1275</f>
        <v>6.19167076771654</v>
      </c>
    </row>
    <row r="1314" customFormat="false" ht="15" hidden="false" customHeight="false" outlineLevel="0" collapsed="false">
      <c r="A1314" s="4" t="s">
        <v>536</v>
      </c>
      <c r="C1314" s="20" t="n">
        <f aca="false">D1283</f>
        <v>-310.16</v>
      </c>
    </row>
    <row r="1315" customFormat="false" ht="15" hidden="false" customHeight="false" outlineLevel="0" collapsed="false">
      <c r="A1315" s="9" t="s">
        <v>537</v>
      </c>
      <c r="C1315" s="32" t="n">
        <f aca="false">cf_cash-lv_mix_cash-C1263</f>
        <v>6640</v>
      </c>
    </row>
    <row r="1316" customFormat="false" ht="15" hidden="false" customHeight="false" outlineLevel="0" collapsed="false">
      <c r="A1316" s="9" t="s">
        <v>538</v>
      </c>
      <c r="C1316" s="32" t="n">
        <f aca="false">cf_debt+lv_mix_debt</f>
        <v>350</v>
      </c>
    </row>
    <row r="1317" customFormat="false" ht="15" hidden="false" customHeight="false" outlineLevel="0" collapsed="false">
      <c r="A1317" s="9" t="s">
        <v>539</v>
      </c>
      <c r="C1317" s="34" t="n">
        <f aca="false">C1316/cf_ebitda</f>
        <v>0.546875</v>
      </c>
    </row>
    <row r="1318" customFormat="false" ht="15" hidden="false" customHeight="false" outlineLevel="0" collapsed="false">
      <c r="A1318" s="9" t="s">
        <v>540</v>
      </c>
      <c r="C1318" s="32" t="n">
        <f aca="false">C1315+SUM(D1286:F1286)+3*cf_pat</f>
        <v>7603.3592</v>
      </c>
    </row>
    <row r="1320" customFormat="false" ht="15" hidden="false" customHeight="false" outlineLevel="0" collapsed="false">
      <c r="A1320" s="7" t="s">
        <v>669</v>
      </c>
      <c r="B1320" s="8"/>
      <c r="C1320" s="8"/>
      <c r="D1320" s="8"/>
      <c r="E1320" s="8"/>
      <c r="F1320" s="8"/>
      <c r="G1320" s="8"/>
      <c r="H1320" s="8"/>
      <c r="I1320" s="8"/>
      <c r="J1320" s="8"/>
      <c r="K1320" s="8"/>
      <c r="L1320" s="8"/>
      <c r="M1320" s="8"/>
      <c r="N1320" s="8"/>
    </row>
    <row r="1321" customFormat="false" ht="15" hidden="false" customHeight="false" outlineLevel="0" collapsed="false">
      <c r="A1321" s="4" t="s">
        <v>284</v>
      </c>
      <c r="C1321" s="39" t="n">
        <v>0</v>
      </c>
      <c r="D1321" s="39" t="n">
        <v>1</v>
      </c>
      <c r="E1321" s="39" t="n">
        <v>2</v>
      </c>
      <c r="F1321" s="39" t="n">
        <v>3</v>
      </c>
      <c r="G1321" s="39" t="n">
        <v>4</v>
      </c>
      <c r="H1321" s="39" t="n">
        <v>5</v>
      </c>
      <c r="I1321" s="39" t="n">
        <v>6</v>
      </c>
      <c r="J1321" s="39" t="n">
        <v>7</v>
      </c>
      <c r="K1321" s="39" t="n">
        <v>8</v>
      </c>
      <c r="L1321" s="39" t="n">
        <v>9</v>
      </c>
      <c r="M1321" s="39" t="n">
        <v>10</v>
      </c>
    </row>
    <row r="1322" customFormat="false" ht="15" hidden="false" customHeight="false" outlineLevel="0" collapsed="false">
      <c r="A1322" s="9" t="s">
        <v>285</v>
      </c>
      <c r="C1322" s="40" t="n">
        <f aca="false">cf_arr</f>
        <v>220</v>
      </c>
      <c r="D1322" s="36" t="n">
        <f aca="false">C1322*(1+lv_g)</f>
        <v>264</v>
      </c>
      <c r="E1322" s="36" t="n">
        <f aca="false">D1322*(1+lv_g)</f>
        <v>316.8</v>
      </c>
      <c r="F1322" s="36" t="n">
        <f aca="false">E1322*(1+lv_g)</f>
        <v>380.16</v>
      </c>
      <c r="G1322" s="36" t="n">
        <f aca="false">F1322*(1+lv_g)</f>
        <v>456.192</v>
      </c>
      <c r="H1322" s="36" t="n">
        <f aca="false">G1322*(1+lv_g)</f>
        <v>547.4304</v>
      </c>
      <c r="I1322" s="36" t="n">
        <f aca="false">H1322*(1+lv_g)</f>
        <v>656.91648</v>
      </c>
      <c r="J1322" s="36" t="n">
        <f aca="false">I1322*(1+lv_g)</f>
        <v>788.299776</v>
      </c>
      <c r="K1322" s="36" t="n">
        <f aca="false">J1322*(1+lv_g)</f>
        <v>945.9597312</v>
      </c>
      <c r="L1322" s="36" t="n">
        <f aca="false">K1322*(1+lv_g)</f>
        <v>1135.15167744</v>
      </c>
      <c r="M1322" s="36" t="n">
        <f aca="false">L1322*(1+lv_g)</f>
        <v>1362.182012928</v>
      </c>
    </row>
    <row r="1323" customFormat="false" ht="15" hidden="false" customHeight="false" outlineLevel="0" collapsed="false">
      <c r="A1323" s="9" t="s">
        <v>286</v>
      </c>
      <c r="C1323" s="18" t="n">
        <f aca="false">1</f>
        <v>1</v>
      </c>
      <c r="D1323" s="18" t="n">
        <f aca="false">IF(D1321&gt;=a_churn_year,1-Churn!$A$21,1)</f>
        <v>0.4</v>
      </c>
      <c r="E1323" s="18" t="n">
        <f aca="false">IF(E1321&gt;=a_churn_year,1-Churn!$A$21,1)</f>
        <v>0.4</v>
      </c>
      <c r="F1323" s="18" t="n">
        <f aca="false">IF(F1321&gt;=a_churn_year,1-Churn!$A$21,1)</f>
        <v>0.4</v>
      </c>
      <c r="G1323" s="18" t="n">
        <f aca="false">IF(G1321&gt;=a_churn_year,1-Churn!$A$21,1)</f>
        <v>0.4</v>
      </c>
      <c r="H1323" s="18" t="n">
        <f aca="false">IF(H1321&gt;=a_churn_year,1-Churn!$A$21,1)</f>
        <v>0.4</v>
      </c>
      <c r="I1323" s="18" t="n">
        <f aca="false">IF(I1321&gt;=a_churn_year,1-Churn!$A$21,1)</f>
        <v>0.4</v>
      </c>
      <c r="J1323" s="18" t="n">
        <f aca="false">IF(J1321&gt;=a_churn_year,1-Churn!$A$21,1)</f>
        <v>0.4</v>
      </c>
      <c r="K1323" s="18" t="n">
        <f aca="false">IF(K1321&gt;=a_churn_year,1-Churn!$A$21,1)</f>
        <v>0.4</v>
      </c>
      <c r="L1323" s="18" t="n">
        <f aca="false">IF(L1321&gt;=a_churn_year,1-Churn!$A$21,1)</f>
        <v>0.4</v>
      </c>
      <c r="M1323" s="18" t="n">
        <f aca="false">IF(M1321&gt;=a_churn_year,1-Churn!$A$21,1)</f>
        <v>0.4</v>
      </c>
    </row>
    <row r="1324" customFormat="false" ht="15" hidden="false" customHeight="false" outlineLevel="0" collapsed="false">
      <c r="A1324" s="4" t="s">
        <v>287</v>
      </c>
      <c r="C1324" s="41" t="n">
        <f aca="false">C1322*C1323</f>
        <v>220</v>
      </c>
      <c r="D1324" s="41" t="n">
        <f aca="false">D1322*D1323</f>
        <v>105.6</v>
      </c>
      <c r="E1324" s="41" t="n">
        <f aca="false">E1322*E1323</f>
        <v>126.72</v>
      </c>
      <c r="F1324" s="41" t="n">
        <f aca="false">F1322*F1323</f>
        <v>152.064</v>
      </c>
      <c r="G1324" s="41" t="n">
        <f aca="false">G1322*G1323</f>
        <v>182.4768</v>
      </c>
      <c r="H1324" s="41" t="n">
        <f aca="false">H1322*H1323</f>
        <v>218.97216</v>
      </c>
      <c r="I1324" s="41" t="n">
        <f aca="false">I1322*I1323</f>
        <v>262.766592</v>
      </c>
      <c r="J1324" s="41" t="n">
        <f aca="false">J1322*J1323</f>
        <v>315.3199104</v>
      </c>
      <c r="K1324" s="41" t="n">
        <f aca="false">K1322*K1323</f>
        <v>378.38389248</v>
      </c>
      <c r="L1324" s="41" t="n">
        <f aca="false">L1322*L1323</f>
        <v>454.060670976</v>
      </c>
      <c r="M1324" s="41" t="n">
        <f aca="false">M1322*M1323</f>
        <v>544.8728051712</v>
      </c>
    </row>
    <row r="1325" customFormat="false" ht="15" hidden="false" customHeight="false" outlineLevel="0" collapsed="false">
      <c r="A1325" s="9" t="s">
        <v>288</v>
      </c>
      <c r="C1325" s="18" t="n">
        <f aca="false">MIN(a_m0+a_mstep*C1321,a_mcap)</f>
        <v>0</v>
      </c>
      <c r="D1325" s="18" t="n">
        <f aca="false">MIN(a_m0+a_mstep*D1321,a_mcap)</f>
        <v>0.05</v>
      </c>
      <c r="E1325" s="18" t="n">
        <f aca="false">MIN(a_m0+a_mstep*E1321,a_mcap)</f>
        <v>0.1</v>
      </c>
      <c r="F1325" s="18" t="n">
        <f aca="false">MIN(a_m0+a_mstep*F1321,a_mcap)</f>
        <v>0.15</v>
      </c>
      <c r="G1325" s="18" t="n">
        <f aca="false">MIN(a_m0+a_mstep*G1321,a_mcap)</f>
        <v>0.2</v>
      </c>
      <c r="H1325" s="18" t="n">
        <f aca="false">MIN(a_m0+a_mstep*H1321,a_mcap)</f>
        <v>0.25</v>
      </c>
      <c r="I1325" s="18" t="n">
        <f aca="false">MIN(a_m0+a_mstep*I1321,a_mcap)</f>
        <v>0.25</v>
      </c>
      <c r="J1325" s="18" t="n">
        <f aca="false">MIN(a_m0+a_mstep*J1321,a_mcap)</f>
        <v>0.25</v>
      </c>
      <c r="K1325" s="18" t="n">
        <f aca="false">MIN(a_m0+a_mstep*K1321,a_mcap)</f>
        <v>0.25</v>
      </c>
      <c r="L1325" s="18" t="n">
        <f aca="false">MIN(a_m0+a_mstep*L1321,a_mcap)</f>
        <v>0.25</v>
      </c>
      <c r="M1325" s="18" t="n">
        <f aca="false">MIN(a_m0+a_mstep*M1321,a_mcap)</f>
        <v>0.25</v>
      </c>
    </row>
    <row r="1326" customFormat="false" ht="15" hidden="false" customHeight="false" outlineLevel="0" collapsed="false">
      <c r="A1326" s="9" t="s">
        <v>289</v>
      </c>
      <c r="C1326" s="36" t="n">
        <f aca="false">IF(C1321=a_churn_year,a_sticky*(C1322-C1324)*(1-C1325),0)</f>
        <v>0</v>
      </c>
      <c r="D1326" s="36" t="n">
        <f aca="false">IF(D1321=a_churn_year,a_sticky*(D1322-D1324)*(1-D1325),0)</f>
        <v>75.24</v>
      </c>
      <c r="E1326" s="36" t="n">
        <f aca="false">IF(E1321=a_churn_year,a_sticky*(E1322-E1324)*(1-E1325),0)</f>
        <v>0</v>
      </c>
      <c r="F1326" s="36" t="n">
        <f aca="false">IF(F1321=a_churn_year,a_sticky*(F1322-F1324)*(1-F1325),0)</f>
        <v>0</v>
      </c>
      <c r="G1326" s="36" t="n">
        <f aca="false">IF(G1321=a_churn_year,a_sticky*(G1322-G1324)*(1-G1325),0)</f>
        <v>0</v>
      </c>
      <c r="H1326" s="36" t="n">
        <f aca="false">IF(H1321=a_churn_year,a_sticky*(H1322-H1324)*(1-H1325),0)</f>
        <v>0</v>
      </c>
      <c r="I1326" s="36" t="n">
        <f aca="false">IF(I1321=a_churn_year,a_sticky*(I1322-I1324)*(1-I1325),0)</f>
        <v>0</v>
      </c>
      <c r="J1326" s="36" t="n">
        <f aca="false">IF(J1321=a_churn_year,a_sticky*(J1322-J1324)*(1-J1325),0)</f>
        <v>0</v>
      </c>
      <c r="K1326" s="36" t="n">
        <f aca="false">IF(K1321=a_churn_year,a_sticky*(K1322-K1324)*(1-K1325),0)</f>
        <v>0</v>
      </c>
      <c r="L1326" s="36" t="n">
        <f aca="false">IF(L1321=a_churn_year,a_sticky*(L1322-L1324)*(1-L1325),0)</f>
        <v>0</v>
      </c>
      <c r="M1326" s="36" t="n">
        <f aca="false">IF(M1321=a_churn_year,a_sticky*(M1322-M1324)*(1-M1325),0)</f>
        <v>0</v>
      </c>
    </row>
    <row r="1327" customFormat="false" ht="15" hidden="false" customHeight="false" outlineLevel="0" collapsed="false">
      <c r="A1327" s="4" t="s">
        <v>290</v>
      </c>
      <c r="C1327" s="41" t="n">
        <f aca="false">C1324*C1325-C1326</f>
        <v>0</v>
      </c>
      <c r="D1327" s="41" t="n">
        <f aca="false">D1324*D1325-D1326</f>
        <v>-69.96</v>
      </c>
      <c r="E1327" s="41" t="n">
        <f aca="false">E1324*E1325-E1326</f>
        <v>12.672</v>
      </c>
      <c r="F1327" s="41" t="n">
        <f aca="false">F1324*F1325-F1326</f>
        <v>22.8096</v>
      </c>
      <c r="G1327" s="41" t="n">
        <f aca="false">G1324*G1325-G1326</f>
        <v>36.49536</v>
      </c>
      <c r="H1327" s="41" t="n">
        <f aca="false">H1324*H1325-H1326</f>
        <v>54.74304</v>
      </c>
      <c r="I1327" s="41" t="n">
        <f aca="false">I1324*I1325-I1326</f>
        <v>65.691648</v>
      </c>
      <c r="J1327" s="41" t="n">
        <f aca="false">J1324*J1325-J1326</f>
        <v>78.8299776</v>
      </c>
      <c r="K1327" s="41" t="n">
        <f aca="false">K1324*K1325-K1326</f>
        <v>94.59597312</v>
      </c>
      <c r="L1327" s="41" t="n">
        <f aca="false">L1324*L1325-L1326</f>
        <v>113.515167744</v>
      </c>
      <c r="M1327" s="41" t="n">
        <f aca="false">M1324*M1325-M1326</f>
        <v>136.2182012928</v>
      </c>
    </row>
    <row r="1328" customFormat="false" ht="15" hidden="false" customHeight="false" outlineLevel="0" collapsed="false">
      <c r="A1328" s="9" t="s">
        <v>291</v>
      </c>
      <c r="C1328" s="36" t="n">
        <f aca="false">C1324*a_da</f>
        <v>6.6</v>
      </c>
      <c r="D1328" s="36" t="n">
        <f aca="false">D1324*a_da</f>
        <v>3.168</v>
      </c>
      <c r="E1328" s="36" t="n">
        <f aca="false">E1324*a_da</f>
        <v>3.8016</v>
      </c>
      <c r="F1328" s="36" t="n">
        <f aca="false">F1324*a_da</f>
        <v>4.56192</v>
      </c>
      <c r="G1328" s="36" t="n">
        <f aca="false">G1324*a_da</f>
        <v>5.474304</v>
      </c>
      <c r="H1328" s="36" t="n">
        <f aca="false">H1324*a_da</f>
        <v>6.5691648</v>
      </c>
      <c r="I1328" s="36" t="n">
        <f aca="false">I1324*a_da</f>
        <v>7.88299776</v>
      </c>
      <c r="J1328" s="36" t="n">
        <f aca="false">J1324*a_da</f>
        <v>9.459597312</v>
      </c>
      <c r="K1328" s="36" t="n">
        <f aca="false">K1324*a_da</f>
        <v>11.3515167744</v>
      </c>
      <c r="L1328" s="36" t="n">
        <f aca="false">L1324*a_da</f>
        <v>13.62182012928</v>
      </c>
      <c r="M1328" s="36" t="n">
        <f aca="false">M1324*a_da</f>
        <v>16.346184155136</v>
      </c>
    </row>
    <row r="1329" customFormat="false" ht="15" hidden="false" customHeight="false" outlineLevel="0" collapsed="false">
      <c r="A1329" s="9" t="s">
        <v>292</v>
      </c>
      <c r="C1329" s="36" t="n">
        <f aca="false">C1327-C1328</f>
        <v>-6.6</v>
      </c>
      <c r="D1329" s="36" t="n">
        <f aca="false">D1327-D1328</f>
        <v>-73.128</v>
      </c>
      <c r="E1329" s="36" t="n">
        <f aca="false">E1327-E1328</f>
        <v>8.8704</v>
      </c>
      <c r="F1329" s="36" t="n">
        <f aca="false">F1327-F1328</f>
        <v>18.24768</v>
      </c>
      <c r="G1329" s="36" t="n">
        <f aca="false">G1327-G1328</f>
        <v>31.021056</v>
      </c>
      <c r="H1329" s="36" t="n">
        <f aca="false">H1327-H1328</f>
        <v>48.1738752</v>
      </c>
      <c r="I1329" s="36" t="n">
        <f aca="false">I1327-I1328</f>
        <v>57.80865024</v>
      </c>
      <c r="J1329" s="36" t="n">
        <f aca="false">J1327-J1328</f>
        <v>69.370380288</v>
      </c>
      <c r="K1329" s="36" t="n">
        <f aca="false">K1327-K1328</f>
        <v>83.2444563456</v>
      </c>
      <c r="L1329" s="36" t="n">
        <f aca="false">L1327-L1328</f>
        <v>99.89334761472</v>
      </c>
      <c r="M1329" s="36" t="n">
        <f aca="false">M1327-M1328</f>
        <v>119.872017137664</v>
      </c>
    </row>
    <row r="1330" customFormat="false" ht="15" hidden="false" customHeight="false" outlineLevel="0" collapsed="false">
      <c r="A1330" s="9" t="s">
        <v>293</v>
      </c>
      <c r="C1330" s="36" t="n">
        <f aca="false">MAX(0,C1329)*a_tax</f>
        <v>0</v>
      </c>
      <c r="D1330" s="36" t="n">
        <f aca="false">MAX(0,D1329)*a_tax</f>
        <v>0</v>
      </c>
      <c r="E1330" s="36" t="n">
        <f aca="false">MAX(0,E1329)*a_tax</f>
        <v>2.2176</v>
      </c>
      <c r="F1330" s="36" t="n">
        <f aca="false">MAX(0,F1329)*a_tax</f>
        <v>4.56192</v>
      </c>
      <c r="G1330" s="36" t="n">
        <f aca="false">MAX(0,G1329)*a_tax</f>
        <v>7.755264</v>
      </c>
      <c r="H1330" s="36" t="n">
        <f aca="false">MAX(0,H1329)*a_tax</f>
        <v>12.0434688</v>
      </c>
      <c r="I1330" s="36" t="n">
        <f aca="false">MAX(0,I1329)*a_tax</f>
        <v>14.45216256</v>
      </c>
      <c r="J1330" s="36" t="n">
        <f aca="false">MAX(0,J1329)*a_tax</f>
        <v>17.342595072</v>
      </c>
      <c r="K1330" s="36" t="n">
        <f aca="false">MAX(0,K1329)*a_tax</f>
        <v>20.8111140864</v>
      </c>
      <c r="L1330" s="36" t="n">
        <f aca="false">MAX(0,L1329)*a_tax</f>
        <v>24.97333690368</v>
      </c>
      <c r="M1330" s="36" t="n">
        <f aca="false">MAX(0,M1329)*a_tax</f>
        <v>29.968004284416</v>
      </c>
    </row>
    <row r="1331" customFormat="false" ht="15" hidden="false" customHeight="false" outlineLevel="0" collapsed="false">
      <c r="A1331" s="4" t="s">
        <v>294</v>
      </c>
      <c r="C1331" s="42" t="n">
        <f aca="false">cf_lim_pat</f>
        <v>0</v>
      </c>
      <c r="D1331" s="41" t="n">
        <f aca="false">D1329-D1330</f>
        <v>-73.128</v>
      </c>
      <c r="E1331" s="41" t="n">
        <f aca="false">E1329-E1330</f>
        <v>6.6528</v>
      </c>
      <c r="F1331" s="41" t="n">
        <f aca="false">F1329-F1330</f>
        <v>13.68576</v>
      </c>
      <c r="G1331" s="41" t="n">
        <f aca="false">G1329-G1330</f>
        <v>23.265792</v>
      </c>
      <c r="H1331" s="41" t="n">
        <f aca="false">H1329-H1330</f>
        <v>36.1304064</v>
      </c>
      <c r="I1331" s="41" t="n">
        <f aca="false">I1329-I1330</f>
        <v>43.35648768</v>
      </c>
      <c r="J1331" s="41" t="n">
        <f aca="false">J1329-J1330</f>
        <v>52.027785216</v>
      </c>
      <c r="K1331" s="41" t="n">
        <f aca="false">K1329-K1330</f>
        <v>62.4333422592</v>
      </c>
      <c r="L1331" s="41" t="n">
        <f aca="false">L1329-L1330</f>
        <v>74.92001071104</v>
      </c>
      <c r="M1331" s="41" t="n">
        <f aca="false">M1329-M1330</f>
        <v>89.904012853248</v>
      </c>
    </row>
    <row r="1332" customFormat="false" ht="15" hidden="false" customHeight="false" outlineLevel="0" collapsed="false">
      <c r="A1332" s="9" t="s">
        <v>295</v>
      </c>
      <c r="C1332" s="36" t="n">
        <f aca="false">C1324*a_capex</f>
        <v>6.6</v>
      </c>
      <c r="D1332" s="36" t="n">
        <f aca="false">D1324*a_capex</f>
        <v>3.168</v>
      </c>
      <c r="E1332" s="36" t="n">
        <f aca="false">E1324*a_capex</f>
        <v>3.8016</v>
      </c>
      <c r="F1332" s="36" t="n">
        <f aca="false">F1324*a_capex</f>
        <v>4.56192</v>
      </c>
      <c r="G1332" s="36" t="n">
        <f aca="false">G1324*a_capex</f>
        <v>5.474304</v>
      </c>
      <c r="H1332" s="36" t="n">
        <f aca="false">H1324*a_capex</f>
        <v>6.5691648</v>
      </c>
      <c r="I1332" s="36" t="n">
        <f aca="false">I1324*a_capex</f>
        <v>7.88299776</v>
      </c>
      <c r="J1332" s="36" t="n">
        <f aca="false">J1324*a_capex</f>
        <v>9.459597312</v>
      </c>
      <c r="K1332" s="36" t="n">
        <f aca="false">K1324*a_capex</f>
        <v>11.3515167744</v>
      </c>
      <c r="L1332" s="36" t="n">
        <f aca="false">L1324*a_capex</f>
        <v>13.62182012928</v>
      </c>
      <c r="M1332" s="36" t="n">
        <f aca="false">M1324*a_capex</f>
        <v>16.346184155136</v>
      </c>
    </row>
    <row r="1333" customFormat="false" ht="15" hidden="false" customHeight="false" outlineLevel="0" collapsed="false">
      <c r="A1333" s="9" t="s">
        <v>296</v>
      </c>
      <c r="C1333" s="36" t="n">
        <f aca="false">0</f>
        <v>0</v>
      </c>
      <c r="D1333" s="36" t="n">
        <f aca="false">a_wc*(D1324-C1324)</f>
        <v>-5.72</v>
      </c>
      <c r="E1333" s="36" t="n">
        <f aca="false">a_wc*(E1324-D1324)</f>
        <v>1.056</v>
      </c>
      <c r="F1333" s="36" t="n">
        <f aca="false">a_wc*(F1324-E1324)</f>
        <v>1.2672</v>
      </c>
      <c r="G1333" s="36" t="n">
        <f aca="false">a_wc*(G1324-F1324)</f>
        <v>1.52064</v>
      </c>
      <c r="H1333" s="36" t="n">
        <f aca="false">a_wc*(H1324-G1324)</f>
        <v>1.824768</v>
      </c>
      <c r="I1333" s="36" t="n">
        <f aca="false">a_wc*(I1324-H1324)</f>
        <v>2.1897216</v>
      </c>
      <c r="J1333" s="36" t="n">
        <f aca="false">a_wc*(J1324-I1324)</f>
        <v>2.62766592</v>
      </c>
      <c r="K1333" s="36" t="n">
        <f aca="false">a_wc*(K1324-J1324)</f>
        <v>3.153199104</v>
      </c>
      <c r="L1333" s="36" t="n">
        <f aca="false">a_wc*(L1324-K1324)</f>
        <v>3.7838389248</v>
      </c>
      <c r="M1333" s="36" t="n">
        <f aca="false">a_wc*(M1324-L1324)</f>
        <v>4.54060670976</v>
      </c>
    </row>
    <row r="1334" customFormat="false" ht="15" hidden="false" customHeight="false" outlineLevel="0" collapsed="false">
      <c r="A1334" s="4" t="s">
        <v>297</v>
      </c>
      <c r="C1334" s="36" t="n">
        <f aca="false">0</f>
        <v>0</v>
      </c>
      <c r="D1334" s="41" t="n">
        <f aca="false">D1331+D1328-D1332-D1333</f>
        <v>-67.408</v>
      </c>
      <c r="E1334" s="41" t="n">
        <f aca="false">E1331+E1328-E1332-E1333</f>
        <v>5.5968</v>
      </c>
      <c r="F1334" s="41" t="n">
        <f aca="false">F1331+F1328-F1332-F1333</f>
        <v>12.41856</v>
      </c>
      <c r="G1334" s="41" t="n">
        <f aca="false">G1331+G1328-G1332-G1333</f>
        <v>21.745152</v>
      </c>
      <c r="H1334" s="41" t="n">
        <f aca="false">H1331+H1328-H1332-H1333</f>
        <v>34.3056384</v>
      </c>
      <c r="I1334" s="41" t="n">
        <f aca="false">I1331+I1328-I1332-I1333</f>
        <v>41.16676608</v>
      </c>
      <c r="J1334" s="41" t="n">
        <f aca="false">J1331+J1328-J1332-J1333</f>
        <v>49.400119296</v>
      </c>
      <c r="K1334" s="41" t="n">
        <f aca="false">K1331+K1328-K1332-K1333</f>
        <v>59.2801431552</v>
      </c>
      <c r="L1334" s="41" t="n">
        <f aca="false">L1331+L1328-L1332-L1333</f>
        <v>71.13617178624</v>
      </c>
      <c r="M1334" s="41" t="n">
        <f aca="false">M1331+M1328-M1332-M1333</f>
        <v>85.363406143488</v>
      </c>
    </row>
    <row r="1336" customFormat="false" ht="15" hidden="false" customHeight="false" outlineLevel="0" collapsed="false">
      <c r="A1336" s="7" t="s">
        <v>670</v>
      </c>
      <c r="B1336" s="8"/>
      <c r="C1336" s="8"/>
      <c r="D1336" s="8"/>
      <c r="E1336" s="8"/>
      <c r="F1336" s="8"/>
      <c r="G1336" s="8"/>
      <c r="H1336" s="8"/>
      <c r="I1336" s="8"/>
      <c r="J1336" s="8"/>
      <c r="K1336" s="8"/>
      <c r="L1336" s="8"/>
      <c r="M1336" s="8"/>
      <c r="N1336" s="8"/>
    </row>
    <row r="1337" customFormat="false" ht="15" hidden="false" customHeight="false" outlineLevel="0" collapsed="false">
      <c r="A1337" s="9" t="s">
        <v>482</v>
      </c>
      <c r="C1337" s="35" t="n">
        <f aca="false">lv_mix_eq/(c_price*(1-a_issue_disc))</f>
        <v>1.024</v>
      </c>
    </row>
    <row r="1338" customFormat="false" ht="15" hidden="false" customHeight="false" outlineLevel="0" collapsed="false">
      <c r="A1338" s="9" t="s">
        <v>449</v>
      </c>
      <c r="C1338" s="35" t="n">
        <f aca="false">cf_shares+C1337</f>
        <v>65.024</v>
      </c>
    </row>
    <row r="1339" customFormat="false" ht="15" hidden="false" customHeight="false" outlineLevel="0" collapsed="false">
      <c r="A1339" s="9" t="s">
        <v>483</v>
      </c>
      <c r="C1339" s="36" t="n">
        <f aca="false">lv_mix_cash*a_yield*(1-a_tax)+lv_mix_debt*a_kd*(1-a_tax)</f>
        <v>94.5</v>
      </c>
    </row>
    <row r="1340" customFormat="false" ht="15" hidden="false" customHeight="false" outlineLevel="0" collapsed="false">
      <c r="A1340" s="9" t="s">
        <v>484</v>
      </c>
      <c r="C1340" s="36" t="n">
        <f aca="false">lv_price*a_ppa_share/a_ppa_life*(1-a_tax)</f>
        <v>93.75</v>
      </c>
    </row>
    <row r="1341" customFormat="false" ht="15" hidden="false" customHeight="false" outlineLevel="0" collapsed="false">
      <c r="A1341" s="9" t="s">
        <v>485</v>
      </c>
      <c r="C1341" s="36" t="n">
        <f aca="false">a_ppa_on*C1340</f>
        <v>0</v>
      </c>
    </row>
    <row r="1342" customFormat="false" ht="15" hidden="false" customHeight="false" outlineLevel="0" collapsed="false">
      <c r="A1342" s="9" t="s">
        <v>486</v>
      </c>
      <c r="C1342" s="36" t="n">
        <f aca="false">lv_price*a_fees_pct+a_integ_full</f>
        <v>160</v>
      </c>
    </row>
    <row r="1343" customFormat="false" ht="15" hidden="false" customHeight="false" outlineLevel="0" collapsed="false">
      <c r="A1343" s="9" t="s">
        <v>487</v>
      </c>
      <c r="C1343" s="36" t="n">
        <f aca="false">0</f>
        <v>0</v>
      </c>
      <c r="D1343" s="36" t="n">
        <f aca="false">a_syn_on*(a_syn_partner_rev_y3+a_syn_xsell_y3)*a_mcap*IF(D1321=1,a_syn_ramp1,IF(D1321=2,a_syn_ramp2,1))+a_syn_on*IF(D1321&gt;=2,a_syn_cost,0)</f>
        <v>0</v>
      </c>
      <c r="E1343" s="36" t="n">
        <f aca="false">a_syn_on*(a_syn_partner_rev_y3+a_syn_xsell_y3)*a_mcap*IF(E1321=1,a_syn_ramp1,IF(E1321=2,a_syn_ramp2,1))+a_syn_on*IF(E1321&gt;=2,a_syn_cost,0)</f>
        <v>0</v>
      </c>
      <c r="F1343" s="36" t="n">
        <f aca="false">a_syn_on*(a_syn_partner_rev_y3+a_syn_xsell_y3)*a_mcap*IF(F1321=1,a_syn_ramp1,IF(F1321=2,a_syn_ramp2,1))+a_syn_on*IF(F1321&gt;=2,a_syn_cost,0)</f>
        <v>0</v>
      </c>
      <c r="G1343" s="36" t="n">
        <f aca="false">a_syn_on*(a_syn_partner_rev_y3+a_syn_xsell_y3)*a_mcap*IF(G1321=1,a_syn_ramp1,IF(G1321=2,a_syn_ramp2,1))+a_syn_on*IF(G1321&gt;=2,a_syn_cost,0)</f>
        <v>0</v>
      </c>
      <c r="H1343" s="36" t="n">
        <f aca="false">a_syn_on*(a_syn_partner_rev_y3+a_syn_xsell_y3)*a_mcap*IF(H1321=1,a_syn_ramp1,IF(H1321=2,a_syn_ramp2,1))+a_syn_on*IF(H1321&gt;=2,a_syn_cost,0)</f>
        <v>0</v>
      </c>
      <c r="I1343" s="36" t="n">
        <f aca="false">a_syn_on*(a_syn_partner_rev_y3+a_syn_xsell_y3)*a_mcap*IF(I1321=1,a_syn_ramp1,IF(I1321=2,a_syn_ramp2,1))+a_syn_on*IF(I1321&gt;=2,a_syn_cost,0)</f>
        <v>0</v>
      </c>
      <c r="J1343" s="36" t="n">
        <f aca="false">a_syn_on*(a_syn_partner_rev_y3+a_syn_xsell_y3)*a_mcap*IF(J1321=1,a_syn_ramp1,IF(J1321=2,a_syn_ramp2,1))+a_syn_on*IF(J1321&gt;=2,a_syn_cost,0)</f>
        <v>0</v>
      </c>
      <c r="K1343" s="36" t="n">
        <f aca="false">a_syn_on*(a_syn_partner_rev_y3+a_syn_xsell_y3)*a_mcap*IF(K1321=1,a_syn_ramp1,IF(K1321=2,a_syn_ramp2,1))+a_syn_on*IF(K1321&gt;=2,a_syn_cost,0)</f>
        <v>0</v>
      </c>
      <c r="L1343" s="36" t="n">
        <f aca="false">a_syn_on*(a_syn_partner_rev_y3+a_syn_xsell_y3)*a_mcap*IF(L1321=1,a_syn_ramp1,IF(L1321=2,a_syn_ramp2,1))+a_syn_on*IF(L1321&gt;=2,a_syn_cost,0)</f>
        <v>0</v>
      </c>
      <c r="M1343" s="36" t="n">
        <f aca="false">a_syn_on*(a_syn_partner_rev_y3+a_syn_xsell_y3)*a_mcap*IF(M1321=1,a_syn_ramp1,IF(M1321=2,a_syn_ramp2,1))+a_syn_on*IF(M1321&gt;=2,a_syn_cost,0)</f>
        <v>0</v>
      </c>
    </row>
    <row r="1344" customFormat="false" ht="15" hidden="false" customHeight="false" outlineLevel="0" collapsed="false">
      <c r="A1344" s="9" t="s">
        <v>488</v>
      </c>
      <c r="C1344" s="36" t="n">
        <f aca="false">0</f>
        <v>0</v>
      </c>
      <c r="D1344" s="36" t="n">
        <f aca="false">CHOOSE(lv_drag_mode,lv_drag,lv_drag*D1324/cf_arr,lv_drag*(1-a_tax))</f>
        <v>750</v>
      </c>
      <c r="E1344" s="36" t="n">
        <f aca="false">CHOOSE(lv_drag_mode,lv_drag,lv_drag*E1324/cf_arr,lv_drag*(1-a_tax))</f>
        <v>750</v>
      </c>
      <c r="F1344" s="36" t="n">
        <f aca="false">CHOOSE(lv_drag_mode,lv_drag,lv_drag*F1324/cf_arr,lv_drag*(1-a_tax))</f>
        <v>750</v>
      </c>
      <c r="G1344" s="36" t="n">
        <f aca="false">CHOOSE(lv_drag_mode,lv_drag,lv_drag*G1324/cf_arr,lv_drag*(1-a_tax))</f>
        <v>750</v>
      </c>
      <c r="H1344" s="36" t="n">
        <f aca="false">CHOOSE(lv_drag_mode,lv_drag,lv_drag*H1324/cf_arr,lv_drag*(1-a_tax))</f>
        <v>750</v>
      </c>
      <c r="I1344" s="36" t="n">
        <f aca="false">CHOOSE(lv_drag_mode,lv_drag,lv_drag*I1324/cf_arr,lv_drag*(1-a_tax))</f>
        <v>750</v>
      </c>
      <c r="J1344" s="36" t="n">
        <f aca="false">CHOOSE(lv_drag_mode,lv_drag,lv_drag*J1324/cf_arr,lv_drag*(1-a_tax))</f>
        <v>750</v>
      </c>
      <c r="K1344" s="36" t="n">
        <f aca="false">CHOOSE(lv_drag_mode,lv_drag,lv_drag*K1324/cf_arr,lv_drag*(1-a_tax))</f>
        <v>750</v>
      </c>
      <c r="L1344" s="36" t="n">
        <f aca="false">CHOOSE(lv_drag_mode,lv_drag,lv_drag*L1324/cf_arr,lv_drag*(1-a_tax))</f>
        <v>750</v>
      </c>
      <c r="M1344" s="36" t="n">
        <f aca="false">CHOOSE(lv_drag_mode,lv_drag,lv_drag*M1324/cf_arr,lv_drag*(1-a_tax))</f>
        <v>750</v>
      </c>
    </row>
    <row r="1345" customFormat="false" ht="15" hidden="false" customHeight="false" outlineLevel="0" collapsed="false">
      <c r="A1345" s="9" t="s">
        <v>489</v>
      </c>
      <c r="C1345" s="36" t="n">
        <f aca="false">0</f>
        <v>0</v>
      </c>
      <c r="D1345" s="36" t="n">
        <f aca="false">IF(lv_drag_mode=3,lv_drag*(1-a_tax),0)</f>
        <v>0</v>
      </c>
      <c r="E1345" s="36" t="n">
        <f aca="false">IF(lv_drag_mode=3,lv_drag*(1-a_tax),0)</f>
        <v>0</v>
      </c>
      <c r="F1345" s="36" t="n">
        <f aca="false">IF(lv_drag_mode=3,lv_drag*(1-a_tax),0)</f>
        <v>0</v>
      </c>
      <c r="G1345" s="36" t="n">
        <f aca="false">IF(lv_drag_mode=3,lv_drag*(1-a_tax),0)</f>
        <v>0</v>
      </c>
      <c r="H1345" s="36" t="n">
        <f aca="false">IF(lv_drag_mode=3,lv_drag*(1-a_tax),0)</f>
        <v>0</v>
      </c>
      <c r="I1345" s="36" t="n">
        <f aca="false">IF(lv_drag_mode=3,lv_drag*(1-a_tax),0)</f>
        <v>0</v>
      </c>
      <c r="J1345" s="36" t="n">
        <f aca="false">IF(lv_drag_mode=3,lv_drag*(1-a_tax),0)</f>
        <v>0</v>
      </c>
      <c r="K1345" s="36" t="n">
        <f aca="false">IF(lv_drag_mode=3,lv_drag*(1-a_tax),0)</f>
        <v>0</v>
      </c>
      <c r="L1345" s="36" t="n">
        <f aca="false">IF(lv_drag_mode=3,lv_drag*(1-a_tax),0)</f>
        <v>0</v>
      </c>
      <c r="M1345" s="36" t="n">
        <f aca="false">IF(lv_drag_mode=3,lv_drag*(1-a_tax),0)</f>
        <v>0</v>
      </c>
    </row>
    <row r="1346" customFormat="false" ht="15" hidden="false" customHeight="false" outlineLevel="0" collapsed="false">
      <c r="A1346" s="9" t="s">
        <v>490</v>
      </c>
      <c r="C1346" s="36" t="n">
        <f aca="false">0</f>
        <v>0</v>
      </c>
      <c r="D1346" s="36" t="n">
        <f aca="false">IF(lv_drag_mode=3,0,C1346+D1344)</f>
        <v>750</v>
      </c>
      <c r="E1346" s="36" t="n">
        <f aca="false">IF(lv_drag_mode=3,0,D1346+E1344)</f>
        <v>1500</v>
      </c>
      <c r="F1346" s="36" t="n">
        <f aca="false">IF(lv_drag_mode=3,0,E1346+F1344)</f>
        <v>2250</v>
      </c>
      <c r="G1346" s="36" t="n">
        <f aca="false">IF(lv_drag_mode=3,0,F1346+G1344)</f>
        <v>3000</v>
      </c>
      <c r="H1346" s="36" t="n">
        <f aca="false">IF(lv_drag_mode=3,0,G1346+H1344)</f>
        <v>3750</v>
      </c>
      <c r="I1346" s="36" t="n">
        <f aca="false">IF(lv_drag_mode=3,0,H1346+I1344)</f>
        <v>4500</v>
      </c>
      <c r="J1346" s="36" t="n">
        <f aca="false">IF(lv_drag_mode=3,0,I1346+J1344)</f>
        <v>5250</v>
      </c>
      <c r="K1346" s="36" t="n">
        <f aca="false">IF(lv_drag_mode=3,0,J1346+K1344)</f>
        <v>6000</v>
      </c>
      <c r="L1346" s="36" t="n">
        <f aca="false">IF(lv_drag_mode=3,0,K1346+L1344)</f>
        <v>6750</v>
      </c>
      <c r="M1346" s="36" t="n">
        <f aca="false">IF(lv_drag_mode=3,0,L1346+M1344)</f>
        <v>7500</v>
      </c>
    </row>
    <row r="1347" customFormat="false" ht="15" hidden="false" customHeight="false" outlineLevel="0" collapsed="false">
      <c r="A1347" s="9" t="s">
        <v>491</v>
      </c>
      <c r="C1347" s="36" t="n">
        <f aca="false">0</f>
        <v>0</v>
      </c>
      <c r="D1347" s="36" t="n">
        <f aca="false">C1346*a_yield*(1-a_tax)</f>
        <v>0</v>
      </c>
      <c r="E1347" s="36" t="n">
        <f aca="false">D1346*a_yield*(1-a_tax)</f>
        <v>33.75</v>
      </c>
      <c r="F1347" s="36" t="n">
        <f aca="false">E1346*a_yield*(1-a_tax)</f>
        <v>67.5</v>
      </c>
      <c r="G1347" s="36" t="n">
        <f aca="false">F1346*a_yield*(1-a_tax)</f>
        <v>101.25</v>
      </c>
      <c r="H1347" s="36" t="n">
        <f aca="false">G1346*a_yield*(1-a_tax)</f>
        <v>135</v>
      </c>
      <c r="I1347" s="36" t="n">
        <f aca="false">H1346*a_yield*(1-a_tax)</f>
        <v>168.75</v>
      </c>
      <c r="J1347" s="36" t="n">
        <f aca="false">I1346*a_yield*(1-a_tax)</f>
        <v>202.5</v>
      </c>
      <c r="K1347" s="36" t="n">
        <f aca="false">J1346*a_yield*(1-a_tax)</f>
        <v>236.25</v>
      </c>
      <c r="L1347" s="36" t="n">
        <f aca="false">K1346*a_yield*(1-a_tax)</f>
        <v>270</v>
      </c>
      <c r="M1347" s="36" t="n">
        <f aca="false">L1346*a_yield*(1-a_tax)</f>
        <v>303.75</v>
      </c>
    </row>
    <row r="1348" customFormat="false" ht="15" hidden="false" customHeight="false" outlineLevel="0" collapsed="false">
      <c r="A1348" s="9" t="s">
        <v>492</v>
      </c>
      <c r="C1348" s="36" t="n">
        <f aca="false">cf_pat</f>
        <v>480</v>
      </c>
      <c r="D1348" s="36" t="n">
        <f aca="false">cf_pat*(1+a_pat_growth)^D1321</f>
        <v>480</v>
      </c>
      <c r="E1348" s="36" t="n">
        <f aca="false">cf_pat*(1+a_pat_growth)^E1321</f>
        <v>480</v>
      </c>
      <c r="F1348" s="36" t="n">
        <f aca="false">cf_pat*(1+a_pat_growth)^F1321</f>
        <v>480</v>
      </c>
      <c r="G1348" s="36" t="n">
        <f aca="false">cf_pat*(1+a_pat_growth)^G1321</f>
        <v>480</v>
      </c>
      <c r="H1348" s="36" t="n">
        <f aca="false">cf_pat*(1+a_pat_growth)^H1321</f>
        <v>480</v>
      </c>
      <c r="I1348" s="36" t="n">
        <f aca="false">cf_pat*(1+a_pat_growth)^I1321</f>
        <v>480</v>
      </c>
      <c r="J1348" s="36" t="n">
        <f aca="false">cf_pat*(1+a_pat_growth)^J1321</f>
        <v>480</v>
      </c>
      <c r="K1348" s="36" t="n">
        <f aca="false">cf_pat*(1+a_pat_growth)^K1321</f>
        <v>480</v>
      </c>
      <c r="L1348" s="36" t="n">
        <f aca="false">cf_pat*(1+a_pat_growth)^L1321</f>
        <v>480</v>
      </c>
      <c r="M1348" s="36" t="n">
        <f aca="false">cf_pat*(1+a_pat_growth)^M1321</f>
        <v>480</v>
      </c>
    </row>
    <row r="1349" customFormat="false" ht="15" hidden="false" customHeight="false" outlineLevel="0" collapsed="false">
      <c r="A1349" s="9" t="s">
        <v>493</v>
      </c>
      <c r="C1349" s="36" t="n">
        <f aca="false">0</f>
        <v>0</v>
      </c>
      <c r="D1349" s="36" t="n">
        <f aca="false">cf_mdr*a_mdr_flow*(1-a_tax)</f>
        <v>69</v>
      </c>
      <c r="E1349" s="36" t="n">
        <f aca="false">cf_mdr*a_mdr_flow*(1-a_tax)</f>
        <v>69</v>
      </c>
      <c r="F1349" s="36" t="n">
        <f aca="false">cf_mdr*a_mdr_flow*(1-a_tax)</f>
        <v>69</v>
      </c>
      <c r="G1349" s="36" t="n">
        <f aca="false">cf_mdr*a_mdr_flow*(1-a_tax)</f>
        <v>69</v>
      </c>
      <c r="H1349" s="36" t="n">
        <f aca="false">cf_mdr*a_mdr_flow*(1-a_tax)</f>
        <v>69</v>
      </c>
      <c r="I1349" s="36" t="n">
        <f aca="false">cf_mdr*a_mdr_flow*(1-a_tax)</f>
        <v>69</v>
      </c>
      <c r="J1349" s="36" t="n">
        <f aca="false">cf_mdr*a_mdr_flow*(1-a_tax)</f>
        <v>69</v>
      </c>
      <c r="K1349" s="36" t="n">
        <f aca="false">cf_mdr*a_mdr_flow*(1-a_tax)</f>
        <v>69</v>
      </c>
      <c r="L1349" s="36" t="n">
        <f aca="false">cf_mdr*a_mdr_flow*(1-a_tax)</f>
        <v>69</v>
      </c>
      <c r="M1349" s="36" t="n">
        <f aca="false">cf_mdr*a_mdr_flow*(1-a_tax)</f>
        <v>69</v>
      </c>
    </row>
    <row r="1350" customFormat="false" ht="15" hidden="false" customHeight="false" outlineLevel="0" collapsed="false">
      <c r="A1350" s="9" t="s">
        <v>494</v>
      </c>
      <c r="C1350" s="50" t="n">
        <f aca="false">cf_eps</f>
        <v>7.5</v>
      </c>
      <c r="D1350" s="50" t="n">
        <f aca="false">D1348/cf_shares</f>
        <v>7.5</v>
      </c>
      <c r="E1350" s="50" t="n">
        <f aca="false">E1348/cf_shares</f>
        <v>7.5</v>
      </c>
      <c r="F1350" s="50" t="n">
        <f aca="false">F1348/cf_shares</f>
        <v>7.5</v>
      </c>
      <c r="G1350" s="50" t="n">
        <f aca="false">G1348/cf_shares</f>
        <v>7.5</v>
      </c>
      <c r="H1350" s="50" t="n">
        <f aca="false">H1348/cf_shares</f>
        <v>7.5</v>
      </c>
      <c r="I1350" s="50" t="n">
        <f aca="false">I1348/cf_shares</f>
        <v>7.5</v>
      </c>
      <c r="J1350" s="50" t="n">
        <f aca="false">J1348/cf_shares</f>
        <v>7.5</v>
      </c>
      <c r="K1350" s="50" t="n">
        <f aca="false">K1348/cf_shares</f>
        <v>7.5</v>
      </c>
      <c r="L1350" s="50" t="n">
        <f aca="false">L1348/cf_shares</f>
        <v>7.5</v>
      </c>
      <c r="M1350" s="50" t="n">
        <f aca="false">M1348/cf_shares</f>
        <v>7.5</v>
      </c>
    </row>
    <row r="1351" customFormat="false" ht="15" hidden="false" customHeight="false" outlineLevel="0" collapsed="false">
      <c r="A1351" s="9" t="s">
        <v>495</v>
      </c>
      <c r="C1351" s="50" t="n">
        <f aca="false">cf_eps</f>
        <v>7.5</v>
      </c>
      <c r="D1351" s="50" t="n">
        <f aca="false">(D1348+D1349)/cf_shares</f>
        <v>8.578125</v>
      </c>
      <c r="E1351" s="50" t="n">
        <f aca="false">(E1348+E1349)/cf_shares</f>
        <v>8.578125</v>
      </c>
      <c r="F1351" s="50" t="n">
        <f aca="false">(F1348+F1349)/cf_shares</f>
        <v>8.578125</v>
      </c>
      <c r="G1351" s="50" t="n">
        <f aca="false">(G1348+G1349)/cf_shares</f>
        <v>8.578125</v>
      </c>
      <c r="H1351" s="50" t="n">
        <f aca="false">(H1348+H1349)/cf_shares</f>
        <v>8.578125</v>
      </c>
      <c r="I1351" s="50" t="n">
        <f aca="false">(I1348+I1349)/cf_shares</f>
        <v>8.578125</v>
      </c>
      <c r="J1351" s="50" t="n">
        <f aca="false">(J1348+J1349)/cf_shares</f>
        <v>8.578125</v>
      </c>
      <c r="K1351" s="50" t="n">
        <f aca="false">(K1348+K1349)/cf_shares</f>
        <v>8.578125</v>
      </c>
      <c r="L1351" s="50" t="n">
        <f aca="false">(L1348+L1349)/cf_shares</f>
        <v>8.578125</v>
      </c>
      <c r="M1351" s="50" t="n">
        <f aca="false">(M1348+M1349)/cf_shares</f>
        <v>8.578125</v>
      </c>
    </row>
    <row r="1352" customFormat="false" ht="15" hidden="false" customHeight="false" outlineLevel="0" collapsed="false">
      <c r="A1352" s="4" t="s">
        <v>496</v>
      </c>
      <c r="C1352" s="41" t="n">
        <f aca="false">-C1339-C1341</f>
        <v>-94.5</v>
      </c>
      <c r="D1352" s="41" t="n">
        <f aca="false">D1331+D1343*(1-a_tax)-C1339-C1341-D1345-D1347</f>
        <v>-167.628</v>
      </c>
      <c r="E1352" s="41" t="n">
        <f aca="false">E1331+E1343*(1-a_tax)-C1339-C1341-E1345-E1347</f>
        <v>-121.5972</v>
      </c>
      <c r="F1352" s="41" t="n">
        <f aca="false">F1331+F1343*(1-a_tax)-C1339-C1341-F1345-F1347</f>
        <v>-148.31424</v>
      </c>
      <c r="G1352" s="41" t="n">
        <f aca="false">G1331+G1343*(1-a_tax)-C1339-C1341-G1345-G1347</f>
        <v>-172.484208</v>
      </c>
      <c r="H1352" s="41" t="n">
        <f aca="false">H1331+H1343*(1-a_tax)-C1339-C1341-H1345-H1347</f>
        <v>-193.3695936</v>
      </c>
      <c r="I1352" s="41" t="n">
        <f aca="false">I1331+I1343*(1-a_tax)-C1339-C1341-I1345-I1347</f>
        <v>-219.89351232</v>
      </c>
      <c r="J1352" s="41" t="n">
        <f aca="false">J1331+J1343*(1-a_tax)-C1339-C1341-J1345-J1347</f>
        <v>-244.972214784</v>
      </c>
      <c r="K1352" s="41" t="n">
        <f aca="false">K1331+K1343*(1-a_tax)-C1339-C1341-K1345-K1347</f>
        <v>-268.3166577408</v>
      </c>
      <c r="L1352" s="41" t="n">
        <f aca="false">L1331+L1343*(1-a_tax)-C1339-C1341-L1345-L1347</f>
        <v>-289.57998928896</v>
      </c>
      <c r="M1352" s="41" t="n">
        <f aca="false">M1331+M1343*(1-a_tax)-C1339-C1341-M1345-M1347</f>
        <v>-308.345987146752</v>
      </c>
    </row>
    <row r="1353" customFormat="false" ht="15" hidden="false" customHeight="false" outlineLevel="0" collapsed="false">
      <c r="A1353" s="9" t="s">
        <v>497</v>
      </c>
      <c r="C1353" s="36" t="n">
        <f aca="false">C1348+C1352</f>
        <v>385.5</v>
      </c>
      <c r="D1353" s="36" t="n">
        <f aca="false">D1348+D1352</f>
        <v>312.372</v>
      </c>
      <c r="E1353" s="36" t="n">
        <f aca="false">E1348+E1352</f>
        <v>358.4028</v>
      </c>
      <c r="F1353" s="36" t="n">
        <f aca="false">F1348+F1352</f>
        <v>331.68576</v>
      </c>
      <c r="G1353" s="36" t="n">
        <f aca="false">G1348+G1352</f>
        <v>307.515792</v>
      </c>
      <c r="H1353" s="36" t="n">
        <f aca="false">H1348+H1352</f>
        <v>286.6304064</v>
      </c>
      <c r="I1353" s="36" t="n">
        <f aca="false">I1348+I1352</f>
        <v>260.10648768</v>
      </c>
      <c r="J1353" s="36" t="n">
        <f aca="false">J1348+J1352</f>
        <v>235.027785216</v>
      </c>
      <c r="K1353" s="36" t="n">
        <f aca="false">K1348+K1352</f>
        <v>211.6833422592</v>
      </c>
      <c r="L1353" s="36" t="n">
        <f aca="false">L1348+L1352</f>
        <v>190.42001071104</v>
      </c>
      <c r="M1353" s="36" t="n">
        <f aca="false">M1348+M1352</f>
        <v>171.654012853248</v>
      </c>
    </row>
    <row r="1354" customFormat="false" ht="15" hidden="false" customHeight="false" outlineLevel="0" collapsed="false">
      <c r="A1354" s="4" t="s">
        <v>498</v>
      </c>
      <c r="C1354" s="48" t="n">
        <f aca="false">C1353/C1338</f>
        <v>5.92858021653543</v>
      </c>
      <c r="D1354" s="48" t="n">
        <f aca="false">D1353/C1338</f>
        <v>4.80394931102362</v>
      </c>
      <c r="E1354" s="48" t="n">
        <f aca="false">E1353/C1338</f>
        <v>5.51185408464567</v>
      </c>
      <c r="F1354" s="48" t="n">
        <f aca="false">F1353/C1338</f>
        <v>5.10097440944882</v>
      </c>
      <c r="G1354" s="48" t="n">
        <f aca="false">G1353/C1338</f>
        <v>4.72926599409449</v>
      </c>
      <c r="H1354" s="48" t="n">
        <f aca="false">H1353/C1338</f>
        <v>4.40807096456693</v>
      </c>
      <c r="I1354" s="48" t="n">
        <f aca="false">I1353/C1338</f>
        <v>4.00016128937008</v>
      </c>
      <c r="J1354" s="48" t="n">
        <f aca="false">J1353/C1338</f>
        <v>3.61447750393701</v>
      </c>
      <c r="K1354" s="48" t="n">
        <f aca="false">K1353/C1338</f>
        <v>3.25546478622047</v>
      </c>
      <c r="L1354" s="48" t="n">
        <f aca="false">L1353/C1338</f>
        <v>2.92845734976378</v>
      </c>
      <c r="M1354" s="48" t="n">
        <f aca="false">M1353/C1338</f>
        <v>2.6398562508189</v>
      </c>
    </row>
    <row r="1355" customFormat="false" ht="15" hidden="false" customHeight="false" outlineLevel="0" collapsed="false">
      <c r="A1355" s="4" t="s">
        <v>499</v>
      </c>
      <c r="C1355" s="14" t="n">
        <f aca="false">C1354/cf_eps-1</f>
        <v>-0.209522637795276</v>
      </c>
      <c r="D1355" s="14" t="n">
        <f aca="false">D1354/cf_eps-1</f>
        <v>-0.35947342519685</v>
      </c>
      <c r="E1355" s="14" t="n">
        <f aca="false">E1354/cf_eps-1</f>
        <v>-0.265086122047244</v>
      </c>
      <c r="F1355" s="14" t="n">
        <f aca="false">F1354/cf_eps-1</f>
        <v>-0.319870078740158</v>
      </c>
      <c r="G1355" s="14" t="n">
        <f aca="false">G1354/cf_eps-1</f>
        <v>-0.369431200787402</v>
      </c>
      <c r="H1355" s="14" t="n">
        <f aca="false">H1354/cf_eps-1</f>
        <v>-0.41225720472441</v>
      </c>
      <c r="I1355" s="14" t="n">
        <f aca="false">I1354/cf_eps-1</f>
        <v>-0.466645161417323</v>
      </c>
      <c r="J1355" s="14" t="n">
        <f aca="false">J1354/cf_eps-1</f>
        <v>-0.518069666141732</v>
      </c>
      <c r="K1355" s="14" t="n">
        <f aca="false">K1354/cf_eps-1</f>
        <v>-0.565938028503937</v>
      </c>
      <c r="L1355" s="14" t="n">
        <f aca="false">L1354/cf_eps-1</f>
        <v>-0.609539020031496</v>
      </c>
      <c r="M1355" s="14" t="n">
        <f aca="false">M1354/cf_eps-1</f>
        <v>-0.64801916655748</v>
      </c>
    </row>
    <row r="1356" customFormat="false" ht="15" hidden="false" customHeight="false" outlineLevel="0" collapsed="false">
      <c r="A1356" s="9" t="s">
        <v>500</v>
      </c>
      <c r="C1356" s="50" t="n">
        <f aca="false">C1354</f>
        <v>5.92858021653543</v>
      </c>
      <c r="D1356" s="50" t="n">
        <f aca="false">(D1353+D1349)/C1338</f>
        <v>5.86509596456693</v>
      </c>
      <c r="E1356" s="50" t="n">
        <f aca="false">(E1353+E1349)/C1338</f>
        <v>6.57300073818898</v>
      </c>
      <c r="F1356" s="50" t="n">
        <f aca="false">(F1353+F1349)/C1338</f>
        <v>6.16212106299213</v>
      </c>
      <c r="G1356" s="50" t="n">
        <f aca="false">(G1353+G1349)/C1338</f>
        <v>5.7904126476378</v>
      </c>
      <c r="H1356" s="50" t="n">
        <f aca="false">(H1353+H1349)/C1338</f>
        <v>5.46921761811024</v>
      </c>
      <c r="I1356" s="50" t="n">
        <f aca="false">(I1353+I1349)/C1338</f>
        <v>5.06130794291339</v>
      </c>
      <c r="J1356" s="50" t="n">
        <f aca="false">(J1353+J1349)/C1338</f>
        <v>4.67562415748032</v>
      </c>
      <c r="K1356" s="50" t="n">
        <f aca="false">(K1353+K1349)/C1338</f>
        <v>4.31661143976378</v>
      </c>
      <c r="L1356" s="50" t="n">
        <f aca="false">(L1353+L1349)/C1338</f>
        <v>3.98960400330709</v>
      </c>
      <c r="M1356" s="50" t="n">
        <f aca="false">(M1353+M1349)/C1338</f>
        <v>3.7010029043622</v>
      </c>
    </row>
    <row r="1357" customFormat="false" ht="15" hidden="false" customHeight="false" outlineLevel="0" collapsed="false">
      <c r="A1357" s="9" t="s">
        <v>501</v>
      </c>
      <c r="C1357" s="18" t="n">
        <f aca="false">C1355</f>
        <v>-0.209522637795276</v>
      </c>
      <c r="D1357" s="18" t="n">
        <f aca="false">D1356/D1351-1</f>
        <v>-0.316272965879265</v>
      </c>
      <c r="E1357" s="18" t="n">
        <f aca="false">E1356/E1351-1</f>
        <v>-0.233748547824965</v>
      </c>
      <c r="F1357" s="18" t="n">
        <f aca="false">F1356/F1351-1</f>
        <v>-0.281647089195818</v>
      </c>
      <c r="G1357" s="18" t="n">
        <f aca="false">G1356/G1351-1</f>
        <v>-0.324979217761714</v>
      </c>
      <c r="H1357" s="18" t="n">
        <f aca="false">H1356/H1351-1</f>
        <v>-0.362422718471667</v>
      </c>
      <c r="I1357" s="18" t="n">
        <f aca="false">I1356/I1351-1</f>
        <v>-0.409975030334323</v>
      </c>
      <c r="J1357" s="18" t="n">
        <f aca="false">J1356/J1351-1</f>
        <v>-0.454936345940364</v>
      </c>
      <c r="K1357" s="18" t="n">
        <f aca="false">K1356/K1351-1</f>
        <v>-0.496788466038467</v>
      </c>
      <c r="L1357" s="18" t="n">
        <f aca="false">L1356/L1351-1</f>
        <v>-0.534909551527043</v>
      </c>
      <c r="M1357" s="18" t="n">
        <f aca="false">M1356/M1351-1</f>
        <v>-0.568553395484188</v>
      </c>
    </row>
    <row r="1358" customFormat="false" ht="15" hidden="false" customHeight="false" outlineLevel="0" collapsed="false">
      <c r="A1358" s="9" t="s">
        <v>502</v>
      </c>
      <c r="C1358" s="50" t="n">
        <f aca="false">(C1353+C1341)/C1338</f>
        <v>5.92858021653543</v>
      </c>
      <c r="D1358" s="50" t="n">
        <f aca="false">(D1353+C1341)/C1338</f>
        <v>4.80394931102362</v>
      </c>
      <c r="E1358" s="50" t="n">
        <f aca="false">(E1353+C1341)/C1338</f>
        <v>5.51185408464567</v>
      </c>
      <c r="F1358" s="50" t="n">
        <f aca="false">(F1353+C1341)/C1338</f>
        <v>5.10097440944882</v>
      </c>
      <c r="G1358" s="50" t="n">
        <f aca="false">(G1353+C1341)/C1338</f>
        <v>4.72926599409449</v>
      </c>
      <c r="H1358" s="50" t="n">
        <f aca="false">(H1353+C1341)/C1338</f>
        <v>4.40807096456693</v>
      </c>
      <c r="I1358" s="50" t="n">
        <f aca="false">(I1353+C1341)/C1338</f>
        <v>4.00016128937008</v>
      </c>
      <c r="J1358" s="50" t="n">
        <f aca="false">(J1353+C1341)/C1338</f>
        <v>3.61447750393701</v>
      </c>
      <c r="K1358" s="50" t="n">
        <f aca="false">(K1353+C1341)/C1338</f>
        <v>3.25546478622047</v>
      </c>
      <c r="L1358" s="50" t="n">
        <f aca="false">(L1353+C1341)/C1338</f>
        <v>2.92845734976378</v>
      </c>
      <c r="M1358" s="50" t="n">
        <f aca="false">(M1353+C1341)/C1338</f>
        <v>2.6398562508189</v>
      </c>
    </row>
    <row r="1359" customFormat="false" ht="15" hidden="false" customHeight="false" outlineLevel="0" collapsed="false">
      <c r="A1359" s="9" t="s">
        <v>503</v>
      </c>
      <c r="C1359" s="50" t="n">
        <f aca="false">(C1353-C1340+C1341)/C1338</f>
        <v>4.48680487204724</v>
      </c>
      <c r="D1359" s="50" t="n">
        <f aca="false">(D1353-C1340+C1341)/C1338</f>
        <v>3.36217396653543</v>
      </c>
      <c r="E1359" s="50" t="n">
        <f aca="false">(E1353-C1340+C1341)/C1338</f>
        <v>4.07007874015748</v>
      </c>
      <c r="F1359" s="50" t="n">
        <f aca="false">(F1353-C1340+C1341)/C1338</f>
        <v>3.65919906496063</v>
      </c>
      <c r="G1359" s="50" t="n">
        <f aca="false">(G1353-C1340+C1341)/C1338</f>
        <v>3.2874906496063</v>
      </c>
      <c r="H1359" s="50" t="n">
        <f aca="false">(H1353-C1340+C1341)/C1338</f>
        <v>2.96629562007874</v>
      </c>
      <c r="I1359" s="50" t="n">
        <f aca="false">(I1353-C1340+C1341)/C1338</f>
        <v>2.55838594488189</v>
      </c>
      <c r="J1359" s="50" t="n">
        <f aca="false">(J1353-C1340+C1341)/C1338</f>
        <v>2.17270215944882</v>
      </c>
      <c r="K1359" s="50" t="n">
        <f aca="false">(K1353-C1340+C1341)/C1338</f>
        <v>1.81368944173228</v>
      </c>
      <c r="L1359" s="50" t="n">
        <f aca="false">(L1353-C1340+C1341)/C1338</f>
        <v>1.48668200527559</v>
      </c>
      <c r="M1359" s="50" t="n">
        <f aca="false">(M1353-C1340+C1341)/C1338</f>
        <v>1.19808090633071</v>
      </c>
    </row>
    <row r="1360" customFormat="false" ht="15" hidden="false" customHeight="false" outlineLevel="0" collapsed="false">
      <c r="A1360" s="9" t="s">
        <v>504</v>
      </c>
      <c r="C1360" s="50" t="n">
        <f aca="false">C1348/C1338</f>
        <v>7.38188976377953</v>
      </c>
      <c r="D1360" s="50" t="n">
        <f aca="false">D1348/C1338</f>
        <v>7.38188976377953</v>
      </c>
      <c r="E1360" s="50" t="n">
        <f aca="false">E1348/C1338</f>
        <v>7.38188976377953</v>
      </c>
      <c r="F1360" s="50" t="n">
        <f aca="false">F1348/C1338</f>
        <v>7.38188976377953</v>
      </c>
      <c r="G1360" s="50" t="n">
        <f aca="false">G1348/C1338</f>
        <v>7.38188976377953</v>
      </c>
      <c r="H1360" s="50" t="n">
        <f aca="false">H1348/C1338</f>
        <v>7.38188976377953</v>
      </c>
      <c r="I1360" s="50" t="n">
        <f aca="false">I1348/C1338</f>
        <v>7.38188976377953</v>
      </c>
      <c r="J1360" s="50" t="n">
        <f aca="false">J1348/C1338</f>
        <v>7.38188976377953</v>
      </c>
      <c r="K1360" s="50" t="n">
        <f aca="false">K1348/C1338</f>
        <v>7.38188976377953</v>
      </c>
      <c r="L1360" s="50" t="n">
        <f aca="false">L1348/C1338</f>
        <v>7.38188976377953</v>
      </c>
      <c r="M1360" s="50" t="n">
        <f aca="false">M1348/C1338</f>
        <v>7.38188976377953</v>
      </c>
    </row>
    <row r="1361" customFormat="false" ht="15" hidden="false" customHeight="false" outlineLevel="0" collapsed="false">
      <c r="A1361" s="9" t="s">
        <v>505</v>
      </c>
      <c r="D1361" s="36" t="n">
        <f aca="false">D1334+D1343*(1-a_tax)-D1344-IF(D1321=1,C1342,0)</f>
        <v>-977.408</v>
      </c>
      <c r="E1361" s="36" t="n">
        <f aca="false">E1334+E1343*(1-a_tax)-E1344-IF(E1321=1,C1342,0)</f>
        <v>-744.4032</v>
      </c>
      <c r="F1361" s="36" t="n">
        <f aca="false">F1334+F1343*(1-a_tax)-F1344-IF(F1321=1,C1342,0)</f>
        <v>-737.58144</v>
      </c>
      <c r="G1361" s="36" t="n">
        <f aca="false">G1334+G1343*(1-a_tax)-G1344-IF(G1321=1,C1342,0)</f>
        <v>-728.254848</v>
      </c>
      <c r="H1361" s="36" t="n">
        <f aca="false">H1334+H1343*(1-a_tax)-H1344-IF(H1321=1,C1342,0)</f>
        <v>-715.6943616</v>
      </c>
      <c r="I1361" s="36" t="n">
        <f aca="false">I1334+I1343*(1-a_tax)-I1344-IF(I1321=1,C1342,0)</f>
        <v>-708.83323392</v>
      </c>
      <c r="J1361" s="36" t="n">
        <f aca="false">J1334+J1343*(1-a_tax)-J1344-IF(J1321=1,C1342,0)</f>
        <v>-700.599880704</v>
      </c>
      <c r="K1361" s="36" t="n">
        <f aca="false">K1334+K1343*(1-a_tax)-K1344-IF(K1321=1,C1342,0)</f>
        <v>-690.7198568448</v>
      </c>
      <c r="L1361" s="36" t="n">
        <f aca="false">L1334+L1343*(1-a_tax)-L1344-IF(L1321=1,C1342,0)</f>
        <v>-678.86382821376</v>
      </c>
      <c r="M1361" s="36" t="n">
        <f aca="false">M1334+M1343*(1-a_tax)-M1344-IF(M1321=1,C1342,0)</f>
        <v>-664.636593856512</v>
      </c>
    </row>
    <row r="1362" customFormat="false" ht="15" hidden="false" customHeight="false" outlineLevel="0" collapsed="false">
      <c r="A1362" s="4" t="s">
        <v>506</v>
      </c>
      <c r="D1362" s="41" t="n">
        <f aca="false">D1361-C1339</f>
        <v>-1071.908</v>
      </c>
      <c r="E1362" s="41" t="n">
        <f aca="false">E1361-C1339</f>
        <v>-838.9032</v>
      </c>
      <c r="F1362" s="41" t="n">
        <f aca="false">F1361-C1339</f>
        <v>-832.08144</v>
      </c>
      <c r="G1362" s="41" t="n">
        <f aca="false">G1361-C1339</f>
        <v>-822.754848</v>
      </c>
      <c r="H1362" s="41" t="n">
        <f aca="false">H1361-C1339</f>
        <v>-810.1943616</v>
      </c>
      <c r="I1362" s="41" t="n">
        <f aca="false">I1361-C1339</f>
        <v>-803.33323392</v>
      </c>
      <c r="J1362" s="41" t="n">
        <f aca="false">J1361-C1339</f>
        <v>-795.099880704</v>
      </c>
      <c r="K1362" s="41" t="n">
        <f aca="false">K1361-C1339</f>
        <v>-785.2198568448</v>
      </c>
      <c r="L1362" s="41" t="n">
        <f aca="false">L1361-C1339</f>
        <v>-773.36382821376</v>
      </c>
      <c r="M1362" s="41" t="n">
        <f aca="false">M1361-C1339</f>
        <v>-759.136593856512</v>
      </c>
    </row>
    <row r="1363" customFormat="false" ht="15" hidden="false" customHeight="false" outlineLevel="0" collapsed="false">
      <c r="A1363" s="9" t="s">
        <v>507</v>
      </c>
      <c r="C1363" s="36" t="n">
        <f aca="false">0</f>
        <v>0</v>
      </c>
      <c r="D1363" s="36" t="n">
        <f aca="false">D1349</f>
        <v>69</v>
      </c>
      <c r="E1363" s="36" t="n">
        <f aca="false">E1349</f>
        <v>69</v>
      </c>
      <c r="F1363" s="36" t="n">
        <f aca="false">F1349</f>
        <v>69</v>
      </c>
      <c r="G1363" s="36" t="n">
        <f aca="false">G1349</f>
        <v>69</v>
      </c>
      <c r="H1363" s="36" t="n">
        <f aca="false">H1349</f>
        <v>69</v>
      </c>
      <c r="I1363" s="36" t="n">
        <f aca="false">I1349</f>
        <v>69</v>
      </c>
      <c r="J1363" s="36" t="n">
        <f aca="false">J1349</f>
        <v>69</v>
      </c>
      <c r="K1363" s="36" t="n">
        <f aca="false">K1349</f>
        <v>69</v>
      </c>
      <c r="L1363" s="36" t="n">
        <f aca="false">L1349</f>
        <v>69</v>
      </c>
      <c r="M1363" s="36" t="n">
        <f aca="false">M1349</f>
        <v>69</v>
      </c>
    </row>
    <row r="1364" customFormat="false" ht="15" hidden="false" customHeight="false" outlineLevel="0" collapsed="false">
      <c r="A1364" s="9" t="s">
        <v>508</v>
      </c>
      <c r="D1364" s="36" t="n">
        <f aca="false">D1362+D1363</f>
        <v>-1002.908</v>
      </c>
      <c r="E1364" s="36" t="n">
        <f aca="false">E1362+E1363</f>
        <v>-769.9032</v>
      </c>
      <c r="F1364" s="36" t="n">
        <f aca="false">F1362+F1363</f>
        <v>-763.08144</v>
      </c>
      <c r="G1364" s="36" t="n">
        <f aca="false">G1362+G1363</f>
        <v>-753.754848</v>
      </c>
      <c r="H1364" s="36" t="n">
        <f aca="false">H1362+H1363</f>
        <v>-741.1943616</v>
      </c>
      <c r="I1364" s="36" t="n">
        <f aca="false">I1362+I1363</f>
        <v>-734.33323392</v>
      </c>
      <c r="J1364" s="36" t="n">
        <f aca="false">J1362+J1363</f>
        <v>-726.099880704</v>
      </c>
      <c r="K1364" s="36" t="n">
        <f aca="false">K1362+K1363</f>
        <v>-716.2198568448</v>
      </c>
      <c r="L1364" s="36" t="n">
        <f aca="false">L1362+L1363</f>
        <v>-704.36382821376</v>
      </c>
      <c r="M1364" s="36" t="n">
        <f aca="false">M1362+M1363</f>
        <v>-690.136593856512</v>
      </c>
    </row>
    <row r="1365" customFormat="false" ht="15" hidden="false" customHeight="false" outlineLevel="0" collapsed="false">
      <c r="A1365" s="9" t="s">
        <v>509</v>
      </c>
      <c r="D1365" s="36" t="n">
        <f aca="false">IF(lv_mdr_in_deal=1,D1364,D1362)</f>
        <v>-1071.908</v>
      </c>
      <c r="E1365" s="36" t="n">
        <f aca="false">IF(lv_mdr_in_deal=1,E1364,E1362)</f>
        <v>-838.9032</v>
      </c>
      <c r="F1365" s="36" t="n">
        <f aca="false">IF(lv_mdr_in_deal=1,F1364,F1362)</f>
        <v>-832.08144</v>
      </c>
      <c r="G1365" s="36" t="n">
        <f aca="false">IF(lv_mdr_in_deal=1,G1364,G1362)</f>
        <v>-822.754848</v>
      </c>
      <c r="H1365" s="36" t="n">
        <f aca="false">IF(lv_mdr_in_deal=1,H1364,H1362)</f>
        <v>-810.1943616</v>
      </c>
      <c r="I1365" s="36" t="n">
        <f aca="false">IF(lv_mdr_in_deal=1,I1364,I1362)</f>
        <v>-803.33323392</v>
      </c>
      <c r="J1365" s="36" t="n">
        <f aca="false">IF(lv_mdr_in_deal=1,J1364,J1362)</f>
        <v>-795.099880704</v>
      </c>
      <c r="K1365" s="36" t="n">
        <f aca="false">IF(lv_mdr_in_deal=1,K1364,K1362)</f>
        <v>-785.2198568448</v>
      </c>
      <c r="L1365" s="36" t="n">
        <f aca="false">IF(lv_mdr_in_deal=1,L1364,L1362)</f>
        <v>-773.36382821376</v>
      </c>
      <c r="M1365" s="36" t="n">
        <f aca="false">IF(lv_mdr_in_deal=1,M1364,M1362)</f>
        <v>-759.136593856512</v>
      </c>
    </row>
    <row r="1366" customFormat="false" ht="15" hidden="false" customHeight="false" outlineLevel="0" collapsed="false">
      <c r="A1366" s="9" t="s">
        <v>510</v>
      </c>
      <c r="C1366" s="36" t="n">
        <f aca="false">-lv_price</f>
        <v>-4000</v>
      </c>
      <c r="D1366" s="36" t="n">
        <f aca="false">C1366+D1365</f>
        <v>-5071.908</v>
      </c>
      <c r="E1366" s="36" t="n">
        <f aca="false">D1366+E1365</f>
        <v>-5910.8112</v>
      </c>
      <c r="F1366" s="36" t="n">
        <f aca="false">E1366+F1365</f>
        <v>-6742.89264</v>
      </c>
      <c r="G1366" s="36" t="n">
        <f aca="false">F1366+G1365</f>
        <v>-7565.647488</v>
      </c>
      <c r="H1366" s="36" t="n">
        <f aca="false">G1366+H1365</f>
        <v>-8375.8418496</v>
      </c>
      <c r="I1366" s="36" t="n">
        <f aca="false">H1366+I1365</f>
        <v>-9179.17508352</v>
      </c>
      <c r="J1366" s="36" t="n">
        <f aca="false">I1366+J1365</f>
        <v>-9974.274964224</v>
      </c>
      <c r="K1366" s="36" t="n">
        <f aca="false">J1366+K1365</f>
        <v>-10759.4948210688</v>
      </c>
      <c r="L1366" s="36" t="n">
        <f aca="false">K1366+L1365</f>
        <v>-11532.8586492826</v>
      </c>
      <c r="M1366" s="36" t="n">
        <f aca="false">L1366+M1365</f>
        <v>-12291.9952431391</v>
      </c>
    </row>
    <row r="1367" customFormat="false" ht="15" hidden="false" customHeight="false" outlineLevel="0" collapsed="false">
      <c r="A1367" s="9" t="s">
        <v>511</v>
      </c>
      <c r="C1367" s="43" t="n">
        <f aca="false">1</f>
        <v>1</v>
      </c>
      <c r="D1367" s="43" t="n">
        <f aca="false">1/(1+lv_wacc)^D1321</f>
        <v>0.884955752212389</v>
      </c>
      <c r="E1367" s="43" t="n">
        <f aca="false">1/(1+lv_wacc)^E1321</f>
        <v>0.783146683373796</v>
      </c>
      <c r="F1367" s="43" t="n">
        <f aca="false">1/(1+lv_wacc)^F1321</f>
        <v>0.693050162277696</v>
      </c>
      <c r="G1367" s="43" t="n">
        <f aca="false">1/(1+lv_wacc)^G1321</f>
        <v>0.613318727679377</v>
      </c>
      <c r="H1367" s="43" t="n">
        <f aca="false">1/(1+lv_wacc)^H1321</f>
        <v>0.542759935999449</v>
      </c>
      <c r="I1367" s="43" t="n">
        <f aca="false">1/(1+lv_wacc)^I1321</f>
        <v>0.48031852743314</v>
      </c>
      <c r="J1367" s="43" t="n">
        <f aca="false">1/(1+lv_wacc)^J1321</f>
        <v>0.425060643746142</v>
      </c>
      <c r="K1367" s="43" t="n">
        <f aca="false">1/(1+lv_wacc)^K1321</f>
        <v>0.37615986172225</v>
      </c>
      <c r="L1367" s="43" t="n">
        <f aca="false">1/(1+lv_wacc)^L1321</f>
        <v>0.332884833382522</v>
      </c>
      <c r="M1367" s="43" t="n">
        <f aca="false">1/(1+lv_wacc)^M1321</f>
        <v>0.294588348126126</v>
      </c>
    </row>
    <row r="1368" customFormat="false" ht="15" hidden="false" customHeight="false" outlineLevel="0" collapsed="false">
      <c r="A1368" s="9" t="s">
        <v>512</v>
      </c>
      <c r="C1368" s="46" t="n">
        <f aca="false">99</f>
        <v>99</v>
      </c>
      <c r="D1368" s="46" t="n">
        <f aca="false">IF(D1352&gt;=0,D1321,99)</f>
        <v>99</v>
      </c>
      <c r="E1368" s="46" t="n">
        <f aca="false">IF(E1352&gt;=0,E1321,99)</f>
        <v>99</v>
      </c>
      <c r="F1368" s="46" t="n">
        <f aca="false">IF(F1352&gt;=0,F1321,99)</f>
        <v>99</v>
      </c>
      <c r="G1368" s="46" t="n">
        <f aca="false">IF(G1352&gt;=0,G1321,99)</f>
        <v>99</v>
      </c>
      <c r="H1368" s="46" t="n">
        <f aca="false">IF(H1352&gt;=0,H1321,99)</f>
        <v>99</v>
      </c>
      <c r="I1368" s="46" t="n">
        <f aca="false">IF(I1352&gt;=0,I1321,99)</f>
        <v>99</v>
      </c>
      <c r="J1368" s="46" t="n">
        <f aca="false">IF(J1352&gt;=0,J1321,99)</f>
        <v>99</v>
      </c>
      <c r="K1368" s="46" t="n">
        <f aca="false">IF(K1352&gt;=0,K1321,99)</f>
        <v>99</v>
      </c>
      <c r="L1368" s="46" t="n">
        <f aca="false">IF(L1352&gt;=0,L1321,99)</f>
        <v>99</v>
      </c>
      <c r="M1368" s="46" t="n">
        <f aca="false">IF(M1352&gt;=0,M1321,99)</f>
        <v>99</v>
      </c>
    </row>
    <row r="1369" customFormat="false" ht="15" hidden="false" customHeight="false" outlineLevel="0" collapsed="false">
      <c r="A1369" s="9" t="s">
        <v>513</v>
      </c>
      <c r="C1369" s="46" t="n">
        <f aca="false">99</f>
        <v>99</v>
      </c>
      <c r="D1369" s="46" t="n">
        <f aca="false">IF(D1352+D1349&gt;=0,D1321,99)</f>
        <v>99</v>
      </c>
      <c r="E1369" s="46" t="n">
        <f aca="false">IF(E1352+E1349&gt;=0,E1321,99)</f>
        <v>99</v>
      </c>
      <c r="F1369" s="46" t="n">
        <f aca="false">IF(F1352+F1349&gt;=0,F1321,99)</f>
        <v>99</v>
      </c>
      <c r="G1369" s="46" t="n">
        <f aca="false">IF(G1352+G1349&gt;=0,G1321,99)</f>
        <v>99</v>
      </c>
      <c r="H1369" s="46" t="n">
        <f aca="false">IF(H1352+H1349&gt;=0,H1321,99)</f>
        <v>99</v>
      </c>
      <c r="I1369" s="46" t="n">
        <f aca="false">IF(I1352+I1349&gt;=0,I1321,99)</f>
        <v>99</v>
      </c>
      <c r="J1369" s="46" t="n">
        <f aca="false">IF(J1352+J1349&gt;=0,J1321,99)</f>
        <v>99</v>
      </c>
      <c r="K1369" s="46" t="n">
        <f aca="false">IF(K1352+K1349&gt;=0,K1321,99)</f>
        <v>99</v>
      </c>
      <c r="L1369" s="46" t="n">
        <f aca="false">IF(L1352+L1349&gt;=0,L1321,99)</f>
        <v>99</v>
      </c>
      <c r="M1369" s="46" t="n">
        <f aca="false">IF(M1352+M1349&gt;=0,M1321,99)</f>
        <v>99</v>
      </c>
    </row>
    <row r="1370" customFormat="false" ht="15" hidden="false" customHeight="false" outlineLevel="0" collapsed="false">
      <c r="A1370" s="9" t="s">
        <v>514</v>
      </c>
      <c r="C1370" s="46" t="n">
        <f aca="false">99</f>
        <v>99</v>
      </c>
      <c r="D1370" s="46" t="n">
        <f aca="false">IF(D1362&gt;=0,D1321,99)</f>
        <v>99</v>
      </c>
      <c r="E1370" s="46" t="n">
        <f aca="false">IF(E1362&gt;=0,E1321,99)</f>
        <v>99</v>
      </c>
      <c r="F1370" s="46" t="n">
        <f aca="false">IF(F1362&gt;=0,F1321,99)</f>
        <v>99</v>
      </c>
      <c r="G1370" s="46" t="n">
        <f aca="false">IF(G1362&gt;=0,G1321,99)</f>
        <v>99</v>
      </c>
      <c r="H1370" s="46" t="n">
        <f aca="false">IF(H1362&gt;=0,H1321,99)</f>
        <v>99</v>
      </c>
      <c r="I1370" s="46" t="n">
        <f aca="false">IF(I1362&gt;=0,I1321,99)</f>
        <v>99</v>
      </c>
      <c r="J1370" s="46" t="n">
        <f aca="false">IF(J1362&gt;=0,J1321,99)</f>
        <v>99</v>
      </c>
      <c r="K1370" s="46" t="n">
        <f aca="false">IF(K1362&gt;=0,K1321,99)</f>
        <v>99</v>
      </c>
      <c r="L1370" s="46" t="n">
        <f aca="false">IF(L1362&gt;=0,L1321,99)</f>
        <v>99</v>
      </c>
      <c r="M1370" s="46" t="n">
        <f aca="false">IF(M1362&gt;=0,M1321,99)</f>
        <v>99</v>
      </c>
    </row>
    <row r="1371" customFormat="false" ht="15" hidden="false" customHeight="false" outlineLevel="0" collapsed="false">
      <c r="A1371" s="9" t="s">
        <v>515</v>
      </c>
      <c r="C1371" s="46" t="n">
        <f aca="false">99</f>
        <v>99</v>
      </c>
      <c r="D1371" s="46" t="n">
        <f aca="false">IF(D1364&gt;=0,D1321,99)</f>
        <v>99</v>
      </c>
      <c r="E1371" s="46" t="n">
        <f aca="false">IF(E1364&gt;=0,E1321,99)</f>
        <v>99</v>
      </c>
      <c r="F1371" s="46" t="n">
        <f aca="false">IF(F1364&gt;=0,F1321,99)</f>
        <v>99</v>
      </c>
      <c r="G1371" s="46" t="n">
        <f aca="false">IF(G1364&gt;=0,G1321,99)</f>
        <v>99</v>
      </c>
      <c r="H1371" s="46" t="n">
        <f aca="false">IF(H1364&gt;=0,H1321,99)</f>
        <v>99</v>
      </c>
      <c r="I1371" s="46" t="n">
        <f aca="false">IF(I1364&gt;=0,I1321,99)</f>
        <v>99</v>
      </c>
      <c r="J1371" s="46" t="n">
        <f aca="false">IF(J1364&gt;=0,J1321,99)</f>
        <v>99</v>
      </c>
      <c r="K1371" s="46" t="n">
        <f aca="false">IF(K1364&gt;=0,K1321,99)</f>
        <v>99</v>
      </c>
      <c r="L1371" s="46" t="n">
        <f aca="false">IF(L1364&gt;=0,L1321,99)</f>
        <v>99</v>
      </c>
      <c r="M1371" s="46" t="n">
        <f aca="false">IF(M1364&gt;=0,M1321,99)</f>
        <v>99</v>
      </c>
    </row>
    <row r="1372" customFormat="false" ht="15" hidden="false" customHeight="false" outlineLevel="0" collapsed="false">
      <c r="A1372" s="9" t="s">
        <v>516</v>
      </c>
      <c r="C1372" s="46" t="n">
        <f aca="false">99</f>
        <v>99</v>
      </c>
      <c r="D1372" s="46" t="n">
        <f aca="false">IF(D1366&gt;=0,D1321,99)</f>
        <v>99</v>
      </c>
      <c r="E1372" s="46" t="n">
        <f aca="false">IF(E1366&gt;=0,E1321,99)</f>
        <v>99</v>
      </c>
      <c r="F1372" s="46" t="n">
        <f aca="false">IF(F1366&gt;=0,F1321,99)</f>
        <v>99</v>
      </c>
      <c r="G1372" s="46" t="n">
        <f aca="false">IF(G1366&gt;=0,G1321,99)</f>
        <v>99</v>
      </c>
      <c r="H1372" s="46" t="n">
        <f aca="false">IF(H1366&gt;=0,H1321,99)</f>
        <v>99</v>
      </c>
      <c r="I1372" s="46" t="n">
        <f aca="false">IF(I1366&gt;=0,I1321,99)</f>
        <v>99</v>
      </c>
      <c r="J1372" s="46" t="n">
        <f aca="false">IF(J1366&gt;=0,J1321,99)</f>
        <v>99</v>
      </c>
      <c r="K1372" s="46" t="n">
        <f aca="false">IF(K1366&gt;=0,K1321,99)</f>
        <v>99</v>
      </c>
      <c r="L1372" s="46" t="n">
        <f aca="false">IF(L1366&gt;=0,L1321,99)</f>
        <v>99</v>
      </c>
      <c r="M1372" s="46" t="n">
        <f aca="false">IF(M1366&gt;=0,M1321,99)</f>
        <v>99</v>
      </c>
    </row>
    <row r="1373" customFormat="false" ht="15" hidden="false" customHeight="false" outlineLevel="0" collapsed="false">
      <c r="A1373" s="4" t="s">
        <v>517</v>
      </c>
      <c r="C1373" s="23" t="n">
        <f aca="false">MIN(D1368:M1368)</f>
        <v>99</v>
      </c>
    </row>
    <row r="1374" customFormat="false" ht="15" hidden="false" customHeight="false" outlineLevel="0" collapsed="false">
      <c r="A1374" s="9" t="s">
        <v>518</v>
      </c>
      <c r="C1374" s="46" t="n">
        <f aca="false">MIN(D1369:M1369)</f>
        <v>99</v>
      </c>
    </row>
    <row r="1375" customFormat="false" ht="15" hidden="false" customHeight="false" outlineLevel="0" collapsed="false">
      <c r="A1375" s="4" t="s">
        <v>519</v>
      </c>
      <c r="C1375" s="23" t="n">
        <f aca="false">MIN(D1370:M1370)</f>
        <v>99</v>
      </c>
    </row>
    <row r="1376" customFormat="false" ht="15" hidden="false" customHeight="false" outlineLevel="0" collapsed="false">
      <c r="A1376" s="9" t="s">
        <v>520</v>
      </c>
      <c r="C1376" s="46" t="n">
        <f aca="false">MIN(D1371:M1371)</f>
        <v>99</v>
      </c>
    </row>
    <row r="1377" customFormat="false" ht="15" hidden="false" customHeight="false" outlineLevel="0" collapsed="false">
      <c r="A1377" s="9" t="s">
        <v>521</v>
      </c>
      <c r="C1377" s="46" t="n">
        <f aca="false">MIN(D1372:M1372)</f>
        <v>99</v>
      </c>
    </row>
    <row r="1378" customFormat="false" ht="15" hidden="false" customHeight="false" outlineLevel="0" collapsed="false">
      <c r="A1378" s="4" t="s">
        <v>522</v>
      </c>
      <c r="C1378" s="15" t="n">
        <f aca="false">M1366</f>
        <v>-12291.9952431391</v>
      </c>
    </row>
    <row r="1379" customFormat="false" ht="15" hidden="false" customHeight="false" outlineLevel="0" collapsed="false">
      <c r="A1379" s="9" t="s">
        <v>523</v>
      </c>
      <c r="C1379" s="36" t="n">
        <f aca="false">SUMPRODUCT(D1334:M1334,D1367:M1367)</f>
        <v>97.1903730185899</v>
      </c>
    </row>
    <row r="1380" customFormat="false" ht="15" hidden="false" customHeight="false" outlineLevel="0" collapsed="false">
      <c r="A1380" s="9" t="s">
        <v>524</v>
      </c>
      <c r="C1380" s="36" t="n">
        <f aca="false">M1334*(1+a_tg)/(lv_wacc-a_tg)</f>
        <v>1120.39470563328</v>
      </c>
    </row>
    <row r="1381" customFormat="false" ht="15" hidden="false" customHeight="false" outlineLevel="0" collapsed="false">
      <c r="A1381" s="9" t="s">
        <v>314</v>
      </c>
      <c r="C1381" s="36" t="n">
        <f aca="false">C1380*M1367</f>
        <v>330.055225581765</v>
      </c>
    </row>
    <row r="1382" customFormat="false" ht="15" hidden="false" customHeight="false" outlineLevel="0" collapsed="false">
      <c r="A1382" s="4" t="s">
        <v>525</v>
      </c>
      <c r="C1382" s="15" t="n">
        <f aca="false">C1379+C1381</f>
        <v>427.245598600354</v>
      </c>
    </row>
    <row r="1383" customFormat="false" ht="15" hidden="false" customHeight="false" outlineLevel="0" collapsed="false">
      <c r="A1383" s="9" t="s">
        <v>526</v>
      </c>
      <c r="C1383" s="32" t="n">
        <f aca="false">SUMPRODUCT(D1344:M1344,D1367:M1367)-a_recovery*M1346*M1367</f>
        <v>4069.68260696466</v>
      </c>
    </row>
    <row r="1384" customFormat="false" ht="15" hidden="false" customHeight="false" outlineLevel="0" collapsed="false">
      <c r="A1384" s="9" t="s">
        <v>527</v>
      </c>
      <c r="C1384" s="36" t="n">
        <f aca="false">SUMPRODUCT(D1343:M1343,D1367:M1367)*(1-a_tax)</f>
        <v>0</v>
      </c>
    </row>
    <row r="1385" customFormat="false" ht="15" hidden="false" customHeight="false" outlineLevel="0" collapsed="false">
      <c r="A1385" s="9" t="s">
        <v>528</v>
      </c>
      <c r="C1385" s="36" t="n">
        <f aca="false">C1342*D1367</f>
        <v>141.592920353982</v>
      </c>
    </row>
    <row r="1386" customFormat="false" ht="15" hidden="false" customHeight="false" outlineLevel="0" collapsed="false">
      <c r="A1386" s="4" t="s">
        <v>529</v>
      </c>
      <c r="C1386" s="20" t="n">
        <f aca="false">C1382+C1384-C1383-C1385-lv_price</f>
        <v>-7784.02992871829</v>
      </c>
    </row>
    <row r="1387" customFormat="false" ht="15" hidden="false" customHeight="false" outlineLevel="0" collapsed="false">
      <c r="A1387" s="9" t="s">
        <v>530</v>
      </c>
      <c r="C1387" s="32" t="n">
        <f aca="false">C1386+SUMPRODUCT(D1363:M1363,D1367:M1367)</f>
        <v>-7409.61912887754</v>
      </c>
    </row>
    <row r="1388" customFormat="false" ht="15" hidden="false" customHeight="false" outlineLevel="0" collapsed="false">
      <c r="A1388" s="4" t="s">
        <v>531</v>
      </c>
      <c r="C1388" s="59" t="n">
        <f aca="false">lv_price/D1324</f>
        <v>37.8787878787879</v>
      </c>
    </row>
    <row r="1389" customFormat="false" ht="15" hidden="false" customHeight="false" outlineLevel="0" collapsed="false">
      <c r="A1389" s="9" t="s">
        <v>532</v>
      </c>
      <c r="C1389" s="17" t="n">
        <f aca="false">(lv_price+C1383)/D1324</f>
        <v>76.4174489295896</v>
      </c>
    </row>
    <row r="1390" customFormat="false" ht="15" hidden="false" customHeight="false" outlineLevel="0" collapsed="false">
      <c r="A1390" s="4" t="s">
        <v>533</v>
      </c>
      <c r="C1390" s="15" t="n">
        <f aca="false">(C1386+C1383)/SUMPRODUCT(D1367:M1367)</f>
        <v>-684.515418118308</v>
      </c>
    </row>
    <row r="1391" customFormat="false" ht="15" hidden="false" customHeight="false" outlineLevel="0" collapsed="false">
      <c r="A1391" s="4" t="s">
        <v>534</v>
      </c>
      <c r="C1391" s="25" t="n">
        <f aca="false">D1354</f>
        <v>4.80394931102362</v>
      </c>
    </row>
    <row r="1392" customFormat="false" ht="15" hidden="false" customHeight="false" outlineLevel="0" collapsed="false">
      <c r="A1392" s="9" t="s">
        <v>535</v>
      </c>
      <c r="C1392" s="50" t="n">
        <f aca="false">F1354</f>
        <v>5.10097440944882</v>
      </c>
    </row>
    <row r="1393" customFormat="false" ht="15" hidden="false" customHeight="false" outlineLevel="0" collapsed="false">
      <c r="A1393" s="4" t="s">
        <v>536</v>
      </c>
      <c r="C1393" s="20" t="n">
        <f aca="false">D1362</f>
        <v>-1071.908</v>
      </c>
    </row>
    <row r="1394" customFormat="false" ht="15" hidden="false" customHeight="false" outlineLevel="0" collapsed="false">
      <c r="A1394" s="9" t="s">
        <v>537</v>
      </c>
      <c r="C1394" s="32" t="n">
        <f aca="false">cf_cash-lv_mix_cash-C1342</f>
        <v>6640</v>
      </c>
    </row>
    <row r="1395" customFormat="false" ht="15" hidden="false" customHeight="false" outlineLevel="0" collapsed="false">
      <c r="A1395" s="9" t="s">
        <v>538</v>
      </c>
      <c r="C1395" s="32" t="n">
        <f aca="false">cf_debt+lv_mix_debt</f>
        <v>350</v>
      </c>
    </row>
    <row r="1396" customFormat="false" ht="15" hidden="false" customHeight="false" outlineLevel="0" collapsed="false">
      <c r="A1396" s="9" t="s">
        <v>539</v>
      </c>
      <c r="C1396" s="34" t="n">
        <f aca="false">C1395/cf_ebitda</f>
        <v>0.546875</v>
      </c>
    </row>
    <row r="1397" customFormat="false" ht="15" hidden="false" customHeight="false" outlineLevel="0" collapsed="false">
      <c r="A1397" s="9" t="s">
        <v>540</v>
      </c>
      <c r="C1397" s="32" t="n">
        <f aca="false">C1394+SUM(D1365:F1365)+3*cf_pat</f>
        <v>5337.10736</v>
      </c>
    </row>
    <row r="1399" customFormat="false" ht="15" hidden="false" customHeight="false" outlineLevel="0" collapsed="false">
      <c r="A1399" s="7" t="s">
        <v>671</v>
      </c>
      <c r="B1399" s="8"/>
      <c r="C1399" s="8"/>
      <c r="D1399" s="8"/>
      <c r="E1399" s="8"/>
      <c r="F1399" s="8"/>
      <c r="G1399" s="8"/>
      <c r="H1399" s="8"/>
      <c r="I1399" s="8"/>
      <c r="J1399" s="8"/>
      <c r="K1399" s="8"/>
      <c r="L1399" s="8"/>
      <c r="M1399" s="8"/>
      <c r="N1399" s="8"/>
    </row>
    <row r="1400" customFormat="false" ht="15" hidden="false" customHeight="false" outlineLevel="0" collapsed="false">
      <c r="A1400" s="4" t="s">
        <v>284</v>
      </c>
      <c r="C1400" s="39" t="n">
        <v>0</v>
      </c>
      <c r="D1400" s="39" t="n">
        <v>1</v>
      </c>
      <c r="E1400" s="39" t="n">
        <v>2</v>
      </c>
      <c r="F1400" s="39" t="n">
        <v>3</v>
      </c>
      <c r="G1400" s="39" t="n">
        <v>4</v>
      </c>
      <c r="H1400" s="39" t="n">
        <v>5</v>
      </c>
      <c r="I1400" s="39" t="n">
        <v>6</v>
      </c>
      <c r="J1400" s="39" t="n">
        <v>7</v>
      </c>
      <c r="K1400" s="39" t="n">
        <v>8</v>
      </c>
      <c r="L1400" s="39" t="n">
        <v>9</v>
      </c>
      <c r="M1400" s="39" t="n">
        <v>10</v>
      </c>
    </row>
    <row r="1401" customFormat="false" ht="15" hidden="false" customHeight="false" outlineLevel="0" collapsed="false">
      <c r="A1401" s="9" t="s">
        <v>285</v>
      </c>
      <c r="C1401" s="40" t="n">
        <f aca="false">cf_arr</f>
        <v>220</v>
      </c>
      <c r="D1401" s="36" t="n">
        <f aca="false">C1401*(1+lv_g)</f>
        <v>264</v>
      </c>
      <c r="E1401" s="36" t="n">
        <f aca="false">D1401*(1+lv_g)</f>
        <v>316.8</v>
      </c>
      <c r="F1401" s="36" t="n">
        <f aca="false">E1401*(1+lv_g)</f>
        <v>380.16</v>
      </c>
      <c r="G1401" s="36" t="n">
        <f aca="false">F1401*(1+lv_g)</f>
        <v>456.192</v>
      </c>
      <c r="H1401" s="36" t="n">
        <f aca="false">G1401*(1+lv_g)</f>
        <v>547.4304</v>
      </c>
      <c r="I1401" s="36" t="n">
        <f aca="false">H1401*(1+lv_g)</f>
        <v>656.91648</v>
      </c>
      <c r="J1401" s="36" t="n">
        <f aca="false">I1401*(1+lv_g)</f>
        <v>788.299776</v>
      </c>
      <c r="K1401" s="36" t="n">
        <f aca="false">J1401*(1+lv_g)</f>
        <v>945.9597312</v>
      </c>
      <c r="L1401" s="36" t="n">
        <f aca="false">K1401*(1+lv_g)</f>
        <v>1135.15167744</v>
      </c>
      <c r="M1401" s="36" t="n">
        <f aca="false">L1401*(1+lv_g)</f>
        <v>1362.182012928</v>
      </c>
    </row>
    <row r="1402" customFormat="false" ht="15" hidden="false" customHeight="false" outlineLevel="0" collapsed="false">
      <c r="A1402" s="9" t="s">
        <v>286</v>
      </c>
      <c r="C1402" s="18" t="n">
        <f aca="false">1</f>
        <v>1</v>
      </c>
      <c r="D1402" s="18" t="n">
        <f aca="false">IF(D1400&gt;=a_churn_year,1-Churn!$A$21,1)</f>
        <v>0.4</v>
      </c>
      <c r="E1402" s="18" t="n">
        <f aca="false">IF(E1400&gt;=a_churn_year,1-Churn!$A$21,1)</f>
        <v>0.4</v>
      </c>
      <c r="F1402" s="18" t="n">
        <f aca="false">IF(F1400&gt;=a_churn_year,1-Churn!$A$21,1)</f>
        <v>0.4</v>
      </c>
      <c r="G1402" s="18" t="n">
        <f aca="false">IF(G1400&gt;=a_churn_year,1-Churn!$A$21,1)</f>
        <v>0.4</v>
      </c>
      <c r="H1402" s="18" t="n">
        <f aca="false">IF(H1400&gt;=a_churn_year,1-Churn!$A$21,1)</f>
        <v>0.4</v>
      </c>
      <c r="I1402" s="18" t="n">
        <f aca="false">IF(I1400&gt;=a_churn_year,1-Churn!$A$21,1)</f>
        <v>0.4</v>
      </c>
      <c r="J1402" s="18" t="n">
        <f aca="false">IF(J1400&gt;=a_churn_year,1-Churn!$A$21,1)</f>
        <v>0.4</v>
      </c>
      <c r="K1402" s="18" t="n">
        <f aca="false">IF(K1400&gt;=a_churn_year,1-Churn!$A$21,1)</f>
        <v>0.4</v>
      </c>
      <c r="L1402" s="18" t="n">
        <f aca="false">IF(L1400&gt;=a_churn_year,1-Churn!$A$21,1)</f>
        <v>0.4</v>
      </c>
      <c r="M1402" s="18" t="n">
        <f aca="false">IF(M1400&gt;=a_churn_year,1-Churn!$A$21,1)</f>
        <v>0.4</v>
      </c>
    </row>
    <row r="1403" customFormat="false" ht="15" hidden="false" customHeight="false" outlineLevel="0" collapsed="false">
      <c r="A1403" s="4" t="s">
        <v>287</v>
      </c>
      <c r="C1403" s="41" t="n">
        <f aca="false">C1401*C1402</f>
        <v>220</v>
      </c>
      <c r="D1403" s="41" t="n">
        <f aca="false">D1401*D1402</f>
        <v>105.6</v>
      </c>
      <c r="E1403" s="41" t="n">
        <f aca="false">E1401*E1402</f>
        <v>126.72</v>
      </c>
      <c r="F1403" s="41" t="n">
        <f aca="false">F1401*F1402</f>
        <v>152.064</v>
      </c>
      <c r="G1403" s="41" t="n">
        <f aca="false">G1401*G1402</f>
        <v>182.4768</v>
      </c>
      <c r="H1403" s="41" t="n">
        <f aca="false">H1401*H1402</f>
        <v>218.97216</v>
      </c>
      <c r="I1403" s="41" t="n">
        <f aca="false">I1401*I1402</f>
        <v>262.766592</v>
      </c>
      <c r="J1403" s="41" t="n">
        <f aca="false">J1401*J1402</f>
        <v>315.3199104</v>
      </c>
      <c r="K1403" s="41" t="n">
        <f aca="false">K1401*K1402</f>
        <v>378.38389248</v>
      </c>
      <c r="L1403" s="41" t="n">
        <f aca="false">L1401*L1402</f>
        <v>454.060670976</v>
      </c>
      <c r="M1403" s="41" t="n">
        <f aca="false">M1401*M1402</f>
        <v>544.8728051712</v>
      </c>
    </row>
    <row r="1404" customFormat="false" ht="15" hidden="false" customHeight="false" outlineLevel="0" collapsed="false">
      <c r="A1404" s="9" t="s">
        <v>288</v>
      </c>
      <c r="C1404" s="18" t="n">
        <f aca="false">MIN(a_m0+a_mstep*C1400,a_mcap)</f>
        <v>0</v>
      </c>
      <c r="D1404" s="18" t="n">
        <f aca="false">MIN(a_m0+a_mstep*D1400,a_mcap)</f>
        <v>0.05</v>
      </c>
      <c r="E1404" s="18" t="n">
        <f aca="false">MIN(a_m0+a_mstep*E1400,a_mcap)</f>
        <v>0.1</v>
      </c>
      <c r="F1404" s="18" t="n">
        <f aca="false">MIN(a_m0+a_mstep*F1400,a_mcap)</f>
        <v>0.15</v>
      </c>
      <c r="G1404" s="18" t="n">
        <f aca="false">MIN(a_m0+a_mstep*G1400,a_mcap)</f>
        <v>0.2</v>
      </c>
      <c r="H1404" s="18" t="n">
        <f aca="false">MIN(a_m0+a_mstep*H1400,a_mcap)</f>
        <v>0.25</v>
      </c>
      <c r="I1404" s="18" t="n">
        <f aca="false">MIN(a_m0+a_mstep*I1400,a_mcap)</f>
        <v>0.25</v>
      </c>
      <c r="J1404" s="18" t="n">
        <f aca="false">MIN(a_m0+a_mstep*J1400,a_mcap)</f>
        <v>0.25</v>
      </c>
      <c r="K1404" s="18" t="n">
        <f aca="false">MIN(a_m0+a_mstep*K1400,a_mcap)</f>
        <v>0.25</v>
      </c>
      <c r="L1404" s="18" t="n">
        <f aca="false">MIN(a_m0+a_mstep*L1400,a_mcap)</f>
        <v>0.25</v>
      </c>
      <c r="M1404" s="18" t="n">
        <f aca="false">MIN(a_m0+a_mstep*M1400,a_mcap)</f>
        <v>0.25</v>
      </c>
    </row>
    <row r="1405" customFormat="false" ht="15" hidden="false" customHeight="false" outlineLevel="0" collapsed="false">
      <c r="A1405" s="9" t="s">
        <v>289</v>
      </c>
      <c r="C1405" s="36" t="n">
        <f aca="false">IF(C1400=a_churn_year,a_sticky*(C1401-C1403)*(1-C1404),0)</f>
        <v>0</v>
      </c>
      <c r="D1405" s="36" t="n">
        <f aca="false">IF(D1400=a_churn_year,a_sticky*(D1401-D1403)*(1-D1404),0)</f>
        <v>75.24</v>
      </c>
      <c r="E1405" s="36" t="n">
        <f aca="false">IF(E1400=a_churn_year,a_sticky*(E1401-E1403)*(1-E1404),0)</f>
        <v>0</v>
      </c>
      <c r="F1405" s="36" t="n">
        <f aca="false">IF(F1400=a_churn_year,a_sticky*(F1401-F1403)*(1-F1404),0)</f>
        <v>0</v>
      </c>
      <c r="G1405" s="36" t="n">
        <f aca="false">IF(G1400=a_churn_year,a_sticky*(G1401-G1403)*(1-G1404),0)</f>
        <v>0</v>
      </c>
      <c r="H1405" s="36" t="n">
        <f aca="false">IF(H1400=a_churn_year,a_sticky*(H1401-H1403)*(1-H1404),0)</f>
        <v>0</v>
      </c>
      <c r="I1405" s="36" t="n">
        <f aca="false">IF(I1400=a_churn_year,a_sticky*(I1401-I1403)*(1-I1404),0)</f>
        <v>0</v>
      </c>
      <c r="J1405" s="36" t="n">
        <f aca="false">IF(J1400=a_churn_year,a_sticky*(J1401-J1403)*(1-J1404),0)</f>
        <v>0</v>
      </c>
      <c r="K1405" s="36" t="n">
        <f aca="false">IF(K1400=a_churn_year,a_sticky*(K1401-K1403)*(1-K1404),0)</f>
        <v>0</v>
      </c>
      <c r="L1405" s="36" t="n">
        <f aca="false">IF(L1400=a_churn_year,a_sticky*(L1401-L1403)*(1-L1404),0)</f>
        <v>0</v>
      </c>
      <c r="M1405" s="36" t="n">
        <f aca="false">IF(M1400=a_churn_year,a_sticky*(M1401-M1403)*(1-M1404),0)</f>
        <v>0</v>
      </c>
    </row>
    <row r="1406" customFormat="false" ht="15" hidden="false" customHeight="false" outlineLevel="0" collapsed="false">
      <c r="A1406" s="4" t="s">
        <v>290</v>
      </c>
      <c r="C1406" s="41" t="n">
        <f aca="false">C1403*C1404-C1405</f>
        <v>0</v>
      </c>
      <c r="D1406" s="41" t="n">
        <f aca="false">D1403*D1404-D1405</f>
        <v>-69.96</v>
      </c>
      <c r="E1406" s="41" t="n">
        <f aca="false">E1403*E1404-E1405</f>
        <v>12.672</v>
      </c>
      <c r="F1406" s="41" t="n">
        <f aca="false">F1403*F1404-F1405</f>
        <v>22.8096</v>
      </c>
      <c r="G1406" s="41" t="n">
        <f aca="false">G1403*G1404-G1405</f>
        <v>36.49536</v>
      </c>
      <c r="H1406" s="41" t="n">
        <f aca="false">H1403*H1404-H1405</f>
        <v>54.74304</v>
      </c>
      <c r="I1406" s="41" t="n">
        <f aca="false">I1403*I1404-I1405</f>
        <v>65.691648</v>
      </c>
      <c r="J1406" s="41" t="n">
        <f aca="false">J1403*J1404-J1405</f>
        <v>78.8299776</v>
      </c>
      <c r="K1406" s="41" t="n">
        <f aca="false">K1403*K1404-K1405</f>
        <v>94.59597312</v>
      </c>
      <c r="L1406" s="41" t="n">
        <f aca="false">L1403*L1404-L1405</f>
        <v>113.515167744</v>
      </c>
      <c r="M1406" s="41" t="n">
        <f aca="false">M1403*M1404-M1405</f>
        <v>136.2182012928</v>
      </c>
    </row>
    <row r="1407" customFormat="false" ht="15" hidden="false" customHeight="false" outlineLevel="0" collapsed="false">
      <c r="A1407" s="9" t="s">
        <v>291</v>
      </c>
      <c r="C1407" s="36" t="n">
        <f aca="false">C1403*a_da</f>
        <v>6.6</v>
      </c>
      <c r="D1407" s="36" t="n">
        <f aca="false">D1403*a_da</f>
        <v>3.168</v>
      </c>
      <c r="E1407" s="36" t="n">
        <f aca="false">E1403*a_da</f>
        <v>3.8016</v>
      </c>
      <c r="F1407" s="36" t="n">
        <f aca="false">F1403*a_da</f>
        <v>4.56192</v>
      </c>
      <c r="G1407" s="36" t="n">
        <f aca="false">G1403*a_da</f>
        <v>5.474304</v>
      </c>
      <c r="H1407" s="36" t="n">
        <f aca="false">H1403*a_da</f>
        <v>6.5691648</v>
      </c>
      <c r="I1407" s="36" t="n">
        <f aca="false">I1403*a_da</f>
        <v>7.88299776</v>
      </c>
      <c r="J1407" s="36" t="n">
        <f aca="false">J1403*a_da</f>
        <v>9.459597312</v>
      </c>
      <c r="K1407" s="36" t="n">
        <f aca="false">K1403*a_da</f>
        <v>11.3515167744</v>
      </c>
      <c r="L1407" s="36" t="n">
        <f aca="false">L1403*a_da</f>
        <v>13.62182012928</v>
      </c>
      <c r="M1407" s="36" t="n">
        <f aca="false">M1403*a_da</f>
        <v>16.346184155136</v>
      </c>
    </row>
    <row r="1408" customFormat="false" ht="15" hidden="false" customHeight="false" outlineLevel="0" collapsed="false">
      <c r="A1408" s="9" t="s">
        <v>292</v>
      </c>
      <c r="C1408" s="36" t="n">
        <f aca="false">C1406-C1407</f>
        <v>-6.6</v>
      </c>
      <c r="D1408" s="36" t="n">
        <f aca="false">D1406-D1407</f>
        <v>-73.128</v>
      </c>
      <c r="E1408" s="36" t="n">
        <f aca="false">E1406-E1407</f>
        <v>8.8704</v>
      </c>
      <c r="F1408" s="36" t="n">
        <f aca="false">F1406-F1407</f>
        <v>18.24768</v>
      </c>
      <c r="G1408" s="36" t="n">
        <f aca="false">G1406-G1407</f>
        <v>31.021056</v>
      </c>
      <c r="H1408" s="36" t="n">
        <f aca="false">H1406-H1407</f>
        <v>48.1738752</v>
      </c>
      <c r="I1408" s="36" t="n">
        <f aca="false">I1406-I1407</f>
        <v>57.80865024</v>
      </c>
      <c r="J1408" s="36" t="n">
        <f aca="false">J1406-J1407</f>
        <v>69.370380288</v>
      </c>
      <c r="K1408" s="36" t="n">
        <f aca="false">K1406-K1407</f>
        <v>83.2444563456</v>
      </c>
      <c r="L1408" s="36" t="n">
        <f aca="false">L1406-L1407</f>
        <v>99.89334761472</v>
      </c>
      <c r="M1408" s="36" t="n">
        <f aca="false">M1406-M1407</f>
        <v>119.872017137664</v>
      </c>
    </row>
    <row r="1409" customFormat="false" ht="15" hidden="false" customHeight="false" outlineLevel="0" collapsed="false">
      <c r="A1409" s="9" t="s">
        <v>293</v>
      </c>
      <c r="C1409" s="36" t="n">
        <f aca="false">MAX(0,C1408)*a_tax</f>
        <v>0</v>
      </c>
      <c r="D1409" s="36" t="n">
        <f aca="false">MAX(0,D1408)*a_tax</f>
        <v>0</v>
      </c>
      <c r="E1409" s="36" t="n">
        <f aca="false">MAX(0,E1408)*a_tax</f>
        <v>2.2176</v>
      </c>
      <c r="F1409" s="36" t="n">
        <f aca="false">MAX(0,F1408)*a_tax</f>
        <v>4.56192</v>
      </c>
      <c r="G1409" s="36" t="n">
        <f aca="false">MAX(0,G1408)*a_tax</f>
        <v>7.755264</v>
      </c>
      <c r="H1409" s="36" t="n">
        <f aca="false">MAX(0,H1408)*a_tax</f>
        <v>12.0434688</v>
      </c>
      <c r="I1409" s="36" t="n">
        <f aca="false">MAX(0,I1408)*a_tax</f>
        <v>14.45216256</v>
      </c>
      <c r="J1409" s="36" t="n">
        <f aca="false">MAX(0,J1408)*a_tax</f>
        <v>17.342595072</v>
      </c>
      <c r="K1409" s="36" t="n">
        <f aca="false">MAX(0,K1408)*a_tax</f>
        <v>20.8111140864</v>
      </c>
      <c r="L1409" s="36" t="n">
        <f aca="false">MAX(0,L1408)*a_tax</f>
        <v>24.97333690368</v>
      </c>
      <c r="M1409" s="36" t="n">
        <f aca="false">MAX(0,M1408)*a_tax</f>
        <v>29.968004284416</v>
      </c>
    </row>
    <row r="1410" customFormat="false" ht="15" hidden="false" customHeight="false" outlineLevel="0" collapsed="false">
      <c r="A1410" s="4" t="s">
        <v>294</v>
      </c>
      <c r="C1410" s="42" t="n">
        <f aca="false">cf_lim_pat</f>
        <v>0</v>
      </c>
      <c r="D1410" s="41" t="n">
        <f aca="false">D1408-D1409</f>
        <v>-73.128</v>
      </c>
      <c r="E1410" s="41" t="n">
        <f aca="false">E1408-E1409</f>
        <v>6.6528</v>
      </c>
      <c r="F1410" s="41" t="n">
        <f aca="false">F1408-F1409</f>
        <v>13.68576</v>
      </c>
      <c r="G1410" s="41" t="n">
        <f aca="false">G1408-G1409</f>
        <v>23.265792</v>
      </c>
      <c r="H1410" s="41" t="n">
        <f aca="false">H1408-H1409</f>
        <v>36.1304064</v>
      </c>
      <c r="I1410" s="41" t="n">
        <f aca="false">I1408-I1409</f>
        <v>43.35648768</v>
      </c>
      <c r="J1410" s="41" t="n">
        <f aca="false">J1408-J1409</f>
        <v>52.027785216</v>
      </c>
      <c r="K1410" s="41" t="n">
        <f aca="false">K1408-K1409</f>
        <v>62.4333422592</v>
      </c>
      <c r="L1410" s="41" t="n">
        <f aca="false">L1408-L1409</f>
        <v>74.92001071104</v>
      </c>
      <c r="M1410" s="41" t="n">
        <f aca="false">M1408-M1409</f>
        <v>89.904012853248</v>
      </c>
    </row>
    <row r="1411" customFormat="false" ht="15" hidden="false" customHeight="false" outlineLevel="0" collapsed="false">
      <c r="A1411" s="9" t="s">
        <v>295</v>
      </c>
      <c r="C1411" s="36" t="n">
        <f aca="false">C1403*a_capex</f>
        <v>6.6</v>
      </c>
      <c r="D1411" s="36" t="n">
        <f aca="false">D1403*a_capex</f>
        <v>3.168</v>
      </c>
      <c r="E1411" s="36" t="n">
        <f aca="false">E1403*a_capex</f>
        <v>3.8016</v>
      </c>
      <c r="F1411" s="36" t="n">
        <f aca="false">F1403*a_capex</f>
        <v>4.56192</v>
      </c>
      <c r="G1411" s="36" t="n">
        <f aca="false">G1403*a_capex</f>
        <v>5.474304</v>
      </c>
      <c r="H1411" s="36" t="n">
        <f aca="false">H1403*a_capex</f>
        <v>6.5691648</v>
      </c>
      <c r="I1411" s="36" t="n">
        <f aca="false">I1403*a_capex</f>
        <v>7.88299776</v>
      </c>
      <c r="J1411" s="36" t="n">
        <f aca="false">J1403*a_capex</f>
        <v>9.459597312</v>
      </c>
      <c r="K1411" s="36" t="n">
        <f aca="false">K1403*a_capex</f>
        <v>11.3515167744</v>
      </c>
      <c r="L1411" s="36" t="n">
        <f aca="false">L1403*a_capex</f>
        <v>13.62182012928</v>
      </c>
      <c r="M1411" s="36" t="n">
        <f aca="false">M1403*a_capex</f>
        <v>16.346184155136</v>
      </c>
    </row>
    <row r="1412" customFormat="false" ht="15" hidden="false" customHeight="false" outlineLevel="0" collapsed="false">
      <c r="A1412" s="9" t="s">
        <v>296</v>
      </c>
      <c r="C1412" s="36" t="n">
        <f aca="false">0</f>
        <v>0</v>
      </c>
      <c r="D1412" s="36" t="n">
        <f aca="false">a_wc*(D1403-C1403)</f>
        <v>-5.72</v>
      </c>
      <c r="E1412" s="36" t="n">
        <f aca="false">a_wc*(E1403-D1403)</f>
        <v>1.056</v>
      </c>
      <c r="F1412" s="36" t="n">
        <f aca="false">a_wc*(F1403-E1403)</f>
        <v>1.2672</v>
      </c>
      <c r="G1412" s="36" t="n">
        <f aca="false">a_wc*(G1403-F1403)</f>
        <v>1.52064</v>
      </c>
      <c r="H1412" s="36" t="n">
        <f aca="false">a_wc*(H1403-G1403)</f>
        <v>1.824768</v>
      </c>
      <c r="I1412" s="36" t="n">
        <f aca="false">a_wc*(I1403-H1403)</f>
        <v>2.1897216</v>
      </c>
      <c r="J1412" s="36" t="n">
        <f aca="false">a_wc*(J1403-I1403)</f>
        <v>2.62766592</v>
      </c>
      <c r="K1412" s="36" t="n">
        <f aca="false">a_wc*(K1403-J1403)</f>
        <v>3.153199104</v>
      </c>
      <c r="L1412" s="36" t="n">
        <f aca="false">a_wc*(L1403-K1403)</f>
        <v>3.7838389248</v>
      </c>
      <c r="M1412" s="36" t="n">
        <f aca="false">a_wc*(M1403-L1403)</f>
        <v>4.54060670976</v>
      </c>
    </row>
    <row r="1413" customFormat="false" ht="15" hidden="false" customHeight="false" outlineLevel="0" collapsed="false">
      <c r="A1413" s="4" t="s">
        <v>297</v>
      </c>
      <c r="C1413" s="36" t="n">
        <f aca="false">0</f>
        <v>0</v>
      </c>
      <c r="D1413" s="41" t="n">
        <f aca="false">D1410+D1407-D1411-D1412</f>
        <v>-67.408</v>
      </c>
      <c r="E1413" s="41" t="n">
        <f aca="false">E1410+E1407-E1411-E1412</f>
        <v>5.5968</v>
      </c>
      <c r="F1413" s="41" t="n">
        <f aca="false">F1410+F1407-F1411-F1412</f>
        <v>12.41856</v>
      </c>
      <c r="G1413" s="41" t="n">
        <f aca="false">G1410+G1407-G1411-G1412</f>
        <v>21.745152</v>
      </c>
      <c r="H1413" s="41" t="n">
        <f aca="false">H1410+H1407-H1411-H1412</f>
        <v>34.3056384</v>
      </c>
      <c r="I1413" s="41" t="n">
        <f aca="false">I1410+I1407-I1411-I1412</f>
        <v>41.16676608</v>
      </c>
      <c r="J1413" s="41" t="n">
        <f aca="false">J1410+J1407-J1411-J1412</f>
        <v>49.400119296</v>
      </c>
      <c r="K1413" s="41" t="n">
        <f aca="false">K1410+K1407-K1411-K1412</f>
        <v>59.2801431552</v>
      </c>
      <c r="L1413" s="41" t="n">
        <f aca="false">L1410+L1407-L1411-L1412</f>
        <v>71.13617178624</v>
      </c>
      <c r="M1413" s="41" t="n">
        <f aca="false">M1410+M1407-M1411-M1412</f>
        <v>85.363406143488</v>
      </c>
    </row>
    <row r="1415" customFormat="false" ht="15" hidden="false" customHeight="false" outlineLevel="0" collapsed="false">
      <c r="A1415" s="7" t="s">
        <v>672</v>
      </c>
      <c r="B1415" s="8"/>
      <c r="C1415" s="8"/>
      <c r="D1415" s="8"/>
      <c r="E1415" s="8"/>
      <c r="F1415" s="8"/>
      <c r="G1415" s="8"/>
      <c r="H1415" s="8"/>
      <c r="I1415" s="8"/>
      <c r="J1415" s="8"/>
      <c r="K1415" s="8"/>
      <c r="L1415" s="8"/>
      <c r="M1415" s="8"/>
      <c r="N1415" s="8"/>
    </row>
    <row r="1416" customFormat="false" ht="15" hidden="false" customHeight="false" outlineLevel="0" collapsed="false">
      <c r="A1416" s="9" t="s">
        <v>482</v>
      </c>
      <c r="C1416" s="35" t="n">
        <f aca="false">lv_mix_eq/(c_price*(1-a_issue_disc))</f>
        <v>1.024</v>
      </c>
    </row>
    <row r="1417" customFormat="false" ht="15" hidden="false" customHeight="false" outlineLevel="0" collapsed="false">
      <c r="A1417" s="9" t="s">
        <v>449</v>
      </c>
      <c r="C1417" s="35" t="n">
        <f aca="false">cf_shares+C1416</f>
        <v>65.024</v>
      </c>
    </row>
    <row r="1418" customFormat="false" ht="15" hidden="false" customHeight="false" outlineLevel="0" collapsed="false">
      <c r="A1418" s="9" t="s">
        <v>483</v>
      </c>
      <c r="C1418" s="36" t="n">
        <f aca="false">lv_mix_cash*a_yield*(1-a_tax)+lv_mix_debt*a_kd*(1-a_tax)</f>
        <v>94.5</v>
      </c>
    </row>
    <row r="1419" customFormat="false" ht="15" hidden="false" customHeight="false" outlineLevel="0" collapsed="false">
      <c r="A1419" s="9" t="s">
        <v>484</v>
      </c>
      <c r="C1419" s="36" t="n">
        <f aca="false">lv_price*a_ppa_share/a_ppa_life*(1-a_tax)</f>
        <v>93.75</v>
      </c>
    </row>
    <row r="1420" customFormat="false" ht="15" hidden="false" customHeight="false" outlineLevel="0" collapsed="false">
      <c r="A1420" s="9" t="s">
        <v>485</v>
      </c>
      <c r="C1420" s="36" t="n">
        <f aca="false">a_ppa_on*C1419</f>
        <v>0</v>
      </c>
    </row>
    <row r="1421" customFormat="false" ht="15" hidden="false" customHeight="false" outlineLevel="0" collapsed="false">
      <c r="A1421" s="9" t="s">
        <v>486</v>
      </c>
      <c r="C1421" s="36" t="n">
        <f aca="false">lv_price*a_fees_pct+a_integ_full</f>
        <v>160</v>
      </c>
    </row>
    <row r="1422" customFormat="false" ht="15" hidden="false" customHeight="false" outlineLevel="0" collapsed="false">
      <c r="A1422" s="9" t="s">
        <v>487</v>
      </c>
      <c r="C1422" s="36" t="n">
        <f aca="false">0</f>
        <v>0</v>
      </c>
      <c r="D1422" s="36" t="n">
        <f aca="false">a_syn_on*(a_syn_partner_rev_y3+a_syn_xsell_y3)*a_mcap*IF(D1400=1,a_syn_ramp1,IF(D1400=2,a_syn_ramp2,1))+a_syn_on*IF(D1400&gt;=2,a_syn_cost,0)</f>
        <v>0</v>
      </c>
      <c r="E1422" s="36" t="n">
        <f aca="false">a_syn_on*(a_syn_partner_rev_y3+a_syn_xsell_y3)*a_mcap*IF(E1400=1,a_syn_ramp1,IF(E1400=2,a_syn_ramp2,1))+a_syn_on*IF(E1400&gt;=2,a_syn_cost,0)</f>
        <v>0</v>
      </c>
      <c r="F1422" s="36" t="n">
        <f aca="false">a_syn_on*(a_syn_partner_rev_y3+a_syn_xsell_y3)*a_mcap*IF(F1400=1,a_syn_ramp1,IF(F1400=2,a_syn_ramp2,1))+a_syn_on*IF(F1400&gt;=2,a_syn_cost,0)</f>
        <v>0</v>
      </c>
      <c r="G1422" s="36" t="n">
        <f aca="false">a_syn_on*(a_syn_partner_rev_y3+a_syn_xsell_y3)*a_mcap*IF(G1400=1,a_syn_ramp1,IF(G1400=2,a_syn_ramp2,1))+a_syn_on*IF(G1400&gt;=2,a_syn_cost,0)</f>
        <v>0</v>
      </c>
      <c r="H1422" s="36" t="n">
        <f aca="false">a_syn_on*(a_syn_partner_rev_y3+a_syn_xsell_y3)*a_mcap*IF(H1400=1,a_syn_ramp1,IF(H1400=2,a_syn_ramp2,1))+a_syn_on*IF(H1400&gt;=2,a_syn_cost,0)</f>
        <v>0</v>
      </c>
      <c r="I1422" s="36" t="n">
        <f aca="false">a_syn_on*(a_syn_partner_rev_y3+a_syn_xsell_y3)*a_mcap*IF(I1400=1,a_syn_ramp1,IF(I1400=2,a_syn_ramp2,1))+a_syn_on*IF(I1400&gt;=2,a_syn_cost,0)</f>
        <v>0</v>
      </c>
      <c r="J1422" s="36" t="n">
        <f aca="false">a_syn_on*(a_syn_partner_rev_y3+a_syn_xsell_y3)*a_mcap*IF(J1400=1,a_syn_ramp1,IF(J1400=2,a_syn_ramp2,1))+a_syn_on*IF(J1400&gt;=2,a_syn_cost,0)</f>
        <v>0</v>
      </c>
      <c r="K1422" s="36" t="n">
        <f aca="false">a_syn_on*(a_syn_partner_rev_y3+a_syn_xsell_y3)*a_mcap*IF(K1400=1,a_syn_ramp1,IF(K1400=2,a_syn_ramp2,1))+a_syn_on*IF(K1400&gt;=2,a_syn_cost,0)</f>
        <v>0</v>
      </c>
      <c r="L1422" s="36" t="n">
        <f aca="false">a_syn_on*(a_syn_partner_rev_y3+a_syn_xsell_y3)*a_mcap*IF(L1400=1,a_syn_ramp1,IF(L1400=2,a_syn_ramp2,1))+a_syn_on*IF(L1400&gt;=2,a_syn_cost,0)</f>
        <v>0</v>
      </c>
      <c r="M1422" s="36" t="n">
        <f aca="false">a_syn_on*(a_syn_partner_rev_y3+a_syn_xsell_y3)*a_mcap*IF(M1400=1,a_syn_ramp1,IF(M1400=2,a_syn_ramp2,1))+a_syn_on*IF(M1400&gt;=2,a_syn_cost,0)</f>
        <v>0</v>
      </c>
    </row>
    <row r="1423" customFormat="false" ht="15" hidden="false" customHeight="false" outlineLevel="0" collapsed="false">
      <c r="A1423" s="9" t="s">
        <v>488</v>
      </c>
      <c r="C1423" s="36" t="n">
        <f aca="false">0</f>
        <v>0</v>
      </c>
      <c r="D1423" s="36" t="n">
        <f aca="false">CHOOSE(lv_drag_mode,0,0*D1403/cf_arr,0*(1-a_tax))</f>
        <v>0</v>
      </c>
      <c r="E1423" s="36" t="n">
        <f aca="false">CHOOSE(lv_drag_mode,0,0*E1403/cf_arr,0*(1-a_tax))</f>
        <v>0</v>
      </c>
      <c r="F1423" s="36" t="n">
        <f aca="false">CHOOSE(lv_drag_mode,0,0*F1403/cf_arr,0*(1-a_tax))</f>
        <v>0</v>
      </c>
      <c r="G1423" s="36" t="n">
        <f aca="false">CHOOSE(lv_drag_mode,0,0*G1403/cf_arr,0*(1-a_tax))</f>
        <v>0</v>
      </c>
      <c r="H1423" s="36" t="n">
        <f aca="false">CHOOSE(lv_drag_mode,0,0*H1403/cf_arr,0*(1-a_tax))</f>
        <v>0</v>
      </c>
      <c r="I1423" s="36" t="n">
        <f aca="false">CHOOSE(lv_drag_mode,0,0*I1403/cf_arr,0*(1-a_tax))</f>
        <v>0</v>
      </c>
      <c r="J1423" s="36" t="n">
        <f aca="false">CHOOSE(lv_drag_mode,0,0*J1403/cf_arr,0*(1-a_tax))</f>
        <v>0</v>
      </c>
      <c r="K1423" s="36" t="n">
        <f aca="false">CHOOSE(lv_drag_mode,0,0*K1403/cf_arr,0*(1-a_tax))</f>
        <v>0</v>
      </c>
      <c r="L1423" s="36" t="n">
        <f aca="false">CHOOSE(lv_drag_mode,0,0*L1403/cf_arr,0*(1-a_tax))</f>
        <v>0</v>
      </c>
      <c r="M1423" s="36" t="n">
        <f aca="false">CHOOSE(lv_drag_mode,0,0*M1403/cf_arr,0*(1-a_tax))</f>
        <v>0</v>
      </c>
    </row>
    <row r="1424" customFormat="false" ht="15" hidden="false" customHeight="false" outlineLevel="0" collapsed="false">
      <c r="A1424" s="9" t="s">
        <v>489</v>
      </c>
      <c r="C1424" s="36" t="n">
        <f aca="false">0</f>
        <v>0</v>
      </c>
      <c r="D1424" s="36" t="n">
        <f aca="false">IF(lv_drag_mode=3,0*(1-a_tax),0)</f>
        <v>0</v>
      </c>
      <c r="E1424" s="36" t="n">
        <f aca="false">IF(lv_drag_mode=3,0*(1-a_tax),0)</f>
        <v>0</v>
      </c>
      <c r="F1424" s="36" t="n">
        <f aca="false">IF(lv_drag_mode=3,0*(1-a_tax),0)</f>
        <v>0</v>
      </c>
      <c r="G1424" s="36" t="n">
        <f aca="false">IF(lv_drag_mode=3,0*(1-a_tax),0)</f>
        <v>0</v>
      </c>
      <c r="H1424" s="36" t="n">
        <f aca="false">IF(lv_drag_mode=3,0*(1-a_tax),0)</f>
        <v>0</v>
      </c>
      <c r="I1424" s="36" t="n">
        <f aca="false">IF(lv_drag_mode=3,0*(1-a_tax),0)</f>
        <v>0</v>
      </c>
      <c r="J1424" s="36" t="n">
        <f aca="false">IF(lv_drag_mode=3,0*(1-a_tax),0)</f>
        <v>0</v>
      </c>
      <c r="K1424" s="36" t="n">
        <f aca="false">IF(lv_drag_mode=3,0*(1-a_tax),0)</f>
        <v>0</v>
      </c>
      <c r="L1424" s="36" t="n">
        <f aca="false">IF(lv_drag_mode=3,0*(1-a_tax),0)</f>
        <v>0</v>
      </c>
      <c r="M1424" s="36" t="n">
        <f aca="false">IF(lv_drag_mode=3,0*(1-a_tax),0)</f>
        <v>0</v>
      </c>
    </row>
    <row r="1425" customFormat="false" ht="15" hidden="false" customHeight="false" outlineLevel="0" collapsed="false">
      <c r="A1425" s="9" t="s">
        <v>490</v>
      </c>
      <c r="C1425" s="36" t="n">
        <f aca="false">0</f>
        <v>0</v>
      </c>
      <c r="D1425" s="36" t="n">
        <f aca="false">IF(lv_drag_mode=3,0,C1425+D1423)</f>
        <v>0</v>
      </c>
      <c r="E1425" s="36" t="n">
        <f aca="false">IF(lv_drag_mode=3,0,D1425+E1423)</f>
        <v>0</v>
      </c>
      <c r="F1425" s="36" t="n">
        <f aca="false">IF(lv_drag_mode=3,0,E1425+F1423)</f>
        <v>0</v>
      </c>
      <c r="G1425" s="36" t="n">
        <f aca="false">IF(lv_drag_mode=3,0,F1425+G1423)</f>
        <v>0</v>
      </c>
      <c r="H1425" s="36" t="n">
        <f aca="false">IF(lv_drag_mode=3,0,G1425+H1423)</f>
        <v>0</v>
      </c>
      <c r="I1425" s="36" t="n">
        <f aca="false">IF(lv_drag_mode=3,0,H1425+I1423)</f>
        <v>0</v>
      </c>
      <c r="J1425" s="36" t="n">
        <f aca="false">IF(lv_drag_mode=3,0,I1425+J1423)</f>
        <v>0</v>
      </c>
      <c r="K1425" s="36" t="n">
        <f aca="false">IF(lv_drag_mode=3,0,J1425+K1423)</f>
        <v>0</v>
      </c>
      <c r="L1425" s="36" t="n">
        <f aca="false">IF(lv_drag_mode=3,0,K1425+L1423)</f>
        <v>0</v>
      </c>
      <c r="M1425" s="36" t="n">
        <f aca="false">IF(lv_drag_mode=3,0,L1425+M1423)</f>
        <v>0</v>
      </c>
    </row>
    <row r="1426" customFormat="false" ht="15" hidden="false" customHeight="false" outlineLevel="0" collapsed="false">
      <c r="A1426" s="9" t="s">
        <v>491</v>
      </c>
      <c r="C1426" s="36" t="n">
        <f aca="false">0</f>
        <v>0</v>
      </c>
      <c r="D1426" s="36" t="n">
        <f aca="false">C1425*a_yield*(1-a_tax)</f>
        <v>0</v>
      </c>
      <c r="E1426" s="36" t="n">
        <f aca="false">D1425*a_yield*(1-a_tax)</f>
        <v>0</v>
      </c>
      <c r="F1426" s="36" t="n">
        <f aca="false">E1425*a_yield*(1-a_tax)</f>
        <v>0</v>
      </c>
      <c r="G1426" s="36" t="n">
        <f aca="false">F1425*a_yield*(1-a_tax)</f>
        <v>0</v>
      </c>
      <c r="H1426" s="36" t="n">
        <f aca="false">G1425*a_yield*(1-a_tax)</f>
        <v>0</v>
      </c>
      <c r="I1426" s="36" t="n">
        <f aca="false">H1425*a_yield*(1-a_tax)</f>
        <v>0</v>
      </c>
      <c r="J1426" s="36" t="n">
        <f aca="false">I1425*a_yield*(1-a_tax)</f>
        <v>0</v>
      </c>
      <c r="K1426" s="36" t="n">
        <f aca="false">J1425*a_yield*(1-a_tax)</f>
        <v>0</v>
      </c>
      <c r="L1426" s="36" t="n">
        <f aca="false">K1425*a_yield*(1-a_tax)</f>
        <v>0</v>
      </c>
      <c r="M1426" s="36" t="n">
        <f aca="false">L1425*a_yield*(1-a_tax)</f>
        <v>0</v>
      </c>
    </row>
    <row r="1427" customFormat="false" ht="15" hidden="false" customHeight="false" outlineLevel="0" collapsed="false">
      <c r="A1427" s="9" t="s">
        <v>492</v>
      </c>
      <c r="C1427" s="36" t="n">
        <f aca="false">cf_pat</f>
        <v>480</v>
      </c>
      <c r="D1427" s="36" t="n">
        <f aca="false">cf_pat*(1+a_pat_growth)^D1400</f>
        <v>480</v>
      </c>
      <c r="E1427" s="36" t="n">
        <f aca="false">cf_pat*(1+a_pat_growth)^E1400</f>
        <v>480</v>
      </c>
      <c r="F1427" s="36" t="n">
        <f aca="false">cf_pat*(1+a_pat_growth)^F1400</f>
        <v>480</v>
      </c>
      <c r="G1427" s="36" t="n">
        <f aca="false">cf_pat*(1+a_pat_growth)^G1400</f>
        <v>480</v>
      </c>
      <c r="H1427" s="36" t="n">
        <f aca="false">cf_pat*(1+a_pat_growth)^H1400</f>
        <v>480</v>
      </c>
      <c r="I1427" s="36" t="n">
        <f aca="false">cf_pat*(1+a_pat_growth)^I1400</f>
        <v>480</v>
      </c>
      <c r="J1427" s="36" t="n">
        <f aca="false">cf_pat*(1+a_pat_growth)^J1400</f>
        <v>480</v>
      </c>
      <c r="K1427" s="36" t="n">
        <f aca="false">cf_pat*(1+a_pat_growth)^K1400</f>
        <v>480</v>
      </c>
      <c r="L1427" s="36" t="n">
        <f aca="false">cf_pat*(1+a_pat_growth)^L1400</f>
        <v>480</v>
      </c>
      <c r="M1427" s="36" t="n">
        <f aca="false">cf_pat*(1+a_pat_growth)^M1400</f>
        <v>480</v>
      </c>
    </row>
    <row r="1428" customFormat="false" ht="15" hidden="false" customHeight="false" outlineLevel="0" collapsed="false">
      <c r="A1428" s="9" t="s">
        <v>493</v>
      </c>
      <c r="C1428" s="36" t="n">
        <f aca="false">0</f>
        <v>0</v>
      </c>
      <c r="D1428" s="36" t="n">
        <f aca="false">cf_mdr*a_mdr_flow*(1-a_tax)</f>
        <v>69</v>
      </c>
      <c r="E1428" s="36" t="n">
        <f aca="false">cf_mdr*a_mdr_flow*(1-a_tax)</f>
        <v>69</v>
      </c>
      <c r="F1428" s="36" t="n">
        <f aca="false">cf_mdr*a_mdr_flow*(1-a_tax)</f>
        <v>69</v>
      </c>
      <c r="G1428" s="36" t="n">
        <f aca="false">cf_mdr*a_mdr_flow*(1-a_tax)</f>
        <v>69</v>
      </c>
      <c r="H1428" s="36" t="n">
        <f aca="false">cf_mdr*a_mdr_flow*(1-a_tax)</f>
        <v>69</v>
      </c>
      <c r="I1428" s="36" t="n">
        <f aca="false">cf_mdr*a_mdr_flow*(1-a_tax)</f>
        <v>69</v>
      </c>
      <c r="J1428" s="36" t="n">
        <f aca="false">cf_mdr*a_mdr_flow*(1-a_tax)</f>
        <v>69</v>
      </c>
      <c r="K1428" s="36" t="n">
        <f aca="false">cf_mdr*a_mdr_flow*(1-a_tax)</f>
        <v>69</v>
      </c>
      <c r="L1428" s="36" t="n">
        <f aca="false">cf_mdr*a_mdr_flow*(1-a_tax)</f>
        <v>69</v>
      </c>
      <c r="M1428" s="36" t="n">
        <f aca="false">cf_mdr*a_mdr_flow*(1-a_tax)</f>
        <v>69</v>
      </c>
    </row>
    <row r="1429" customFormat="false" ht="15" hidden="false" customHeight="false" outlineLevel="0" collapsed="false">
      <c r="A1429" s="9" t="s">
        <v>494</v>
      </c>
      <c r="C1429" s="50" t="n">
        <f aca="false">cf_eps</f>
        <v>7.5</v>
      </c>
      <c r="D1429" s="50" t="n">
        <f aca="false">D1427/cf_shares</f>
        <v>7.5</v>
      </c>
      <c r="E1429" s="50" t="n">
        <f aca="false">E1427/cf_shares</f>
        <v>7.5</v>
      </c>
      <c r="F1429" s="50" t="n">
        <f aca="false">F1427/cf_shares</f>
        <v>7.5</v>
      </c>
      <c r="G1429" s="50" t="n">
        <f aca="false">G1427/cf_shares</f>
        <v>7.5</v>
      </c>
      <c r="H1429" s="50" t="n">
        <f aca="false">H1427/cf_shares</f>
        <v>7.5</v>
      </c>
      <c r="I1429" s="50" t="n">
        <f aca="false">I1427/cf_shares</f>
        <v>7.5</v>
      </c>
      <c r="J1429" s="50" t="n">
        <f aca="false">J1427/cf_shares</f>
        <v>7.5</v>
      </c>
      <c r="K1429" s="50" t="n">
        <f aca="false">K1427/cf_shares</f>
        <v>7.5</v>
      </c>
      <c r="L1429" s="50" t="n">
        <f aca="false">L1427/cf_shares</f>
        <v>7.5</v>
      </c>
      <c r="M1429" s="50" t="n">
        <f aca="false">M1427/cf_shares</f>
        <v>7.5</v>
      </c>
    </row>
    <row r="1430" customFormat="false" ht="15" hidden="false" customHeight="false" outlineLevel="0" collapsed="false">
      <c r="A1430" s="9" t="s">
        <v>495</v>
      </c>
      <c r="C1430" s="50" t="n">
        <f aca="false">cf_eps</f>
        <v>7.5</v>
      </c>
      <c r="D1430" s="50" t="n">
        <f aca="false">(D1427+D1428)/cf_shares</f>
        <v>8.578125</v>
      </c>
      <c r="E1430" s="50" t="n">
        <f aca="false">(E1427+E1428)/cf_shares</f>
        <v>8.578125</v>
      </c>
      <c r="F1430" s="50" t="n">
        <f aca="false">(F1427+F1428)/cf_shares</f>
        <v>8.578125</v>
      </c>
      <c r="G1430" s="50" t="n">
        <f aca="false">(G1427+G1428)/cf_shares</f>
        <v>8.578125</v>
      </c>
      <c r="H1430" s="50" t="n">
        <f aca="false">(H1427+H1428)/cf_shares</f>
        <v>8.578125</v>
      </c>
      <c r="I1430" s="50" t="n">
        <f aca="false">(I1427+I1428)/cf_shares</f>
        <v>8.578125</v>
      </c>
      <c r="J1430" s="50" t="n">
        <f aca="false">(J1427+J1428)/cf_shares</f>
        <v>8.578125</v>
      </c>
      <c r="K1430" s="50" t="n">
        <f aca="false">(K1427+K1428)/cf_shares</f>
        <v>8.578125</v>
      </c>
      <c r="L1430" s="50" t="n">
        <f aca="false">(L1427+L1428)/cf_shares</f>
        <v>8.578125</v>
      </c>
      <c r="M1430" s="50" t="n">
        <f aca="false">(M1427+M1428)/cf_shares</f>
        <v>8.578125</v>
      </c>
    </row>
    <row r="1431" customFormat="false" ht="15" hidden="false" customHeight="false" outlineLevel="0" collapsed="false">
      <c r="A1431" s="4" t="s">
        <v>496</v>
      </c>
      <c r="C1431" s="41" t="n">
        <f aca="false">-C1418-C1420</f>
        <v>-94.5</v>
      </c>
      <c r="D1431" s="41" t="n">
        <f aca="false">D1410+D1422*(1-a_tax)-C1418-C1420-D1424-D1426</f>
        <v>-167.628</v>
      </c>
      <c r="E1431" s="41" t="n">
        <f aca="false">E1410+E1422*(1-a_tax)-C1418-C1420-E1424-E1426</f>
        <v>-87.8472</v>
      </c>
      <c r="F1431" s="41" t="n">
        <f aca="false">F1410+F1422*(1-a_tax)-C1418-C1420-F1424-F1426</f>
        <v>-80.81424</v>
      </c>
      <c r="G1431" s="41" t="n">
        <f aca="false">G1410+G1422*(1-a_tax)-C1418-C1420-G1424-G1426</f>
        <v>-71.234208</v>
      </c>
      <c r="H1431" s="41" t="n">
        <f aca="false">H1410+H1422*(1-a_tax)-C1418-C1420-H1424-H1426</f>
        <v>-58.3695936</v>
      </c>
      <c r="I1431" s="41" t="n">
        <f aca="false">I1410+I1422*(1-a_tax)-C1418-C1420-I1424-I1426</f>
        <v>-51.14351232</v>
      </c>
      <c r="J1431" s="41" t="n">
        <f aca="false">J1410+J1422*(1-a_tax)-C1418-C1420-J1424-J1426</f>
        <v>-42.472214784</v>
      </c>
      <c r="K1431" s="41" t="n">
        <f aca="false">K1410+K1422*(1-a_tax)-C1418-C1420-K1424-K1426</f>
        <v>-32.0666577408</v>
      </c>
      <c r="L1431" s="41" t="n">
        <f aca="false">L1410+L1422*(1-a_tax)-C1418-C1420-L1424-L1426</f>
        <v>-19.57998928896</v>
      </c>
      <c r="M1431" s="41" t="n">
        <f aca="false">M1410+M1422*(1-a_tax)-C1418-C1420-M1424-M1426</f>
        <v>-4.59598714675201</v>
      </c>
    </row>
    <row r="1432" customFormat="false" ht="15" hidden="false" customHeight="false" outlineLevel="0" collapsed="false">
      <c r="A1432" s="9" t="s">
        <v>497</v>
      </c>
      <c r="C1432" s="36" t="n">
        <f aca="false">C1427+C1431</f>
        <v>385.5</v>
      </c>
      <c r="D1432" s="36" t="n">
        <f aca="false">D1427+D1431</f>
        <v>312.372</v>
      </c>
      <c r="E1432" s="36" t="n">
        <f aca="false">E1427+E1431</f>
        <v>392.1528</v>
      </c>
      <c r="F1432" s="36" t="n">
        <f aca="false">F1427+F1431</f>
        <v>399.18576</v>
      </c>
      <c r="G1432" s="36" t="n">
        <f aca="false">G1427+G1431</f>
        <v>408.765792</v>
      </c>
      <c r="H1432" s="36" t="n">
        <f aca="false">H1427+H1431</f>
        <v>421.6304064</v>
      </c>
      <c r="I1432" s="36" t="n">
        <f aca="false">I1427+I1431</f>
        <v>428.85648768</v>
      </c>
      <c r="J1432" s="36" t="n">
        <f aca="false">J1427+J1431</f>
        <v>437.527785216</v>
      </c>
      <c r="K1432" s="36" t="n">
        <f aca="false">K1427+K1431</f>
        <v>447.9333422592</v>
      </c>
      <c r="L1432" s="36" t="n">
        <f aca="false">L1427+L1431</f>
        <v>460.42001071104</v>
      </c>
      <c r="M1432" s="36" t="n">
        <f aca="false">M1427+M1431</f>
        <v>475.404012853248</v>
      </c>
    </row>
    <row r="1433" customFormat="false" ht="15" hidden="false" customHeight="false" outlineLevel="0" collapsed="false">
      <c r="A1433" s="4" t="s">
        <v>498</v>
      </c>
      <c r="C1433" s="48" t="n">
        <f aca="false">C1432/C1417</f>
        <v>5.92858021653543</v>
      </c>
      <c r="D1433" s="48" t="n">
        <f aca="false">D1432/C1417</f>
        <v>4.80394931102362</v>
      </c>
      <c r="E1433" s="48" t="n">
        <f aca="false">E1432/C1417</f>
        <v>6.03089320866142</v>
      </c>
      <c r="F1433" s="48" t="n">
        <f aca="false">F1432/C1417</f>
        <v>6.13905265748032</v>
      </c>
      <c r="G1433" s="48" t="n">
        <f aca="false">G1432/C1417</f>
        <v>6.28638336614173</v>
      </c>
      <c r="H1433" s="48" t="n">
        <f aca="false">H1432/C1417</f>
        <v>6.48422746062992</v>
      </c>
      <c r="I1433" s="48" t="n">
        <f aca="false">I1432/C1417</f>
        <v>6.59535690944882</v>
      </c>
      <c r="J1433" s="48" t="n">
        <f aca="false">J1432/C1417</f>
        <v>6.7287122480315</v>
      </c>
      <c r="K1433" s="48" t="n">
        <f aca="false">K1432/C1417</f>
        <v>6.88873865433071</v>
      </c>
      <c r="L1433" s="48" t="n">
        <f aca="false">L1432/C1417</f>
        <v>7.08077034188976</v>
      </c>
      <c r="M1433" s="48" t="n">
        <f aca="false">M1432/C1417</f>
        <v>7.31120836696063</v>
      </c>
    </row>
    <row r="1434" customFormat="false" ht="15" hidden="false" customHeight="false" outlineLevel="0" collapsed="false">
      <c r="A1434" s="4" t="s">
        <v>499</v>
      </c>
      <c r="C1434" s="14" t="n">
        <f aca="false">C1433/cf_eps-1</f>
        <v>-0.209522637795276</v>
      </c>
      <c r="D1434" s="14" t="n">
        <f aca="false">D1433/cf_eps-1</f>
        <v>-0.35947342519685</v>
      </c>
      <c r="E1434" s="14" t="n">
        <f aca="false">E1433/cf_eps-1</f>
        <v>-0.195880905511811</v>
      </c>
      <c r="F1434" s="14" t="n">
        <f aca="false">F1433/cf_eps-1</f>
        <v>-0.181459645669291</v>
      </c>
      <c r="G1434" s="14" t="n">
        <f aca="false">G1433/cf_eps-1</f>
        <v>-0.161815551181102</v>
      </c>
      <c r="H1434" s="14" t="n">
        <f aca="false">H1433/cf_eps-1</f>
        <v>-0.135436338582677</v>
      </c>
      <c r="I1434" s="14" t="n">
        <f aca="false">I1433/cf_eps-1</f>
        <v>-0.120619078740158</v>
      </c>
      <c r="J1434" s="14" t="n">
        <f aca="false">J1433/cf_eps-1</f>
        <v>-0.102838366929134</v>
      </c>
      <c r="K1434" s="14" t="n">
        <f aca="false">K1433/cf_eps-1</f>
        <v>-0.0815015127559055</v>
      </c>
      <c r="L1434" s="14" t="n">
        <f aca="false">L1433/cf_eps-1</f>
        <v>-0.0558972877480315</v>
      </c>
      <c r="M1434" s="14" t="n">
        <f aca="false">M1433/cf_eps-1</f>
        <v>-0.0251722177385827</v>
      </c>
    </row>
    <row r="1435" customFormat="false" ht="15" hidden="false" customHeight="false" outlineLevel="0" collapsed="false">
      <c r="A1435" s="9" t="s">
        <v>500</v>
      </c>
      <c r="C1435" s="50" t="n">
        <f aca="false">C1433</f>
        <v>5.92858021653543</v>
      </c>
      <c r="D1435" s="50" t="n">
        <f aca="false">(D1432+D1428)/C1417</f>
        <v>5.86509596456693</v>
      </c>
      <c r="E1435" s="50" t="n">
        <f aca="false">(E1432+E1428)/C1417</f>
        <v>7.09203986220472</v>
      </c>
      <c r="F1435" s="50" t="n">
        <f aca="false">(F1432+F1428)/C1417</f>
        <v>7.20019931102362</v>
      </c>
      <c r="G1435" s="50" t="n">
        <f aca="false">(G1432+G1428)/C1417</f>
        <v>7.34753001968504</v>
      </c>
      <c r="H1435" s="50" t="n">
        <f aca="false">(H1432+H1428)/C1417</f>
        <v>7.54537411417323</v>
      </c>
      <c r="I1435" s="50" t="n">
        <f aca="false">(I1432+I1428)/C1417</f>
        <v>7.65650356299213</v>
      </c>
      <c r="J1435" s="50" t="n">
        <f aca="false">(J1432+J1428)/C1417</f>
        <v>7.7898589015748</v>
      </c>
      <c r="K1435" s="50" t="n">
        <f aca="false">(K1432+K1428)/C1417</f>
        <v>7.94988530787402</v>
      </c>
      <c r="L1435" s="50" t="n">
        <f aca="false">(L1432+L1428)/C1417</f>
        <v>8.14191699543307</v>
      </c>
      <c r="M1435" s="50" t="n">
        <f aca="false">(M1432+M1428)/C1417</f>
        <v>8.37235502050394</v>
      </c>
    </row>
    <row r="1436" customFormat="false" ht="15" hidden="false" customHeight="false" outlineLevel="0" collapsed="false">
      <c r="A1436" s="9" t="s">
        <v>501</v>
      </c>
      <c r="C1436" s="18" t="n">
        <f aca="false">C1434</f>
        <v>-0.209522637795276</v>
      </c>
      <c r="D1436" s="18" t="n">
        <f aca="false">D1435/D1430-1</f>
        <v>-0.316272965879265</v>
      </c>
      <c r="E1436" s="18" t="n">
        <f aca="false">E1435/E1430-1</f>
        <v>-0.173241254679231</v>
      </c>
      <c r="F1436" s="18" t="n">
        <f aca="false">F1435/F1430-1</f>
        <v>-0.16063250290435</v>
      </c>
      <c r="G1436" s="18" t="n">
        <f aca="false">G1435/G1430-1</f>
        <v>-0.143457338324513</v>
      </c>
      <c r="H1436" s="18" t="n">
        <f aca="false">H1435/H1430-1</f>
        <v>-0.120393545888731</v>
      </c>
      <c r="I1436" s="18" t="n">
        <f aca="false">I1435/I1430-1</f>
        <v>-0.107438564605654</v>
      </c>
      <c r="J1436" s="18" t="n">
        <f aca="false">J1435/J1430-1</f>
        <v>-0.091892587065961</v>
      </c>
      <c r="K1436" s="18" t="n">
        <f aca="false">K1435/K1430-1</f>
        <v>-0.0732374140183297</v>
      </c>
      <c r="L1436" s="18" t="n">
        <f aca="false">L1435/L1430-1</f>
        <v>-0.050851206361172</v>
      </c>
      <c r="M1436" s="18" t="n">
        <f aca="false">M1435/M1430-1</f>
        <v>-0.0239877571725829</v>
      </c>
    </row>
    <row r="1437" customFormat="false" ht="15" hidden="false" customHeight="false" outlineLevel="0" collapsed="false">
      <c r="A1437" s="9" t="s">
        <v>502</v>
      </c>
      <c r="C1437" s="50" t="n">
        <f aca="false">(C1432+C1420)/C1417</f>
        <v>5.92858021653543</v>
      </c>
      <c r="D1437" s="50" t="n">
        <f aca="false">(D1432+C1420)/C1417</f>
        <v>4.80394931102362</v>
      </c>
      <c r="E1437" s="50" t="n">
        <f aca="false">(E1432+C1420)/C1417</f>
        <v>6.03089320866142</v>
      </c>
      <c r="F1437" s="50" t="n">
        <f aca="false">(F1432+C1420)/C1417</f>
        <v>6.13905265748032</v>
      </c>
      <c r="G1437" s="50" t="n">
        <f aca="false">(G1432+C1420)/C1417</f>
        <v>6.28638336614173</v>
      </c>
      <c r="H1437" s="50" t="n">
        <f aca="false">(H1432+C1420)/C1417</f>
        <v>6.48422746062992</v>
      </c>
      <c r="I1437" s="50" t="n">
        <f aca="false">(I1432+C1420)/C1417</f>
        <v>6.59535690944882</v>
      </c>
      <c r="J1437" s="50" t="n">
        <f aca="false">(J1432+C1420)/C1417</f>
        <v>6.7287122480315</v>
      </c>
      <c r="K1437" s="50" t="n">
        <f aca="false">(K1432+C1420)/C1417</f>
        <v>6.88873865433071</v>
      </c>
      <c r="L1437" s="50" t="n">
        <f aca="false">(L1432+C1420)/C1417</f>
        <v>7.08077034188976</v>
      </c>
      <c r="M1437" s="50" t="n">
        <f aca="false">(M1432+C1420)/C1417</f>
        <v>7.31120836696063</v>
      </c>
    </row>
    <row r="1438" customFormat="false" ht="15" hidden="false" customHeight="false" outlineLevel="0" collapsed="false">
      <c r="A1438" s="9" t="s">
        <v>503</v>
      </c>
      <c r="C1438" s="50" t="n">
        <f aca="false">(C1432-C1419+C1420)/C1417</f>
        <v>4.48680487204724</v>
      </c>
      <c r="D1438" s="50" t="n">
        <f aca="false">(D1432-C1419+C1420)/C1417</f>
        <v>3.36217396653543</v>
      </c>
      <c r="E1438" s="50" t="n">
        <f aca="false">(E1432-C1419+C1420)/C1417</f>
        <v>4.58911786417323</v>
      </c>
      <c r="F1438" s="50" t="n">
        <f aca="false">(F1432-C1419+C1420)/C1417</f>
        <v>4.69727731299213</v>
      </c>
      <c r="G1438" s="50" t="n">
        <f aca="false">(G1432-C1419+C1420)/C1417</f>
        <v>4.84460802165354</v>
      </c>
      <c r="H1438" s="50" t="n">
        <f aca="false">(H1432-C1419+C1420)/C1417</f>
        <v>5.04245211614173</v>
      </c>
      <c r="I1438" s="50" t="n">
        <f aca="false">(I1432-C1419+C1420)/C1417</f>
        <v>5.15358156496063</v>
      </c>
      <c r="J1438" s="50" t="n">
        <f aca="false">(J1432-C1419+C1420)/C1417</f>
        <v>5.28693690354331</v>
      </c>
      <c r="K1438" s="50" t="n">
        <f aca="false">(K1432-C1419+C1420)/C1417</f>
        <v>5.44696330984252</v>
      </c>
      <c r="L1438" s="50" t="n">
        <f aca="false">(L1432-C1419+C1420)/C1417</f>
        <v>5.63899499740158</v>
      </c>
      <c r="M1438" s="50" t="n">
        <f aca="false">(M1432-C1419+C1420)/C1417</f>
        <v>5.86943302247244</v>
      </c>
    </row>
    <row r="1439" customFormat="false" ht="15" hidden="false" customHeight="false" outlineLevel="0" collapsed="false">
      <c r="A1439" s="9" t="s">
        <v>504</v>
      </c>
      <c r="C1439" s="50" t="n">
        <f aca="false">C1427/C1417</f>
        <v>7.38188976377953</v>
      </c>
      <c r="D1439" s="50" t="n">
        <f aca="false">D1427/C1417</f>
        <v>7.38188976377953</v>
      </c>
      <c r="E1439" s="50" t="n">
        <f aca="false">E1427/C1417</f>
        <v>7.38188976377953</v>
      </c>
      <c r="F1439" s="50" t="n">
        <f aca="false">F1427/C1417</f>
        <v>7.38188976377953</v>
      </c>
      <c r="G1439" s="50" t="n">
        <f aca="false">G1427/C1417</f>
        <v>7.38188976377953</v>
      </c>
      <c r="H1439" s="50" t="n">
        <f aca="false">H1427/C1417</f>
        <v>7.38188976377953</v>
      </c>
      <c r="I1439" s="50" t="n">
        <f aca="false">I1427/C1417</f>
        <v>7.38188976377953</v>
      </c>
      <c r="J1439" s="50" t="n">
        <f aca="false">J1427/C1417</f>
        <v>7.38188976377953</v>
      </c>
      <c r="K1439" s="50" t="n">
        <f aca="false">K1427/C1417</f>
        <v>7.38188976377953</v>
      </c>
      <c r="L1439" s="50" t="n">
        <f aca="false">L1427/C1417</f>
        <v>7.38188976377953</v>
      </c>
      <c r="M1439" s="50" t="n">
        <f aca="false">M1427/C1417</f>
        <v>7.38188976377953</v>
      </c>
    </row>
    <row r="1440" customFormat="false" ht="15" hidden="false" customHeight="false" outlineLevel="0" collapsed="false">
      <c r="A1440" s="9" t="s">
        <v>505</v>
      </c>
      <c r="D1440" s="36" t="n">
        <f aca="false">D1413+D1422*(1-a_tax)-D1423-IF(D1400=1,C1421,0)</f>
        <v>-227.408</v>
      </c>
      <c r="E1440" s="36" t="n">
        <f aca="false">E1413+E1422*(1-a_tax)-E1423-IF(E1400=1,C1421,0)</f>
        <v>5.5968</v>
      </c>
      <c r="F1440" s="36" t="n">
        <f aca="false">F1413+F1422*(1-a_tax)-F1423-IF(F1400=1,C1421,0)</f>
        <v>12.41856</v>
      </c>
      <c r="G1440" s="36" t="n">
        <f aca="false">G1413+G1422*(1-a_tax)-G1423-IF(G1400=1,C1421,0)</f>
        <v>21.745152</v>
      </c>
      <c r="H1440" s="36" t="n">
        <f aca="false">H1413+H1422*(1-a_tax)-H1423-IF(H1400=1,C1421,0)</f>
        <v>34.3056384</v>
      </c>
      <c r="I1440" s="36" t="n">
        <f aca="false">I1413+I1422*(1-a_tax)-I1423-IF(I1400=1,C1421,0)</f>
        <v>41.16676608</v>
      </c>
      <c r="J1440" s="36" t="n">
        <f aca="false">J1413+J1422*(1-a_tax)-J1423-IF(J1400=1,C1421,0)</f>
        <v>49.400119296</v>
      </c>
      <c r="K1440" s="36" t="n">
        <f aca="false">K1413+K1422*(1-a_tax)-K1423-IF(K1400=1,C1421,0)</f>
        <v>59.2801431552</v>
      </c>
      <c r="L1440" s="36" t="n">
        <f aca="false">L1413+L1422*(1-a_tax)-L1423-IF(L1400=1,C1421,0)</f>
        <v>71.13617178624</v>
      </c>
      <c r="M1440" s="36" t="n">
        <f aca="false">M1413+M1422*(1-a_tax)-M1423-IF(M1400=1,C1421,0)</f>
        <v>85.363406143488</v>
      </c>
    </row>
    <row r="1441" customFormat="false" ht="15" hidden="false" customHeight="false" outlineLevel="0" collapsed="false">
      <c r="A1441" s="4" t="s">
        <v>506</v>
      </c>
      <c r="D1441" s="41" t="n">
        <f aca="false">D1440-C1418</f>
        <v>-321.908</v>
      </c>
      <c r="E1441" s="41" t="n">
        <f aca="false">E1440-C1418</f>
        <v>-88.9032</v>
      </c>
      <c r="F1441" s="41" t="n">
        <f aca="false">F1440-C1418</f>
        <v>-82.08144</v>
      </c>
      <c r="G1441" s="41" t="n">
        <f aca="false">G1440-C1418</f>
        <v>-72.754848</v>
      </c>
      <c r="H1441" s="41" t="n">
        <f aca="false">H1440-C1418</f>
        <v>-60.1943616</v>
      </c>
      <c r="I1441" s="41" t="n">
        <f aca="false">I1440-C1418</f>
        <v>-53.33323392</v>
      </c>
      <c r="J1441" s="41" t="n">
        <f aca="false">J1440-C1418</f>
        <v>-45.099880704</v>
      </c>
      <c r="K1441" s="41" t="n">
        <f aca="false">K1440-C1418</f>
        <v>-35.2198568448</v>
      </c>
      <c r="L1441" s="41" t="n">
        <f aca="false">L1440-C1418</f>
        <v>-23.36382821376</v>
      </c>
      <c r="M1441" s="41" t="n">
        <f aca="false">M1440-C1418</f>
        <v>-9.13659385651201</v>
      </c>
    </row>
    <row r="1442" customFormat="false" ht="15" hidden="false" customHeight="false" outlineLevel="0" collapsed="false">
      <c r="A1442" s="9" t="s">
        <v>507</v>
      </c>
      <c r="C1442" s="36" t="n">
        <f aca="false">0</f>
        <v>0</v>
      </c>
      <c r="D1442" s="36" t="n">
        <f aca="false">D1428</f>
        <v>69</v>
      </c>
      <c r="E1442" s="36" t="n">
        <f aca="false">E1428</f>
        <v>69</v>
      </c>
      <c r="F1442" s="36" t="n">
        <f aca="false">F1428</f>
        <v>69</v>
      </c>
      <c r="G1442" s="36" t="n">
        <f aca="false">G1428</f>
        <v>69</v>
      </c>
      <c r="H1442" s="36" t="n">
        <f aca="false">H1428</f>
        <v>69</v>
      </c>
      <c r="I1442" s="36" t="n">
        <f aca="false">I1428</f>
        <v>69</v>
      </c>
      <c r="J1442" s="36" t="n">
        <f aca="false">J1428</f>
        <v>69</v>
      </c>
      <c r="K1442" s="36" t="n">
        <f aca="false">K1428</f>
        <v>69</v>
      </c>
      <c r="L1442" s="36" t="n">
        <f aca="false">L1428</f>
        <v>69</v>
      </c>
      <c r="M1442" s="36" t="n">
        <f aca="false">M1428</f>
        <v>69</v>
      </c>
    </row>
    <row r="1443" customFormat="false" ht="15" hidden="false" customHeight="false" outlineLevel="0" collapsed="false">
      <c r="A1443" s="9" t="s">
        <v>508</v>
      </c>
      <c r="D1443" s="36" t="n">
        <f aca="false">D1441+D1442</f>
        <v>-252.908</v>
      </c>
      <c r="E1443" s="36" t="n">
        <f aca="false">E1441+E1442</f>
        <v>-19.9032</v>
      </c>
      <c r="F1443" s="36" t="n">
        <f aca="false">F1441+F1442</f>
        <v>-13.08144</v>
      </c>
      <c r="G1443" s="36" t="n">
        <f aca="false">G1441+G1442</f>
        <v>-3.754848</v>
      </c>
      <c r="H1443" s="36" t="n">
        <f aca="false">H1441+H1442</f>
        <v>8.8056384</v>
      </c>
      <c r="I1443" s="36" t="n">
        <f aca="false">I1441+I1442</f>
        <v>15.66676608</v>
      </c>
      <c r="J1443" s="36" t="n">
        <f aca="false">J1441+J1442</f>
        <v>23.900119296</v>
      </c>
      <c r="K1443" s="36" t="n">
        <f aca="false">K1441+K1442</f>
        <v>33.7801431552</v>
      </c>
      <c r="L1443" s="36" t="n">
        <f aca="false">L1441+L1442</f>
        <v>45.63617178624</v>
      </c>
      <c r="M1443" s="36" t="n">
        <f aca="false">M1441+M1442</f>
        <v>59.863406143488</v>
      </c>
    </row>
    <row r="1444" customFormat="false" ht="15" hidden="false" customHeight="false" outlineLevel="0" collapsed="false">
      <c r="A1444" s="9" t="s">
        <v>509</v>
      </c>
      <c r="D1444" s="36" t="n">
        <f aca="false">IF(lv_mdr_in_deal=1,D1443,D1441)</f>
        <v>-321.908</v>
      </c>
      <c r="E1444" s="36" t="n">
        <f aca="false">IF(lv_mdr_in_deal=1,E1443,E1441)</f>
        <v>-88.9032</v>
      </c>
      <c r="F1444" s="36" t="n">
        <f aca="false">IF(lv_mdr_in_deal=1,F1443,F1441)</f>
        <v>-82.08144</v>
      </c>
      <c r="G1444" s="36" t="n">
        <f aca="false">IF(lv_mdr_in_deal=1,G1443,G1441)</f>
        <v>-72.754848</v>
      </c>
      <c r="H1444" s="36" t="n">
        <f aca="false">IF(lv_mdr_in_deal=1,H1443,H1441)</f>
        <v>-60.1943616</v>
      </c>
      <c r="I1444" s="36" t="n">
        <f aca="false">IF(lv_mdr_in_deal=1,I1443,I1441)</f>
        <v>-53.33323392</v>
      </c>
      <c r="J1444" s="36" t="n">
        <f aca="false">IF(lv_mdr_in_deal=1,J1443,J1441)</f>
        <v>-45.099880704</v>
      </c>
      <c r="K1444" s="36" t="n">
        <f aca="false">IF(lv_mdr_in_deal=1,K1443,K1441)</f>
        <v>-35.2198568448</v>
      </c>
      <c r="L1444" s="36" t="n">
        <f aca="false">IF(lv_mdr_in_deal=1,L1443,L1441)</f>
        <v>-23.36382821376</v>
      </c>
      <c r="M1444" s="36" t="n">
        <f aca="false">IF(lv_mdr_in_deal=1,M1443,M1441)</f>
        <v>-9.13659385651201</v>
      </c>
    </row>
    <row r="1445" customFormat="false" ht="15" hidden="false" customHeight="false" outlineLevel="0" collapsed="false">
      <c r="A1445" s="9" t="s">
        <v>510</v>
      </c>
      <c r="C1445" s="36" t="n">
        <f aca="false">-lv_price</f>
        <v>-4000</v>
      </c>
      <c r="D1445" s="36" t="n">
        <f aca="false">C1445+D1444</f>
        <v>-4321.908</v>
      </c>
      <c r="E1445" s="36" t="n">
        <f aca="false">D1445+E1444</f>
        <v>-4410.8112</v>
      </c>
      <c r="F1445" s="36" t="n">
        <f aca="false">E1445+F1444</f>
        <v>-4492.89264</v>
      </c>
      <c r="G1445" s="36" t="n">
        <f aca="false">F1445+G1444</f>
        <v>-4565.647488</v>
      </c>
      <c r="H1445" s="36" t="n">
        <f aca="false">G1445+H1444</f>
        <v>-4625.8418496</v>
      </c>
      <c r="I1445" s="36" t="n">
        <f aca="false">H1445+I1444</f>
        <v>-4679.17508352</v>
      </c>
      <c r="J1445" s="36" t="n">
        <f aca="false">I1445+J1444</f>
        <v>-4724.274964224</v>
      </c>
      <c r="K1445" s="36" t="n">
        <f aca="false">J1445+K1444</f>
        <v>-4759.4948210688</v>
      </c>
      <c r="L1445" s="36" t="n">
        <f aca="false">K1445+L1444</f>
        <v>-4782.85864928256</v>
      </c>
      <c r="M1445" s="36" t="n">
        <f aca="false">L1445+M1444</f>
        <v>-4791.99524313907</v>
      </c>
    </row>
    <row r="1446" customFormat="false" ht="15" hidden="false" customHeight="false" outlineLevel="0" collapsed="false">
      <c r="A1446" s="9" t="s">
        <v>511</v>
      </c>
      <c r="C1446" s="43" t="n">
        <f aca="false">1</f>
        <v>1</v>
      </c>
      <c r="D1446" s="43" t="n">
        <f aca="false">1/(1+lv_wacc)^D1400</f>
        <v>0.884955752212389</v>
      </c>
      <c r="E1446" s="43" t="n">
        <f aca="false">1/(1+lv_wacc)^E1400</f>
        <v>0.783146683373796</v>
      </c>
      <c r="F1446" s="43" t="n">
        <f aca="false">1/(1+lv_wacc)^F1400</f>
        <v>0.693050162277696</v>
      </c>
      <c r="G1446" s="43" t="n">
        <f aca="false">1/(1+lv_wacc)^G1400</f>
        <v>0.613318727679377</v>
      </c>
      <c r="H1446" s="43" t="n">
        <f aca="false">1/(1+lv_wacc)^H1400</f>
        <v>0.542759935999449</v>
      </c>
      <c r="I1446" s="43" t="n">
        <f aca="false">1/(1+lv_wacc)^I1400</f>
        <v>0.48031852743314</v>
      </c>
      <c r="J1446" s="43" t="n">
        <f aca="false">1/(1+lv_wacc)^J1400</f>
        <v>0.425060643746142</v>
      </c>
      <c r="K1446" s="43" t="n">
        <f aca="false">1/(1+lv_wacc)^K1400</f>
        <v>0.37615986172225</v>
      </c>
      <c r="L1446" s="43" t="n">
        <f aca="false">1/(1+lv_wacc)^L1400</f>
        <v>0.332884833382522</v>
      </c>
      <c r="M1446" s="43" t="n">
        <f aca="false">1/(1+lv_wacc)^M1400</f>
        <v>0.294588348126126</v>
      </c>
    </row>
    <row r="1447" customFormat="false" ht="15" hidden="false" customHeight="false" outlineLevel="0" collapsed="false">
      <c r="A1447" s="9" t="s">
        <v>512</v>
      </c>
      <c r="C1447" s="46" t="n">
        <f aca="false">99</f>
        <v>99</v>
      </c>
      <c r="D1447" s="46" t="n">
        <f aca="false">IF(D1431&gt;=0,D1400,99)</f>
        <v>99</v>
      </c>
      <c r="E1447" s="46" t="n">
        <f aca="false">IF(E1431&gt;=0,E1400,99)</f>
        <v>99</v>
      </c>
      <c r="F1447" s="46" t="n">
        <f aca="false">IF(F1431&gt;=0,F1400,99)</f>
        <v>99</v>
      </c>
      <c r="G1447" s="46" t="n">
        <f aca="false">IF(G1431&gt;=0,G1400,99)</f>
        <v>99</v>
      </c>
      <c r="H1447" s="46" t="n">
        <f aca="false">IF(H1431&gt;=0,H1400,99)</f>
        <v>99</v>
      </c>
      <c r="I1447" s="46" t="n">
        <f aca="false">IF(I1431&gt;=0,I1400,99)</f>
        <v>99</v>
      </c>
      <c r="J1447" s="46" t="n">
        <f aca="false">IF(J1431&gt;=0,J1400,99)</f>
        <v>99</v>
      </c>
      <c r="K1447" s="46" t="n">
        <f aca="false">IF(K1431&gt;=0,K1400,99)</f>
        <v>99</v>
      </c>
      <c r="L1447" s="46" t="n">
        <f aca="false">IF(L1431&gt;=0,L1400,99)</f>
        <v>99</v>
      </c>
      <c r="M1447" s="46" t="n">
        <f aca="false">IF(M1431&gt;=0,M1400,99)</f>
        <v>99</v>
      </c>
    </row>
    <row r="1448" customFormat="false" ht="15" hidden="false" customHeight="false" outlineLevel="0" collapsed="false">
      <c r="A1448" s="9" t="s">
        <v>513</v>
      </c>
      <c r="C1448" s="46" t="n">
        <f aca="false">99</f>
        <v>99</v>
      </c>
      <c r="D1448" s="46" t="n">
        <f aca="false">IF(D1431+D1428&gt;=0,D1400,99)</f>
        <v>99</v>
      </c>
      <c r="E1448" s="46" t="n">
        <f aca="false">IF(E1431+E1428&gt;=0,E1400,99)</f>
        <v>99</v>
      </c>
      <c r="F1448" s="46" t="n">
        <f aca="false">IF(F1431+F1428&gt;=0,F1400,99)</f>
        <v>99</v>
      </c>
      <c r="G1448" s="46" t="n">
        <f aca="false">IF(G1431+G1428&gt;=0,G1400,99)</f>
        <v>99</v>
      </c>
      <c r="H1448" s="46" t="n">
        <f aca="false">IF(H1431+H1428&gt;=0,H1400,99)</f>
        <v>5</v>
      </c>
      <c r="I1448" s="46" t="n">
        <f aca="false">IF(I1431+I1428&gt;=0,I1400,99)</f>
        <v>6</v>
      </c>
      <c r="J1448" s="46" t="n">
        <f aca="false">IF(J1431+J1428&gt;=0,J1400,99)</f>
        <v>7</v>
      </c>
      <c r="K1448" s="46" t="n">
        <f aca="false">IF(K1431+K1428&gt;=0,K1400,99)</f>
        <v>8</v>
      </c>
      <c r="L1448" s="46" t="n">
        <f aca="false">IF(L1431+L1428&gt;=0,L1400,99)</f>
        <v>9</v>
      </c>
      <c r="M1448" s="46" t="n">
        <f aca="false">IF(M1431+M1428&gt;=0,M1400,99)</f>
        <v>10</v>
      </c>
    </row>
    <row r="1449" customFormat="false" ht="15" hidden="false" customHeight="false" outlineLevel="0" collapsed="false">
      <c r="A1449" s="9" t="s">
        <v>514</v>
      </c>
      <c r="C1449" s="46" t="n">
        <f aca="false">99</f>
        <v>99</v>
      </c>
      <c r="D1449" s="46" t="n">
        <f aca="false">IF(D1441&gt;=0,D1400,99)</f>
        <v>99</v>
      </c>
      <c r="E1449" s="46" t="n">
        <f aca="false">IF(E1441&gt;=0,E1400,99)</f>
        <v>99</v>
      </c>
      <c r="F1449" s="46" t="n">
        <f aca="false">IF(F1441&gt;=0,F1400,99)</f>
        <v>99</v>
      </c>
      <c r="G1449" s="46" t="n">
        <f aca="false">IF(G1441&gt;=0,G1400,99)</f>
        <v>99</v>
      </c>
      <c r="H1449" s="46" t="n">
        <f aca="false">IF(H1441&gt;=0,H1400,99)</f>
        <v>99</v>
      </c>
      <c r="I1449" s="46" t="n">
        <f aca="false">IF(I1441&gt;=0,I1400,99)</f>
        <v>99</v>
      </c>
      <c r="J1449" s="46" t="n">
        <f aca="false">IF(J1441&gt;=0,J1400,99)</f>
        <v>99</v>
      </c>
      <c r="K1449" s="46" t="n">
        <f aca="false">IF(K1441&gt;=0,K1400,99)</f>
        <v>99</v>
      </c>
      <c r="L1449" s="46" t="n">
        <f aca="false">IF(L1441&gt;=0,L1400,99)</f>
        <v>99</v>
      </c>
      <c r="M1449" s="46" t="n">
        <f aca="false">IF(M1441&gt;=0,M1400,99)</f>
        <v>99</v>
      </c>
    </row>
    <row r="1450" customFormat="false" ht="15" hidden="false" customHeight="false" outlineLevel="0" collapsed="false">
      <c r="A1450" s="9" t="s">
        <v>515</v>
      </c>
      <c r="C1450" s="46" t="n">
        <f aca="false">99</f>
        <v>99</v>
      </c>
      <c r="D1450" s="46" t="n">
        <f aca="false">IF(D1443&gt;=0,D1400,99)</f>
        <v>99</v>
      </c>
      <c r="E1450" s="46" t="n">
        <f aca="false">IF(E1443&gt;=0,E1400,99)</f>
        <v>99</v>
      </c>
      <c r="F1450" s="46" t="n">
        <f aca="false">IF(F1443&gt;=0,F1400,99)</f>
        <v>99</v>
      </c>
      <c r="G1450" s="46" t="n">
        <f aca="false">IF(G1443&gt;=0,G1400,99)</f>
        <v>99</v>
      </c>
      <c r="H1450" s="46" t="n">
        <f aca="false">IF(H1443&gt;=0,H1400,99)</f>
        <v>5</v>
      </c>
      <c r="I1450" s="46" t="n">
        <f aca="false">IF(I1443&gt;=0,I1400,99)</f>
        <v>6</v>
      </c>
      <c r="J1450" s="46" t="n">
        <f aca="false">IF(J1443&gt;=0,J1400,99)</f>
        <v>7</v>
      </c>
      <c r="K1450" s="46" t="n">
        <f aca="false">IF(K1443&gt;=0,K1400,99)</f>
        <v>8</v>
      </c>
      <c r="L1450" s="46" t="n">
        <f aca="false">IF(L1443&gt;=0,L1400,99)</f>
        <v>9</v>
      </c>
      <c r="M1450" s="46" t="n">
        <f aca="false">IF(M1443&gt;=0,M1400,99)</f>
        <v>10</v>
      </c>
    </row>
    <row r="1451" customFormat="false" ht="15" hidden="false" customHeight="false" outlineLevel="0" collapsed="false">
      <c r="A1451" s="9" t="s">
        <v>516</v>
      </c>
      <c r="C1451" s="46" t="n">
        <f aca="false">99</f>
        <v>99</v>
      </c>
      <c r="D1451" s="46" t="n">
        <f aca="false">IF(D1445&gt;=0,D1400,99)</f>
        <v>99</v>
      </c>
      <c r="E1451" s="46" t="n">
        <f aca="false">IF(E1445&gt;=0,E1400,99)</f>
        <v>99</v>
      </c>
      <c r="F1451" s="46" t="n">
        <f aca="false">IF(F1445&gt;=0,F1400,99)</f>
        <v>99</v>
      </c>
      <c r="G1451" s="46" t="n">
        <f aca="false">IF(G1445&gt;=0,G1400,99)</f>
        <v>99</v>
      </c>
      <c r="H1451" s="46" t="n">
        <f aca="false">IF(H1445&gt;=0,H1400,99)</f>
        <v>99</v>
      </c>
      <c r="I1451" s="46" t="n">
        <f aca="false">IF(I1445&gt;=0,I1400,99)</f>
        <v>99</v>
      </c>
      <c r="J1451" s="46" t="n">
        <f aca="false">IF(J1445&gt;=0,J1400,99)</f>
        <v>99</v>
      </c>
      <c r="K1451" s="46" t="n">
        <f aca="false">IF(K1445&gt;=0,K1400,99)</f>
        <v>99</v>
      </c>
      <c r="L1451" s="46" t="n">
        <f aca="false">IF(L1445&gt;=0,L1400,99)</f>
        <v>99</v>
      </c>
      <c r="M1451" s="46" t="n">
        <f aca="false">IF(M1445&gt;=0,M1400,99)</f>
        <v>99</v>
      </c>
    </row>
    <row r="1452" customFormat="false" ht="15" hidden="false" customHeight="false" outlineLevel="0" collapsed="false">
      <c r="A1452" s="4" t="s">
        <v>517</v>
      </c>
      <c r="C1452" s="23" t="n">
        <f aca="false">MIN(D1447:M1447)</f>
        <v>99</v>
      </c>
    </row>
    <row r="1453" customFormat="false" ht="15" hidden="false" customHeight="false" outlineLevel="0" collapsed="false">
      <c r="A1453" s="9" t="s">
        <v>518</v>
      </c>
      <c r="C1453" s="46" t="n">
        <f aca="false">MIN(D1448:M1448)</f>
        <v>5</v>
      </c>
    </row>
    <row r="1454" customFormat="false" ht="15" hidden="false" customHeight="false" outlineLevel="0" collapsed="false">
      <c r="A1454" s="4" t="s">
        <v>519</v>
      </c>
      <c r="C1454" s="23" t="n">
        <f aca="false">MIN(D1449:M1449)</f>
        <v>99</v>
      </c>
    </row>
    <row r="1455" customFormat="false" ht="15" hidden="false" customHeight="false" outlineLevel="0" collapsed="false">
      <c r="A1455" s="9" t="s">
        <v>520</v>
      </c>
      <c r="C1455" s="46" t="n">
        <f aca="false">MIN(D1450:M1450)</f>
        <v>5</v>
      </c>
    </row>
    <row r="1456" customFormat="false" ht="15" hidden="false" customHeight="false" outlineLevel="0" collapsed="false">
      <c r="A1456" s="9" t="s">
        <v>521</v>
      </c>
      <c r="C1456" s="46" t="n">
        <f aca="false">MIN(D1451:M1451)</f>
        <v>99</v>
      </c>
    </row>
    <row r="1457" customFormat="false" ht="15" hidden="false" customHeight="false" outlineLevel="0" collapsed="false">
      <c r="A1457" s="4" t="s">
        <v>522</v>
      </c>
      <c r="C1457" s="15" t="n">
        <f aca="false">M1445</f>
        <v>-4791.99524313907</v>
      </c>
    </row>
    <row r="1458" customFormat="false" ht="15" hidden="false" customHeight="false" outlineLevel="0" collapsed="false">
      <c r="A1458" s="9" t="s">
        <v>523</v>
      </c>
      <c r="C1458" s="36" t="n">
        <f aca="false">SUMPRODUCT(D1413:M1413,D1446:M1446)</f>
        <v>97.1903730185899</v>
      </c>
    </row>
    <row r="1459" customFormat="false" ht="15" hidden="false" customHeight="false" outlineLevel="0" collapsed="false">
      <c r="A1459" s="9" t="s">
        <v>524</v>
      </c>
      <c r="C1459" s="36" t="n">
        <f aca="false">M1413*(1+a_tg)/(lv_wacc-a_tg)</f>
        <v>1120.39470563328</v>
      </c>
    </row>
    <row r="1460" customFormat="false" ht="15" hidden="false" customHeight="false" outlineLevel="0" collapsed="false">
      <c r="A1460" s="9" t="s">
        <v>314</v>
      </c>
      <c r="C1460" s="36" t="n">
        <f aca="false">C1459*M1446</f>
        <v>330.055225581765</v>
      </c>
    </row>
    <row r="1461" customFormat="false" ht="15" hidden="false" customHeight="false" outlineLevel="0" collapsed="false">
      <c r="A1461" s="4" t="s">
        <v>525</v>
      </c>
      <c r="C1461" s="15" t="n">
        <f aca="false">C1458+C1460</f>
        <v>427.245598600354</v>
      </c>
    </row>
    <row r="1462" customFormat="false" ht="15" hidden="false" customHeight="false" outlineLevel="0" collapsed="false">
      <c r="A1462" s="9" t="s">
        <v>526</v>
      </c>
      <c r="C1462" s="32" t="n">
        <f aca="false">SUMPRODUCT(D1423:M1423,D1446:M1446)-a_recovery*M1425*M1446</f>
        <v>0</v>
      </c>
    </row>
    <row r="1463" customFormat="false" ht="15" hidden="false" customHeight="false" outlineLevel="0" collapsed="false">
      <c r="A1463" s="9" t="s">
        <v>527</v>
      </c>
      <c r="C1463" s="36" t="n">
        <f aca="false">SUMPRODUCT(D1422:M1422,D1446:M1446)*(1-a_tax)</f>
        <v>0</v>
      </c>
    </row>
    <row r="1464" customFormat="false" ht="15" hidden="false" customHeight="false" outlineLevel="0" collapsed="false">
      <c r="A1464" s="9" t="s">
        <v>528</v>
      </c>
      <c r="C1464" s="36" t="n">
        <f aca="false">C1421*D1446</f>
        <v>141.592920353982</v>
      </c>
    </row>
    <row r="1465" customFormat="false" ht="15" hidden="false" customHeight="false" outlineLevel="0" collapsed="false">
      <c r="A1465" s="4" t="s">
        <v>529</v>
      </c>
      <c r="C1465" s="20" t="n">
        <f aca="false">C1461+C1463-C1462-C1464-lv_price</f>
        <v>-3714.34732175363</v>
      </c>
    </row>
    <row r="1466" customFormat="false" ht="15" hidden="false" customHeight="false" outlineLevel="0" collapsed="false">
      <c r="A1466" s="9" t="s">
        <v>530</v>
      </c>
      <c r="C1466" s="32" t="n">
        <f aca="false">C1465+SUMPRODUCT(D1442:M1442,D1446:M1446)</f>
        <v>-3339.93652191288</v>
      </c>
    </row>
    <row r="1467" customFormat="false" ht="15" hidden="false" customHeight="false" outlineLevel="0" collapsed="false">
      <c r="A1467" s="4" t="s">
        <v>531</v>
      </c>
      <c r="C1467" s="59" t="n">
        <f aca="false">lv_price/D1403</f>
        <v>37.8787878787879</v>
      </c>
    </row>
    <row r="1468" customFormat="false" ht="15" hidden="false" customHeight="false" outlineLevel="0" collapsed="false">
      <c r="A1468" s="9" t="s">
        <v>532</v>
      </c>
      <c r="C1468" s="17" t="n">
        <f aca="false">(lv_price+C1462)/D1403</f>
        <v>37.8787878787879</v>
      </c>
    </row>
    <row r="1469" customFormat="false" ht="15" hidden="false" customHeight="false" outlineLevel="0" collapsed="false">
      <c r="A1469" s="4" t="s">
        <v>533</v>
      </c>
      <c r="C1469" s="15" t="n">
        <f aca="false">(C1465+C1462)/SUMPRODUCT(D1446:M1446)</f>
        <v>-684.515418118308</v>
      </c>
    </row>
    <row r="1470" customFormat="false" ht="15" hidden="false" customHeight="false" outlineLevel="0" collapsed="false">
      <c r="A1470" s="4" t="s">
        <v>534</v>
      </c>
      <c r="C1470" s="25" t="n">
        <f aca="false">D1433</f>
        <v>4.80394931102362</v>
      </c>
    </row>
    <row r="1471" customFormat="false" ht="15" hidden="false" customHeight="false" outlineLevel="0" collapsed="false">
      <c r="A1471" s="9" t="s">
        <v>535</v>
      </c>
      <c r="C1471" s="50" t="n">
        <f aca="false">F1433</f>
        <v>6.13905265748032</v>
      </c>
    </row>
    <row r="1472" customFormat="false" ht="15" hidden="false" customHeight="false" outlineLevel="0" collapsed="false">
      <c r="A1472" s="4" t="s">
        <v>536</v>
      </c>
      <c r="C1472" s="20" t="n">
        <f aca="false">D1441</f>
        <v>-321.908</v>
      </c>
    </row>
    <row r="1473" customFormat="false" ht="15" hidden="false" customHeight="false" outlineLevel="0" collapsed="false">
      <c r="A1473" s="9" t="s">
        <v>537</v>
      </c>
      <c r="C1473" s="32" t="n">
        <f aca="false">cf_cash-lv_mix_cash-C1421</f>
        <v>6640</v>
      </c>
    </row>
    <row r="1474" customFormat="false" ht="15" hidden="false" customHeight="false" outlineLevel="0" collapsed="false">
      <c r="A1474" s="9" t="s">
        <v>538</v>
      </c>
      <c r="C1474" s="32" t="n">
        <f aca="false">cf_debt+lv_mix_debt</f>
        <v>350</v>
      </c>
    </row>
    <row r="1475" customFormat="false" ht="15" hidden="false" customHeight="false" outlineLevel="0" collapsed="false">
      <c r="A1475" s="9" t="s">
        <v>539</v>
      </c>
      <c r="C1475" s="34" t="n">
        <f aca="false">C1474/cf_ebitda</f>
        <v>0.546875</v>
      </c>
    </row>
    <row r="1476" customFormat="false" ht="15" hidden="false" customHeight="false" outlineLevel="0" collapsed="false">
      <c r="A1476" s="9" t="s">
        <v>540</v>
      </c>
      <c r="C1476" s="32" t="n">
        <f aca="false">C1473+SUM(D1444:F1444)+3*cf_pat</f>
        <v>7587.10736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8F00"/>
    <pageSetUpPr fitToPage="false"/>
  </sheetPr>
  <dimension ref="A1:N14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8.5390625" defaultRowHeight="15" zeroHeight="false" outlineLevelRow="0" outlineLevelCol="0"/>
  <cols>
    <col collapsed="false" customWidth="true" hidden="false" outlineLevel="0" max="1" min="1" style="0" width="62"/>
    <col collapsed="false" customWidth="true" hidden="false" outlineLevel="0" max="6" min="2" style="0" width="26"/>
    <col collapsed="false" customWidth="true" hidden="false" outlineLevel="0" max="13" min="7" style="0" width="11"/>
  </cols>
  <sheetData>
    <row r="1" customFormat="false" ht="18" hidden="false" customHeight="true" outlineLevel="0" collapsed="false">
      <c r="A1" s="6" t="s">
        <v>673</v>
      </c>
      <c r="B1" s="2"/>
      <c r="C1" s="2"/>
      <c r="D1" s="2"/>
      <c r="E1" s="2"/>
      <c r="F1" s="2"/>
      <c r="G1" s="2"/>
      <c r="H1" s="2"/>
      <c r="I1" s="2"/>
      <c r="J1" s="2"/>
      <c r="K1" s="2"/>
      <c r="L1" s="2"/>
      <c r="M1" s="2"/>
      <c r="N1" s="2"/>
    </row>
    <row r="2" customFormat="false" ht="15" hidden="false" customHeight="false" outlineLevel="0" collapsed="false">
      <c r="A2" s="3" t="s">
        <v>674</v>
      </c>
    </row>
    <row r="4" customFormat="false" ht="15" hidden="false" customHeight="false" outlineLevel="0" collapsed="false">
      <c r="A4" s="7" t="s">
        <v>675</v>
      </c>
      <c r="B4" s="8"/>
      <c r="C4" s="8"/>
      <c r="D4" s="8"/>
      <c r="E4" s="8"/>
      <c r="F4" s="8"/>
      <c r="G4" s="8"/>
      <c r="H4" s="8"/>
      <c r="I4" s="8"/>
      <c r="J4" s="8"/>
      <c r="K4" s="8"/>
      <c r="L4" s="8"/>
      <c r="M4" s="8"/>
      <c r="N4" s="8"/>
    </row>
    <row r="5" customFormat="false" ht="31.5" hidden="false" customHeight="true" outlineLevel="0" collapsed="false">
      <c r="A5" s="19" t="s">
        <v>676</v>
      </c>
      <c r="B5" s="19" t="s">
        <v>677</v>
      </c>
      <c r="C5" s="19" t="s">
        <v>45</v>
      </c>
      <c r="D5" s="19" t="s">
        <v>678</v>
      </c>
      <c r="E5" s="19" t="s">
        <v>679</v>
      </c>
      <c r="F5" s="19" t="s">
        <v>60</v>
      </c>
    </row>
    <row r="6" customFormat="false" ht="15" hidden="false" customHeight="false" outlineLevel="0" collapsed="false">
      <c r="A6" s="9" t="s">
        <v>680</v>
      </c>
      <c r="B6" s="62" t="n">
        <f aca="false">lv_mix_cash+lv_price*a_fees_pct+a_integ_full</f>
        <v>2260</v>
      </c>
      <c r="C6" s="62" t="n">
        <f aca="false">lv_min_price+a_integ_min</f>
        <v>665</v>
      </c>
      <c r="D6" s="62" t="n">
        <f aca="false">lv_min_price+a_integ_min</f>
        <v>665</v>
      </c>
      <c r="E6" s="62" t="n">
        <f aca="false">a_jv_capital</f>
        <v>300</v>
      </c>
      <c r="F6" s="62" t="n">
        <f aca="false">0</f>
        <v>0</v>
      </c>
    </row>
    <row r="7" customFormat="false" ht="15" hidden="false" customHeight="false" outlineLevel="0" collapsed="false">
      <c r="A7" s="9" t="s">
        <v>681</v>
      </c>
      <c r="B7" s="63" t="n">
        <f aca="false">Deal_CF!C21</f>
        <v>1.024</v>
      </c>
      <c r="C7" s="63" t="n">
        <f aca="false">0</f>
        <v>0</v>
      </c>
      <c r="D7" s="63" t="n">
        <f aca="false">C95</f>
        <v>0.263221894736842</v>
      </c>
      <c r="E7" s="63" t="n">
        <f aca="false">0</f>
        <v>0</v>
      </c>
      <c r="F7" s="63" t="n">
        <f aca="false">0</f>
        <v>0</v>
      </c>
    </row>
    <row r="8" customFormat="false" ht="15" hidden="false" customHeight="false" outlineLevel="0" collapsed="false">
      <c r="A8" s="9" t="s">
        <v>379</v>
      </c>
      <c r="B8" s="62" t="n">
        <f aca="false">lv_mix_debt</f>
        <v>0</v>
      </c>
      <c r="C8" s="62" t="n">
        <f aca="false">0</f>
        <v>0</v>
      </c>
      <c r="D8" s="62" t="n">
        <f aca="false">a_ctrl_debt</f>
        <v>500</v>
      </c>
      <c r="E8" s="62" t="n">
        <f aca="false">0</f>
        <v>0</v>
      </c>
      <c r="F8" s="62" t="n">
        <f aca="false">0</f>
        <v>0</v>
      </c>
    </row>
    <row r="9" customFormat="false" ht="15" hidden="false" customHeight="false" outlineLevel="0" collapsed="false">
      <c r="A9" s="9" t="s">
        <v>77</v>
      </c>
      <c r="B9" s="62" t="n">
        <f aca="false">e_cash_after</f>
        <v>6640</v>
      </c>
      <c r="C9" s="62" t="n">
        <f aca="false">C64</f>
        <v>8235</v>
      </c>
      <c r="D9" s="62" t="n">
        <f aca="false">C119</f>
        <v>7560.52</v>
      </c>
      <c r="E9" s="62" t="n">
        <f aca="false">cf_cash-a_jv_capital</f>
        <v>8600</v>
      </c>
      <c r="F9" s="62" t="n">
        <f aca="false">cf_cash</f>
        <v>8900</v>
      </c>
    </row>
    <row r="10" customFormat="false" ht="15" hidden="false" customHeight="false" outlineLevel="0" collapsed="false">
      <c r="A10" s="9" t="s">
        <v>539</v>
      </c>
      <c r="B10" s="64" t="n">
        <f aca="false">e_lev_after</f>
        <v>0.546875</v>
      </c>
      <c r="C10" s="64" t="n">
        <f aca="false">c_lev0</f>
        <v>0.546875</v>
      </c>
      <c r="D10" s="64" t="n">
        <f aca="false">C120</f>
        <v>1.328125</v>
      </c>
      <c r="E10" s="64" t="n">
        <f aca="false">c_lev0</f>
        <v>0.546875</v>
      </c>
      <c r="F10" s="64" t="n">
        <f aca="false">c_lev0</f>
        <v>0.546875</v>
      </c>
    </row>
    <row r="11" customFormat="false" ht="15" hidden="false" customHeight="false" outlineLevel="0" collapsed="false">
      <c r="A11" s="9" t="s">
        <v>86</v>
      </c>
      <c r="B11" s="62" t="n">
        <f aca="false">lv_price+lv_price*a_fees_pct+a_integ_full</f>
        <v>4160</v>
      </c>
      <c r="C11" s="62" t="n">
        <f aca="false">lv_min_price+a_integ_min</f>
        <v>665</v>
      </c>
      <c r="D11" s="62" t="n">
        <f aca="false">hy_max_total</f>
        <v>2603.6</v>
      </c>
      <c r="E11" s="62" t="n">
        <f aca="false">a_jv_capital</f>
        <v>300</v>
      </c>
      <c r="F11" s="62" t="n">
        <f aca="false">a_build_cost</f>
        <v>250</v>
      </c>
    </row>
    <row r="12" customFormat="false" ht="15" hidden="false" customHeight="false" outlineLevel="0" collapsed="false">
      <c r="A12" s="9" t="s">
        <v>87</v>
      </c>
      <c r="B12" s="62" t="n">
        <f aca="false">lv_price+lv_price*a_fees_pct+a_integ_full</f>
        <v>4160</v>
      </c>
      <c r="C12" s="62" t="n">
        <f aca="false">lv_min_price+a_integ_min</f>
        <v>665</v>
      </c>
      <c r="D12" s="62" t="n">
        <f aca="false">lv_min_price+a_integ_min</f>
        <v>665</v>
      </c>
      <c r="E12" s="62" t="n">
        <f aca="false">a_jv_capital</f>
        <v>300</v>
      </c>
      <c r="F12" s="62" t="n">
        <f aca="false">0</f>
        <v>0</v>
      </c>
    </row>
    <row r="13" customFormat="false" ht="15" hidden="false" customHeight="false" outlineLevel="0" collapsed="false">
      <c r="A13" s="9" t="s">
        <v>682</v>
      </c>
      <c r="B13" s="65" t="n">
        <f aca="false">lv_churn</f>
        <v>0.375</v>
      </c>
      <c r="C13" s="65" t="n">
        <f aca="false">lv_min_churn</f>
        <v>0</v>
      </c>
      <c r="D13" s="65" t="n">
        <f aca="false">a_ctrl_churn</f>
        <v>0.2</v>
      </c>
      <c r="E13" s="65" t="n">
        <f aca="false">0</f>
        <v>0</v>
      </c>
      <c r="F13" s="65" t="n">
        <f aca="false">0</f>
        <v>0</v>
      </c>
    </row>
    <row r="14" customFormat="false" ht="15" hidden="false" customHeight="false" outlineLevel="0" collapsed="false">
      <c r="A14" s="9" t="s">
        <v>683</v>
      </c>
      <c r="B14" s="62" t="n">
        <f aca="false">Deal_CF!D28</f>
        <v>750</v>
      </c>
      <c r="C14" s="62" t="n">
        <f aca="false">D50</f>
        <v>0</v>
      </c>
      <c r="D14" s="62" t="n">
        <f aca="false">a_ctrl_drag</f>
        <v>0</v>
      </c>
      <c r="E14" s="62" t="n">
        <f aca="false">0</f>
        <v>0</v>
      </c>
      <c r="F14" s="62" t="n">
        <f aca="false">0</f>
        <v>0</v>
      </c>
    </row>
    <row r="15" customFormat="false" ht="15" hidden="false" customHeight="false" outlineLevel="0" collapsed="false">
      <c r="A15" s="9" t="s">
        <v>390</v>
      </c>
      <c r="B15" s="66" t="n">
        <f aca="false">e_eps_y1</f>
        <v>5.25613619586614</v>
      </c>
      <c r="C15" s="66" t="n">
        <f aca="false">C61</f>
        <v>7.048509375</v>
      </c>
      <c r="D15" s="66" t="n">
        <f aca="false">C116</f>
        <v>7.048509375</v>
      </c>
      <c r="E15" s="66" t="n">
        <f aca="false">C134</f>
        <v>7.29609375</v>
      </c>
      <c r="F15" s="66" t="n">
        <f aca="false">C142</f>
        <v>6.5234375</v>
      </c>
    </row>
    <row r="16" customFormat="false" ht="15" hidden="false" customHeight="false" outlineLevel="0" collapsed="false">
      <c r="A16" s="9" t="s">
        <v>620</v>
      </c>
      <c r="B16" s="65" t="n">
        <f aca="false">e_eps_y1/cf_eps-1</f>
        <v>-0.299181840551181</v>
      </c>
      <c r="C16" s="65" t="n">
        <f aca="false">C61/cf_eps-1</f>
        <v>-0.06019875</v>
      </c>
      <c r="D16" s="65" t="n">
        <f aca="false">C116/cf_eps-1</f>
        <v>-0.06019875</v>
      </c>
      <c r="E16" s="65" t="n">
        <f aca="false">C134/cf_eps-1</f>
        <v>-0.0271875</v>
      </c>
      <c r="F16" s="65" t="n">
        <f aca="false">C142/cf_eps-1</f>
        <v>-0.130208333333333</v>
      </c>
    </row>
    <row r="17" customFormat="false" ht="15" hidden="false" customHeight="false" outlineLevel="0" collapsed="false">
      <c r="A17" s="9" t="s">
        <v>684</v>
      </c>
      <c r="B17" s="66" t="n">
        <f aca="false">e_eps_y3</f>
        <v>5.21936515748032</v>
      </c>
      <c r="C17" s="66" t="n">
        <f aca="false">C62</f>
        <v>7.171417875</v>
      </c>
      <c r="D17" s="66" t="n">
        <f aca="false">C117</f>
        <v>6.53126170187205</v>
      </c>
      <c r="E17" s="66" t="n">
        <f aca="false">C135</f>
        <v>7.35234375</v>
      </c>
      <c r="F17" s="66" t="n">
        <f aca="false">cf_eps</f>
        <v>7.5</v>
      </c>
    </row>
    <row r="18" customFormat="false" ht="43.5" hidden="false" customHeight="true" outlineLevel="0" collapsed="false">
      <c r="A18" s="9" t="s">
        <v>685</v>
      </c>
      <c r="B18" s="67" t="n">
        <f aca="false">e_pat_be</f>
        <v>99</v>
      </c>
      <c r="C18" s="67" t="n">
        <f aca="false">C63</f>
        <v>7</v>
      </c>
      <c r="D18" s="67" t="n">
        <f aca="false">C112</f>
        <v>7</v>
      </c>
      <c r="E18" s="68" t="s">
        <v>686</v>
      </c>
      <c r="F18" s="68" t="s">
        <v>63</v>
      </c>
    </row>
    <row r="19" customFormat="false" ht="43.5" hidden="false" customHeight="true" outlineLevel="0" collapsed="false">
      <c r="A19" s="9" t="s">
        <v>577</v>
      </c>
      <c r="B19" s="67" t="n">
        <f aca="false">e_fcf_be</f>
        <v>99</v>
      </c>
      <c r="C19" s="68" t="s">
        <v>687</v>
      </c>
      <c r="D19" s="67" t="n">
        <f aca="false">C113</f>
        <v>7</v>
      </c>
      <c r="E19" s="68" t="s">
        <v>686</v>
      </c>
      <c r="F19" s="68" t="s">
        <v>63</v>
      </c>
    </row>
    <row r="20" customFormat="false" ht="15" hidden="false" customHeight="false" outlineLevel="0" collapsed="false">
      <c r="A20" s="9" t="s">
        <v>576</v>
      </c>
      <c r="B20" s="20" t="n">
        <f aca="false">e_npv</f>
        <v>-7486.75737685072</v>
      </c>
      <c r="C20" s="20" t="n">
        <f aca="false">C60</f>
        <v>-348.110891883221</v>
      </c>
      <c r="D20" s="20" t="n">
        <f aca="false">C115</f>
        <v>-1187.33958986171</v>
      </c>
      <c r="E20" s="20" t="n">
        <f aca="false">C133</f>
        <v>-283.573355481788</v>
      </c>
      <c r="F20" s="20" t="n">
        <f aca="false">C141</f>
        <v>-196.762716488657</v>
      </c>
    </row>
    <row r="21" customFormat="false" ht="15" hidden="false" customHeight="false" outlineLevel="0" collapsed="false">
      <c r="A21" s="9" t="s">
        <v>688</v>
      </c>
      <c r="B21" s="62" t="n">
        <f aca="false">lv_price+lv_price*a_fees_pct+a_integ_full+e_pv_drag</f>
        <v>8229.68260696466</v>
      </c>
      <c r="C21" s="62" t="n">
        <f aca="false">lv_min_price+a_integ_min</f>
        <v>665</v>
      </c>
      <c r="D21" s="62" t="n">
        <f aca="false">lv_min_price+a_integ_min</f>
        <v>665</v>
      </c>
      <c r="E21" s="62" t="n">
        <f aca="false">a_jv_capital</f>
        <v>300</v>
      </c>
      <c r="F21" s="62" t="n">
        <f aca="false">a_build_cost</f>
        <v>250</v>
      </c>
    </row>
    <row r="22" customFormat="false" ht="43.5" hidden="false" customHeight="true" outlineLevel="0" collapsed="false">
      <c r="A22" s="9" t="s">
        <v>689</v>
      </c>
      <c r="B22" s="68" t="s">
        <v>690</v>
      </c>
      <c r="C22" s="68" t="s">
        <v>691</v>
      </c>
      <c r="D22" s="68" t="s">
        <v>692</v>
      </c>
      <c r="E22" s="68" t="s">
        <v>693</v>
      </c>
      <c r="F22" s="68" t="s">
        <v>694</v>
      </c>
    </row>
    <row r="23" customFormat="false" ht="43.5" hidden="false" customHeight="true" outlineLevel="0" collapsed="false">
      <c r="A23" s="9" t="s">
        <v>695</v>
      </c>
      <c r="B23" s="68" t="s">
        <v>696</v>
      </c>
      <c r="C23" s="68" t="s">
        <v>697</v>
      </c>
      <c r="D23" s="68" t="s">
        <v>698</v>
      </c>
      <c r="E23" s="68" t="s">
        <v>699</v>
      </c>
      <c r="F23" s="68" t="s">
        <v>700</v>
      </c>
    </row>
    <row r="24" customFormat="false" ht="43.5" hidden="false" customHeight="true" outlineLevel="0" collapsed="false">
      <c r="A24" s="9" t="s">
        <v>701</v>
      </c>
      <c r="B24" s="68" t="s">
        <v>702</v>
      </c>
      <c r="C24" s="68" t="s">
        <v>703</v>
      </c>
      <c r="D24" s="68" t="s">
        <v>704</v>
      </c>
      <c r="E24" s="68" t="s">
        <v>705</v>
      </c>
      <c r="F24" s="68" t="s">
        <v>706</v>
      </c>
    </row>
    <row r="25" customFormat="false" ht="43.5" hidden="false" customHeight="true" outlineLevel="0" collapsed="false">
      <c r="A25" s="9" t="s">
        <v>707</v>
      </c>
      <c r="B25" s="68" t="s">
        <v>708</v>
      </c>
      <c r="C25" s="68" t="s">
        <v>709</v>
      </c>
      <c r="D25" s="68" t="s">
        <v>709</v>
      </c>
      <c r="E25" s="68" t="s">
        <v>710</v>
      </c>
      <c r="F25" s="68" t="s">
        <v>711</v>
      </c>
    </row>
    <row r="26" customFormat="false" ht="43.5" hidden="false" customHeight="true" outlineLevel="0" collapsed="false">
      <c r="A26" s="9" t="s">
        <v>712</v>
      </c>
      <c r="B26" s="68" t="s">
        <v>713</v>
      </c>
      <c r="C26" s="68" t="s">
        <v>714</v>
      </c>
      <c r="D26" s="68" t="s">
        <v>715</v>
      </c>
      <c r="E26" s="68" t="s">
        <v>716</v>
      </c>
      <c r="F26" s="68" t="s">
        <v>694</v>
      </c>
    </row>
    <row r="27" customFormat="false" ht="43.5" hidden="false" customHeight="true" outlineLevel="0" collapsed="false">
      <c r="A27" s="9" t="s">
        <v>717</v>
      </c>
      <c r="B27" s="68" t="s">
        <v>718</v>
      </c>
      <c r="C27" s="68" t="s">
        <v>719</v>
      </c>
      <c r="D27" s="68" t="s">
        <v>720</v>
      </c>
      <c r="E27" s="68" t="s">
        <v>721</v>
      </c>
      <c r="F27" s="68" t="s">
        <v>694</v>
      </c>
    </row>
    <row r="30" customFormat="false" ht="15" hidden="false" customHeight="false" outlineLevel="0" collapsed="false">
      <c r="A30" s="7" t="s">
        <v>722</v>
      </c>
      <c r="B30" s="8"/>
      <c r="C30" s="8"/>
      <c r="D30" s="8"/>
      <c r="E30" s="8"/>
      <c r="F30" s="8"/>
      <c r="G30" s="8"/>
      <c r="H30" s="8"/>
      <c r="I30" s="8"/>
      <c r="J30" s="8"/>
      <c r="K30" s="8"/>
      <c r="L30" s="8"/>
      <c r="M30" s="8"/>
      <c r="N30" s="8"/>
    </row>
    <row r="31" customFormat="false" ht="15" hidden="false" customHeight="false" outlineLevel="0" collapsed="false">
      <c r="A31" s="4" t="s">
        <v>284</v>
      </c>
      <c r="C31" s="39" t="n">
        <v>0</v>
      </c>
      <c r="D31" s="39" t="n">
        <v>1</v>
      </c>
      <c r="E31" s="39" t="n">
        <v>2</v>
      </c>
      <c r="F31" s="39" t="n">
        <v>3</v>
      </c>
      <c r="G31" s="39" t="n">
        <v>4</v>
      </c>
      <c r="H31" s="39" t="n">
        <v>5</v>
      </c>
      <c r="I31" s="39" t="n">
        <v>6</v>
      </c>
      <c r="J31" s="39" t="n">
        <v>7</v>
      </c>
      <c r="K31" s="39" t="n">
        <v>8</v>
      </c>
      <c r="L31" s="39" t="n">
        <v>9</v>
      </c>
      <c r="M31" s="39" t="n">
        <v>10</v>
      </c>
    </row>
    <row r="32" customFormat="false" ht="15" hidden="false" customHeight="false" outlineLevel="0" collapsed="false">
      <c r="A32" s="9" t="s">
        <v>285</v>
      </c>
      <c r="C32" s="40" t="n">
        <f aca="false">cf_arr</f>
        <v>220</v>
      </c>
      <c r="D32" s="36" t="n">
        <f aca="false">C32*(1+lv_g)</f>
        <v>264</v>
      </c>
      <c r="E32" s="36" t="n">
        <f aca="false">D32*(1+lv_g)</f>
        <v>316.8</v>
      </c>
      <c r="F32" s="36" t="n">
        <f aca="false">E32*(1+lv_g)</f>
        <v>380.16</v>
      </c>
      <c r="G32" s="36" t="n">
        <f aca="false">F32*(1+lv_g)</f>
        <v>456.192</v>
      </c>
      <c r="H32" s="36" t="n">
        <f aca="false">G32*(1+lv_g)</f>
        <v>547.4304</v>
      </c>
      <c r="I32" s="36" t="n">
        <f aca="false">H32*(1+lv_g)</f>
        <v>656.91648</v>
      </c>
      <c r="J32" s="36" t="n">
        <f aca="false">I32*(1+lv_g)</f>
        <v>788.299776</v>
      </c>
      <c r="K32" s="36" t="n">
        <f aca="false">J32*(1+lv_g)</f>
        <v>945.9597312</v>
      </c>
      <c r="L32" s="36" t="n">
        <f aca="false">K32*(1+lv_g)</f>
        <v>1135.15167744</v>
      </c>
      <c r="M32" s="36" t="n">
        <f aca="false">L32*(1+lv_g)</f>
        <v>1362.182012928</v>
      </c>
    </row>
    <row r="33" customFormat="false" ht="15" hidden="false" customHeight="false" outlineLevel="0" collapsed="false">
      <c r="A33" s="9" t="s">
        <v>286</v>
      </c>
      <c r="C33" s="18" t="n">
        <f aca="false">1</f>
        <v>1</v>
      </c>
      <c r="D33" s="18" t="n">
        <f aca="false">IF(D31&gt;=a_churn_year,1-lv_min_churn,1)</f>
        <v>1</v>
      </c>
      <c r="E33" s="18" t="n">
        <f aca="false">IF(E31&gt;=a_churn_year,1-lv_min_churn,1)</f>
        <v>1</v>
      </c>
      <c r="F33" s="18" t="n">
        <f aca="false">IF(F31&gt;=a_churn_year,1-lv_min_churn,1)</f>
        <v>1</v>
      </c>
      <c r="G33" s="18" t="n">
        <f aca="false">IF(G31&gt;=a_churn_year,1-lv_min_churn,1)</f>
        <v>1</v>
      </c>
      <c r="H33" s="18" t="n">
        <f aca="false">IF(H31&gt;=a_churn_year,1-lv_min_churn,1)</f>
        <v>1</v>
      </c>
      <c r="I33" s="18" t="n">
        <f aca="false">IF(I31&gt;=a_churn_year,1-lv_min_churn,1)</f>
        <v>1</v>
      </c>
      <c r="J33" s="18" t="n">
        <f aca="false">IF(J31&gt;=a_churn_year,1-lv_min_churn,1)</f>
        <v>1</v>
      </c>
      <c r="K33" s="18" t="n">
        <f aca="false">IF(K31&gt;=a_churn_year,1-lv_min_churn,1)</f>
        <v>1</v>
      </c>
      <c r="L33" s="18" t="n">
        <f aca="false">IF(L31&gt;=a_churn_year,1-lv_min_churn,1)</f>
        <v>1</v>
      </c>
      <c r="M33" s="18" t="n">
        <f aca="false">IF(M31&gt;=a_churn_year,1-lv_min_churn,1)</f>
        <v>1</v>
      </c>
    </row>
    <row r="34" customFormat="false" ht="15" hidden="false" customHeight="false" outlineLevel="0" collapsed="false">
      <c r="A34" s="4" t="s">
        <v>287</v>
      </c>
      <c r="C34" s="41" t="n">
        <f aca="false">C32*C33</f>
        <v>220</v>
      </c>
      <c r="D34" s="41" t="n">
        <f aca="false">D32*D33</f>
        <v>264</v>
      </c>
      <c r="E34" s="41" t="n">
        <f aca="false">E32*E33</f>
        <v>316.8</v>
      </c>
      <c r="F34" s="41" t="n">
        <f aca="false">F32*F33</f>
        <v>380.16</v>
      </c>
      <c r="G34" s="41" t="n">
        <f aca="false">G32*G33</f>
        <v>456.192</v>
      </c>
      <c r="H34" s="41" t="n">
        <f aca="false">H32*H33</f>
        <v>547.4304</v>
      </c>
      <c r="I34" s="41" t="n">
        <f aca="false">I32*I33</f>
        <v>656.91648</v>
      </c>
      <c r="J34" s="41" t="n">
        <f aca="false">J32*J33</f>
        <v>788.299776</v>
      </c>
      <c r="K34" s="41" t="n">
        <f aca="false">K32*K33</f>
        <v>945.9597312</v>
      </c>
      <c r="L34" s="41" t="n">
        <f aca="false">L32*L33</f>
        <v>1135.15167744</v>
      </c>
      <c r="M34" s="41" t="n">
        <f aca="false">M32*M33</f>
        <v>1362.182012928</v>
      </c>
    </row>
    <row r="35" customFormat="false" ht="15" hidden="false" customHeight="false" outlineLevel="0" collapsed="false">
      <c r="A35" s="9" t="s">
        <v>288</v>
      </c>
      <c r="C35" s="18" t="n">
        <f aca="false">MIN(a_m0+a_mstep*C31,a_mcap)</f>
        <v>0</v>
      </c>
      <c r="D35" s="18" t="n">
        <f aca="false">MIN(a_m0+a_mstep*D31,a_mcap)</f>
        <v>0.05</v>
      </c>
      <c r="E35" s="18" t="n">
        <f aca="false">MIN(a_m0+a_mstep*E31,a_mcap)</f>
        <v>0.1</v>
      </c>
      <c r="F35" s="18" t="n">
        <f aca="false">MIN(a_m0+a_mstep*F31,a_mcap)</f>
        <v>0.15</v>
      </c>
      <c r="G35" s="18" t="n">
        <f aca="false">MIN(a_m0+a_mstep*G31,a_mcap)</f>
        <v>0.2</v>
      </c>
      <c r="H35" s="18" t="n">
        <f aca="false">MIN(a_m0+a_mstep*H31,a_mcap)</f>
        <v>0.25</v>
      </c>
      <c r="I35" s="18" t="n">
        <f aca="false">MIN(a_m0+a_mstep*I31,a_mcap)</f>
        <v>0.25</v>
      </c>
      <c r="J35" s="18" t="n">
        <f aca="false">MIN(a_m0+a_mstep*J31,a_mcap)</f>
        <v>0.25</v>
      </c>
      <c r="K35" s="18" t="n">
        <f aca="false">MIN(a_m0+a_mstep*K31,a_mcap)</f>
        <v>0.25</v>
      </c>
      <c r="L35" s="18" t="n">
        <f aca="false">MIN(a_m0+a_mstep*L31,a_mcap)</f>
        <v>0.25</v>
      </c>
      <c r="M35" s="18" t="n">
        <f aca="false">MIN(a_m0+a_mstep*M31,a_mcap)</f>
        <v>0.25</v>
      </c>
    </row>
    <row r="36" customFormat="false" ht="15" hidden="false" customHeight="false" outlineLevel="0" collapsed="false">
      <c r="A36" s="9" t="s">
        <v>289</v>
      </c>
      <c r="C36" s="36" t="n">
        <f aca="false">IF(C31=a_churn_year,a_sticky*(C32-C34)*(1-C35),0)</f>
        <v>0</v>
      </c>
      <c r="D36" s="36" t="n">
        <f aca="false">IF(D31=a_churn_year,a_sticky*(D32-D34)*(1-D35),0)</f>
        <v>0</v>
      </c>
      <c r="E36" s="36" t="n">
        <f aca="false">IF(E31=a_churn_year,a_sticky*(E32-E34)*(1-E35),0)</f>
        <v>0</v>
      </c>
      <c r="F36" s="36" t="n">
        <f aca="false">IF(F31=a_churn_year,a_sticky*(F32-F34)*(1-F35),0)</f>
        <v>0</v>
      </c>
      <c r="G36" s="36" t="n">
        <f aca="false">IF(G31=a_churn_year,a_sticky*(G32-G34)*(1-G35),0)</f>
        <v>0</v>
      </c>
      <c r="H36" s="36" t="n">
        <f aca="false">IF(H31=a_churn_year,a_sticky*(H32-H34)*(1-H35),0)</f>
        <v>0</v>
      </c>
      <c r="I36" s="36" t="n">
        <f aca="false">IF(I31=a_churn_year,a_sticky*(I32-I34)*(1-I35),0)</f>
        <v>0</v>
      </c>
      <c r="J36" s="36" t="n">
        <f aca="false">IF(J31=a_churn_year,a_sticky*(J32-J34)*(1-J35),0)</f>
        <v>0</v>
      </c>
      <c r="K36" s="36" t="n">
        <f aca="false">IF(K31=a_churn_year,a_sticky*(K32-K34)*(1-K35),0)</f>
        <v>0</v>
      </c>
      <c r="L36" s="36" t="n">
        <f aca="false">IF(L31=a_churn_year,a_sticky*(L32-L34)*(1-L35),0)</f>
        <v>0</v>
      </c>
      <c r="M36" s="36" t="n">
        <f aca="false">IF(M31=a_churn_year,a_sticky*(M32-M34)*(1-M35),0)</f>
        <v>0</v>
      </c>
    </row>
    <row r="37" customFormat="false" ht="15" hidden="false" customHeight="false" outlineLevel="0" collapsed="false">
      <c r="A37" s="4" t="s">
        <v>290</v>
      </c>
      <c r="C37" s="41" t="n">
        <f aca="false">C34*C35-C36</f>
        <v>0</v>
      </c>
      <c r="D37" s="41" t="n">
        <f aca="false">D34*D35-D36</f>
        <v>13.2</v>
      </c>
      <c r="E37" s="41" t="n">
        <f aca="false">E34*E35-E36</f>
        <v>31.68</v>
      </c>
      <c r="F37" s="41" t="n">
        <f aca="false">F34*F35-F36</f>
        <v>57.024</v>
      </c>
      <c r="G37" s="41" t="n">
        <f aca="false">G34*G35-G36</f>
        <v>91.2384</v>
      </c>
      <c r="H37" s="41" t="n">
        <f aca="false">H34*H35-H36</f>
        <v>136.8576</v>
      </c>
      <c r="I37" s="41" t="n">
        <f aca="false">I34*I35-I36</f>
        <v>164.22912</v>
      </c>
      <c r="J37" s="41" t="n">
        <f aca="false">J34*J35-J36</f>
        <v>197.074944</v>
      </c>
      <c r="K37" s="41" t="n">
        <f aca="false">K34*K35-K36</f>
        <v>236.4899328</v>
      </c>
      <c r="L37" s="41" t="n">
        <f aca="false">L34*L35-L36</f>
        <v>283.78791936</v>
      </c>
      <c r="M37" s="41" t="n">
        <f aca="false">M34*M35-M36</f>
        <v>340.545503232</v>
      </c>
    </row>
    <row r="38" customFormat="false" ht="15" hidden="false" customHeight="false" outlineLevel="0" collapsed="false">
      <c r="A38" s="9" t="s">
        <v>291</v>
      </c>
      <c r="C38" s="36" t="n">
        <f aca="false">C34*a_da</f>
        <v>6.6</v>
      </c>
      <c r="D38" s="36" t="n">
        <f aca="false">D34*a_da</f>
        <v>7.92</v>
      </c>
      <c r="E38" s="36" t="n">
        <f aca="false">E34*a_da</f>
        <v>9.504</v>
      </c>
      <c r="F38" s="36" t="n">
        <f aca="false">F34*a_da</f>
        <v>11.4048</v>
      </c>
      <c r="G38" s="36" t="n">
        <f aca="false">G34*a_da</f>
        <v>13.68576</v>
      </c>
      <c r="H38" s="36" t="n">
        <f aca="false">H34*a_da</f>
        <v>16.422912</v>
      </c>
      <c r="I38" s="36" t="n">
        <f aca="false">I34*a_da</f>
        <v>19.7074944</v>
      </c>
      <c r="J38" s="36" t="n">
        <f aca="false">J34*a_da</f>
        <v>23.64899328</v>
      </c>
      <c r="K38" s="36" t="n">
        <f aca="false">K34*a_da</f>
        <v>28.378791936</v>
      </c>
      <c r="L38" s="36" t="n">
        <f aca="false">L34*a_da</f>
        <v>34.0545503232</v>
      </c>
      <c r="M38" s="36" t="n">
        <f aca="false">M34*a_da</f>
        <v>40.86546038784</v>
      </c>
    </row>
    <row r="39" customFormat="false" ht="15" hidden="false" customHeight="false" outlineLevel="0" collapsed="false">
      <c r="A39" s="9" t="s">
        <v>292</v>
      </c>
      <c r="C39" s="36" t="n">
        <f aca="false">C37-C38</f>
        <v>-6.6</v>
      </c>
      <c r="D39" s="36" t="n">
        <f aca="false">D37-D38</f>
        <v>5.28</v>
      </c>
      <c r="E39" s="36" t="n">
        <f aca="false">E37-E38</f>
        <v>22.176</v>
      </c>
      <c r="F39" s="36" t="n">
        <f aca="false">F37-F38</f>
        <v>45.6192</v>
      </c>
      <c r="G39" s="36" t="n">
        <f aca="false">G37-G38</f>
        <v>77.55264</v>
      </c>
      <c r="H39" s="36" t="n">
        <f aca="false">H37-H38</f>
        <v>120.434688</v>
      </c>
      <c r="I39" s="36" t="n">
        <f aca="false">I37-I38</f>
        <v>144.5216256</v>
      </c>
      <c r="J39" s="36" t="n">
        <f aca="false">J37-J38</f>
        <v>173.42595072</v>
      </c>
      <c r="K39" s="36" t="n">
        <f aca="false">K37-K38</f>
        <v>208.111140864</v>
      </c>
      <c r="L39" s="36" t="n">
        <f aca="false">L37-L38</f>
        <v>249.7333690368</v>
      </c>
      <c r="M39" s="36" t="n">
        <f aca="false">M37-M38</f>
        <v>299.68004284416</v>
      </c>
    </row>
    <row r="40" customFormat="false" ht="15" hidden="false" customHeight="false" outlineLevel="0" collapsed="false">
      <c r="A40" s="9" t="s">
        <v>293</v>
      </c>
      <c r="C40" s="36" t="n">
        <f aca="false">MAX(0,C39)*a_tax</f>
        <v>0</v>
      </c>
      <c r="D40" s="36" t="n">
        <f aca="false">MAX(0,D39)*a_tax</f>
        <v>1.32</v>
      </c>
      <c r="E40" s="36" t="n">
        <f aca="false">MAX(0,E39)*a_tax</f>
        <v>5.544</v>
      </c>
      <c r="F40" s="36" t="n">
        <f aca="false">MAX(0,F39)*a_tax</f>
        <v>11.4048</v>
      </c>
      <c r="G40" s="36" t="n">
        <f aca="false">MAX(0,G39)*a_tax</f>
        <v>19.38816</v>
      </c>
      <c r="H40" s="36" t="n">
        <f aca="false">MAX(0,H39)*a_tax</f>
        <v>30.108672</v>
      </c>
      <c r="I40" s="36" t="n">
        <f aca="false">MAX(0,I39)*a_tax</f>
        <v>36.1304064</v>
      </c>
      <c r="J40" s="36" t="n">
        <f aca="false">MAX(0,J39)*a_tax</f>
        <v>43.35648768</v>
      </c>
      <c r="K40" s="36" t="n">
        <f aca="false">MAX(0,K39)*a_tax</f>
        <v>52.027785216</v>
      </c>
      <c r="L40" s="36" t="n">
        <f aca="false">MAX(0,L39)*a_tax</f>
        <v>62.4333422592</v>
      </c>
      <c r="M40" s="36" t="n">
        <f aca="false">MAX(0,M39)*a_tax</f>
        <v>74.92001071104</v>
      </c>
    </row>
    <row r="41" customFormat="false" ht="15" hidden="false" customHeight="false" outlineLevel="0" collapsed="false">
      <c r="A41" s="4" t="s">
        <v>294</v>
      </c>
      <c r="C41" s="42" t="n">
        <f aca="false">cf_lim_pat</f>
        <v>0</v>
      </c>
      <c r="D41" s="41" t="n">
        <f aca="false">D39-D40</f>
        <v>3.96</v>
      </c>
      <c r="E41" s="41" t="n">
        <f aca="false">E39-E40</f>
        <v>16.632</v>
      </c>
      <c r="F41" s="41" t="n">
        <f aca="false">F39-F40</f>
        <v>34.2144</v>
      </c>
      <c r="G41" s="41" t="n">
        <f aca="false">G39-G40</f>
        <v>58.16448</v>
      </c>
      <c r="H41" s="41" t="n">
        <f aca="false">H39-H40</f>
        <v>90.326016</v>
      </c>
      <c r="I41" s="41" t="n">
        <f aca="false">I39-I40</f>
        <v>108.3912192</v>
      </c>
      <c r="J41" s="41" t="n">
        <f aca="false">J39-J40</f>
        <v>130.06946304</v>
      </c>
      <c r="K41" s="41" t="n">
        <f aca="false">K39-K40</f>
        <v>156.083355648</v>
      </c>
      <c r="L41" s="41" t="n">
        <f aca="false">L39-L40</f>
        <v>187.3000267776</v>
      </c>
      <c r="M41" s="41" t="n">
        <f aca="false">M39-M40</f>
        <v>224.76003213312</v>
      </c>
    </row>
    <row r="42" customFormat="false" ht="15" hidden="false" customHeight="false" outlineLevel="0" collapsed="false">
      <c r="A42" s="9" t="s">
        <v>295</v>
      </c>
      <c r="C42" s="36" t="n">
        <f aca="false">C34*a_capex</f>
        <v>6.6</v>
      </c>
      <c r="D42" s="36" t="n">
        <f aca="false">D34*a_capex</f>
        <v>7.92</v>
      </c>
      <c r="E42" s="36" t="n">
        <f aca="false">E34*a_capex</f>
        <v>9.504</v>
      </c>
      <c r="F42" s="36" t="n">
        <f aca="false">F34*a_capex</f>
        <v>11.4048</v>
      </c>
      <c r="G42" s="36" t="n">
        <f aca="false">G34*a_capex</f>
        <v>13.68576</v>
      </c>
      <c r="H42" s="36" t="n">
        <f aca="false">H34*a_capex</f>
        <v>16.422912</v>
      </c>
      <c r="I42" s="36" t="n">
        <f aca="false">I34*a_capex</f>
        <v>19.7074944</v>
      </c>
      <c r="J42" s="36" t="n">
        <f aca="false">J34*a_capex</f>
        <v>23.64899328</v>
      </c>
      <c r="K42" s="36" t="n">
        <f aca="false">K34*a_capex</f>
        <v>28.378791936</v>
      </c>
      <c r="L42" s="36" t="n">
        <f aca="false">L34*a_capex</f>
        <v>34.0545503232</v>
      </c>
      <c r="M42" s="36" t="n">
        <f aca="false">M34*a_capex</f>
        <v>40.86546038784</v>
      </c>
    </row>
    <row r="43" customFormat="false" ht="15" hidden="false" customHeight="false" outlineLevel="0" collapsed="false">
      <c r="A43" s="9" t="s">
        <v>296</v>
      </c>
      <c r="C43" s="36" t="n">
        <f aca="false">0</f>
        <v>0</v>
      </c>
      <c r="D43" s="36" t="n">
        <f aca="false">a_wc*(D34-C34)</f>
        <v>2.2</v>
      </c>
      <c r="E43" s="36" t="n">
        <f aca="false">a_wc*(E34-D34)</f>
        <v>2.64</v>
      </c>
      <c r="F43" s="36" t="n">
        <f aca="false">a_wc*(F34-E34)</f>
        <v>3.168</v>
      </c>
      <c r="G43" s="36" t="n">
        <f aca="false">a_wc*(G34-F34)</f>
        <v>3.8016</v>
      </c>
      <c r="H43" s="36" t="n">
        <f aca="false">a_wc*(H34-G34)</f>
        <v>4.56192</v>
      </c>
      <c r="I43" s="36" t="n">
        <f aca="false">a_wc*(I34-H34)</f>
        <v>5.474304</v>
      </c>
      <c r="J43" s="36" t="n">
        <f aca="false">a_wc*(J34-I34)</f>
        <v>6.5691648</v>
      </c>
      <c r="K43" s="36" t="n">
        <f aca="false">a_wc*(K34-J34)</f>
        <v>7.88299776</v>
      </c>
      <c r="L43" s="36" t="n">
        <f aca="false">a_wc*(L34-K34)</f>
        <v>9.45959731199999</v>
      </c>
      <c r="M43" s="36" t="n">
        <f aca="false">a_wc*(M34-L34)</f>
        <v>11.3515167744</v>
      </c>
    </row>
    <row r="44" customFormat="false" ht="15" hidden="false" customHeight="false" outlineLevel="0" collapsed="false">
      <c r="A44" s="4" t="s">
        <v>297</v>
      </c>
      <c r="C44" s="36" t="n">
        <f aca="false">0</f>
        <v>0</v>
      </c>
      <c r="D44" s="41" t="n">
        <f aca="false">D41+D38-D42-D43</f>
        <v>1.76</v>
      </c>
      <c r="E44" s="41" t="n">
        <f aca="false">E41+E38-E42-E43</f>
        <v>13.992</v>
      </c>
      <c r="F44" s="41" t="n">
        <f aca="false">F41+F38-F42-F43</f>
        <v>31.0464</v>
      </c>
      <c r="G44" s="41" t="n">
        <f aca="false">G41+G38-G42-G43</f>
        <v>54.36288</v>
      </c>
      <c r="H44" s="41" t="n">
        <f aca="false">H41+H38-H42-H43</f>
        <v>85.764096</v>
      </c>
      <c r="I44" s="41" t="n">
        <f aca="false">I41+I38-I42-I43</f>
        <v>102.9169152</v>
      </c>
      <c r="J44" s="41" t="n">
        <f aca="false">J41+J38-J42-J43</f>
        <v>123.50029824</v>
      </c>
      <c r="K44" s="41" t="n">
        <f aca="false">K41+K38-K42-K43</f>
        <v>148.200357888</v>
      </c>
      <c r="L44" s="41" t="n">
        <f aca="false">L41+L38-L42-L43</f>
        <v>177.8404294656</v>
      </c>
      <c r="M44" s="41" t="n">
        <f aca="false">M41+M38-M42-M43</f>
        <v>213.40851535872</v>
      </c>
    </row>
    <row r="46" customFormat="false" ht="15" hidden="false" customHeight="false" outlineLevel="0" collapsed="false">
      <c r="A46" s="7" t="s">
        <v>723</v>
      </c>
      <c r="B46" s="8"/>
      <c r="C46" s="8"/>
      <c r="D46" s="8"/>
      <c r="E46" s="8"/>
      <c r="F46" s="8"/>
      <c r="G46" s="8"/>
      <c r="H46" s="8"/>
      <c r="I46" s="8"/>
      <c r="J46" s="8"/>
      <c r="K46" s="8"/>
      <c r="L46" s="8"/>
      <c r="M46" s="8"/>
      <c r="N46" s="8"/>
    </row>
    <row r="47" customFormat="false" ht="15" hidden="false" customHeight="false" outlineLevel="0" collapsed="false">
      <c r="A47" s="9" t="s">
        <v>724</v>
      </c>
      <c r="C47" s="32" t="n">
        <f aca="false">lv_min_price</f>
        <v>650</v>
      </c>
    </row>
    <row r="48" customFormat="false" ht="15" hidden="false" customHeight="false" outlineLevel="0" collapsed="false">
      <c r="A48" s="9" t="s">
        <v>725</v>
      </c>
      <c r="C48" s="36" t="n">
        <f aca="false">(lv_min_price+a_integ_min)*a_yield*(1-a_tax)</f>
        <v>29.925</v>
      </c>
    </row>
    <row r="49" customFormat="false" ht="15" hidden="false" customHeight="false" outlineLevel="0" collapsed="false">
      <c r="A49" s="9" t="s">
        <v>726</v>
      </c>
      <c r="C49" s="36" t="n">
        <f aca="false">0</f>
        <v>0</v>
      </c>
      <c r="D49" s="36" t="n">
        <f aca="false">lv_stake*D41</f>
        <v>1.0296</v>
      </c>
      <c r="E49" s="36" t="n">
        <f aca="false">lv_stake*E41</f>
        <v>4.32432</v>
      </c>
      <c r="F49" s="36" t="n">
        <f aca="false">lv_stake*F41</f>
        <v>8.895744</v>
      </c>
      <c r="G49" s="36" t="n">
        <f aca="false">lv_stake*G41</f>
        <v>15.1227648</v>
      </c>
      <c r="H49" s="36" t="n">
        <f aca="false">lv_stake*H41</f>
        <v>23.48476416</v>
      </c>
      <c r="I49" s="36" t="n">
        <f aca="false">lv_stake*I41</f>
        <v>28.181716992</v>
      </c>
      <c r="J49" s="36" t="n">
        <f aca="false">lv_stake*J41</f>
        <v>33.8180603904</v>
      </c>
      <c r="K49" s="36" t="n">
        <f aca="false">lv_stake*K41</f>
        <v>40.58167246848</v>
      </c>
      <c r="L49" s="36" t="n">
        <f aca="false">lv_stake*L41</f>
        <v>48.698006962176</v>
      </c>
      <c r="M49" s="36" t="n">
        <f aca="false">lv_stake*M41</f>
        <v>58.4376083546112</v>
      </c>
    </row>
    <row r="50" customFormat="false" ht="15" hidden="false" customHeight="false" outlineLevel="0" collapsed="false">
      <c r="A50" s="9" t="s">
        <v>727</v>
      </c>
      <c r="C50" s="36" t="n">
        <f aca="false">0</f>
        <v>0</v>
      </c>
      <c r="D50" s="36" t="n">
        <f aca="false">CHOOSE(lv_min_drag_mode+1,0,lv_stake*lv_drag,lv_drag)</f>
        <v>0</v>
      </c>
      <c r="E50" s="36" t="n">
        <f aca="false">CHOOSE(lv_min_drag_mode+1,0,lv_stake*lv_drag,lv_drag)</f>
        <v>0</v>
      </c>
      <c r="F50" s="36" t="n">
        <f aca="false">CHOOSE(lv_min_drag_mode+1,0,lv_stake*lv_drag,lv_drag)</f>
        <v>0</v>
      </c>
      <c r="G50" s="36" t="n">
        <f aca="false">CHOOSE(lv_min_drag_mode+1,0,lv_stake*lv_drag,lv_drag)</f>
        <v>0</v>
      </c>
      <c r="H50" s="36" t="n">
        <f aca="false">CHOOSE(lv_min_drag_mode+1,0,lv_stake*lv_drag,lv_drag)</f>
        <v>0</v>
      </c>
      <c r="I50" s="36" t="n">
        <f aca="false">CHOOSE(lv_min_drag_mode+1,0,lv_stake*lv_drag,lv_drag)</f>
        <v>0</v>
      </c>
      <c r="J50" s="36" t="n">
        <f aca="false">CHOOSE(lv_min_drag_mode+1,0,lv_stake*lv_drag,lv_drag)</f>
        <v>0</v>
      </c>
      <c r="K50" s="36" t="n">
        <f aca="false">CHOOSE(lv_min_drag_mode+1,0,lv_stake*lv_drag,lv_drag)</f>
        <v>0</v>
      </c>
      <c r="L50" s="36" t="n">
        <f aca="false">CHOOSE(lv_min_drag_mode+1,0,lv_stake*lv_drag,lv_drag)</f>
        <v>0</v>
      </c>
      <c r="M50" s="36" t="n">
        <f aca="false">CHOOSE(lv_min_drag_mode+1,0,lv_stake*lv_drag,lv_drag)</f>
        <v>0</v>
      </c>
    </row>
    <row r="51" customFormat="false" ht="15" hidden="false" customHeight="false" outlineLevel="0" collapsed="false">
      <c r="A51" s="4" t="s">
        <v>728</v>
      </c>
      <c r="C51" s="41" t="n">
        <f aca="false">-C48</f>
        <v>-29.925</v>
      </c>
      <c r="D51" s="41" t="n">
        <f aca="false">D49-C48</f>
        <v>-28.8954</v>
      </c>
      <c r="E51" s="41" t="n">
        <f aca="false">E49-C48</f>
        <v>-25.60068</v>
      </c>
      <c r="F51" s="41" t="n">
        <f aca="false">F49-C48</f>
        <v>-21.029256</v>
      </c>
      <c r="G51" s="41" t="n">
        <f aca="false">G49-C48</f>
        <v>-14.8022352</v>
      </c>
      <c r="H51" s="41" t="n">
        <f aca="false">H49-C48</f>
        <v>-6.44023584</v>
      </c>
      <c r="I51" s="41" t="n">
        <f aca="false">I49-C48</f>
        <v>-1.743283008</v>
      </c>
      <c r="J51" s="41" t="n">
        <f aca="false">J49-C48</f>
        <v>3.89306039040001</v>
      </c>
      <c r="K51" s="41" t="n">
        <f aca="false">K49-C48</f>
        <v>10.65667246848</v>
      </c>
      <c r="L51" s="41" t="n">
        <f aca="false">L49-C48</f>
        <v>18.773006962176</v>
      </c>
      <c r="M51" s="41" t="n">
        <f aca="false">M49-C48</f>
        <v>28.5126083546112</v>
      </c>
    </row>
    <row r="52" customFormat="false" ht="15" hidden="false" customHeight="false" outlineLevel="0" collapsed="false">
      <c r="A52" s="4" t="s">
        <v>729</v>
      </c>
      <c r="C52" s="48" t="n">
        <f aca="false">(cf_pat+C51)/cf_shares</f>
        <v>7.032421875</v>
      </c>
      <c r="D52" s="48" t="n">
        <f aca="false">(cf_pat*(1+a_pat_growth)^D31+D51)/cf_shares</f>
        <v>7.048509375</v>
      </c>
      <c r="E52" s="48" t="n">
        <f aca="false">(cf_pat*(1+a_pat_growth)^E31+E51)/cf_shares</f>
        <v>7.099989375</v>
      </c>
      <c r="F52" s="48" t="n">
        <f aca="false">(cf_pat*(1+a_pat_growth)^F31+F51)/cf_shares</f>
        <v>7.171417875</v>
      </c>
      <c r="G52" s="48" t="n">
        <f aca="false">(cf_pat*(1+a_pat_growth)^G31+G51)/cf_shares</f>
        <v>7.268715075</v>
      </c>
      <c r="H52" s="48" t="n">
        <f aca="false">(cf_pat*(1+a_pat_growth)^H31+H51)/cf_shares</f>
        <v>7.399371315</v>
      </c>
      <c r="I52" s="48" t="n">
        <f aca="false">(cf_pat*(1+a_pat_growth)^I31+I51)/cf_shares</f>
        <v>7.472761203</v>
      </c>
      <c r="J52" s="48" t="n">
        <f aca="false">(cf_pat*(1+a_pat_growth)^J31+J51)/cf_shares</f>
        <v>7.5608290686</v>
      </c>
      <c r="K52" s="48" t="n">
        <f aca="false">(cf_pat*(1+a_pat_growth)^K31+K51)/cf_shares</f>
        <v>7.66651050732</v>
      </c>
      <c r="L52" s="48" t="n">
        <f aca="false">(cf_pat*(1+a_pat_growth)^L31+L51)/cf_shares</f>
        <v>7.793328233784</v>
      </c>
      <c r="M52" s="48" t="n">
        <f aca="false">(cf_pat*(1+a_pat_growth)^M31+M51)/cf_shares</f>
        <v>7.9455095055408</v>
      </c>
    </row>
    <row r="53" customFormat="false" ht="15" hidden="false" customHeight="false" outlineLevel="0" collapsed="false">
      <c r="A53" s="9" t="s">
        <v>452</v>
      </c>
      <c r="C53" s="18" t="n">
        <f aca="false">C52/cf_eps-1</f>
        <v>-0.06234375</v>
      </c>
      <c r="D53" s="18" t="n">
        <f aca="false">D52/cf_eps-1</f>
        <v>-0.06019875</v>
      </c>
      <c r="E53" s="18" t="n">
        <f aca="false">E52/cf_eps-1</f>
        <v>-0.05333475</v>
      </c>
      <c r="F53" s="18" t="n">
        <f aca="false">F52/cf_eps-1</f>
        <v>-0.0438109499999999</v>
      </c>
      <c r="G53" s="18" t="n">
        <f aca="false">G52/cf_eps-1</f>
        <v>-0.03083799</v>
      </c>
      <c r="H53" s="18" t="n">
        <f aca="false">H52/cf_eps-1</f>
        <v>-0.013417158</v>
      </c>
      <c r="I53" s="18" t="n">
        <f aca="false">I52/cf_eps-1</f>
        <v>-0.00363183960000002</v>
      </c>
      <c r="J53" s="18" t="n">
        <f aca="false">J52/cf_eps-1</f>
        <v>0.00811054248000009</v>
      </c>
      <c r="K53" s="18" t="n">
        <f aca="false">K52/cf_eps-1</f>
        <v>0.0222014009760001</v>
      </c>
      <c r="L53" s="18" t="n">
        <f aca="false">L52/cf_eps-1</f>
        <v>0.0391104311712001</v>
      </c>
      <c r="M53" s="18" t="n">
        <f aca="false">M52/cf_eps-1</f>
        <v>0.0594012674054401</v>
      </c>
    </row>
    <row r="54" customFormat="false" ht="15" hidden="false" customHeight="false" outlineLevel="0" collapsed="false">
      <c r="A54" s="9" t="s">
        <v>730</v>
      </c>
      <c r="C54" s="36" t="n">
        <f aca="false">-lv_min_price-a_integ_min</f>
        <v>-665</v>
      </c>
      <c r="D54" s="36" t="n">
        <f aca="false">-C48-D50</f>
        <v>-29.925</v>
      </c>
      <c r="E54" s="36" t="n">
        <f aca="false">-C48-E50</f>
        <v>-29.925</v>
      </c>
      <c r="F54" s="36" t="n">
        <f aca="false">-C48-F50</f>
        <v>-29.925</v>
      </c>
      <c r="G54" s="36" t="n">
        <f aca="false">-C48-G50</f>
        <v>-29.925</v>
      </c>
      <c r="H54" s="36" t="n">
        <f aca="false">-C48-H50</f>
        <v>-29.925</v>
      </c>
      <c r="I54" s="36" t="n">
        <f aca="false">-C48-I50</f>
        <v>-29.925</v>
      </c>
      <c r="J54" s="36" t="n">
        <f aca="false">-C48-J50</f>
        <v>-29.925</v>
      </c>
      <c r="K54" s="36" t="n">
        <f aca="false">-C48-K50</f>
        <v>-29.925</v>
      </c>
      <c r="L54" s="36" t="n">
        <f aca="false">-C48-L50</f>
        <v>-29.925</v>
      </c>
      <c r="M54" s="36" t="n">
        <f aca="false">-C48-M50</f>
        <v>-29.925</v>
      </c>
    </row>
    <row r="55" customFormat="false" ht="15" hidden="false" customHeight="false" outlineLevel="0" collapsed="false">
      <c r="A55" s="9" t="s">
        <v>731</v>
      </c>
      <c r="C55" s="36" t="n">
        <f aca="false">0</f>
        <v>0</v>
      </c>
      <c r="D55" s="36" t="n">
        <f aca="false">lv_stake*D44</f>
        <v>0.4576</v>
      </c>
      <c r="E55" s="36" t="n">
        <f aca="false">lv_stake*E44</f>
        <v>3.63792</v>
      </c>
      <c r="F55" s="36" t="n">
        <f aca="false">lv_stake*F44</f>
        <v>8.072064</v>
      </c>
      <c r="G55" s="36" t="n">
        <f aca="false">lv_stake*G44</f>
        <v>14.1343488</v>
      </c>
      <c r="H55" s="36" t="n">
        <f aca="false">lv_stake*H44</f>
        <v>22.29866496</v>
      </c>
      <c r="I55" s="36" t="n">
        <f aca="false">lv_stake*I44</f>
        <v>26.758397952</v>
      </c>
      <c r="J55" s="36" t="n">
        <f aca="false">lv_stake*J44</f>
        <v>32.1100775424</v>
      </c>
      <c r="K55" s="36" t="n">
        <f aca="false">lv_stake*K44</f>
        <v>38.53209305088</v>
      </c>
      <c r="L55" s="36" t="n">
        <f aca="false">lv_stake*L44</f>
        <v>46.238511661056</v>
      </c>
      <c r="M55" s="36" t="n">
        <f aca="false">lv_stake*M44</f>
        <v>55.4862139932672</v>
      </c>
    </row>
    <row r="56" customFormat="false" ht="15" hidden="false" customHeight="false" outlineLevel="0" collapsed="false">
      <c r="A56" s="9" t="s">
        <v>310</v>
      </c>
      <c r="C56" s="43" t="n">
        <f aca="false">1</f>
        <v>1</v>
      </c>
      <c r="D56" s="43" t="n">
        <f aca="false">1/(1+lv_wacc)^D31</f>
        <v>0.884955752212389</v>
      </c>
      <c r="E56" s="43" t="n">
        <f aca="false">1/(1+lv_wacc)^E31</f>
        <v>0.783146683373796</v>
      </c>
      <c r="F56" s="43" t="n">
        <f aca="false">1/(1+lv_wacc)^F31</f>
        <v>0.693050162277696</v>
      </c>
      <c r="G56" s="43" t="n">
        <f aca="false">1/(1+lv_wacc)^G31</f>
        <v>0.613318727679377</v>
      </c>
      <c r="H56" s="43" t="n">
        <f aca="false">1/(1+lv_wacc)^H31</f>
        <v>0.542759935999449</v>
      </c>
      <c r="I56" s="43" t="n">
        <f aca="false">1/(1+lv_wacc)^I31</f>
        <v>0.48031852743314</v>
      </c>
      <c r="J56" s="43" t="n">
        <f aca="false">1/(1+lv_wacc)^J31</f>
        <v>0.425060643746142</v>
      </c>
      <c r="K56" s="43" t="n">
        <f aca="false">1/(1+lv_wacc)^K31</f>
        <v>0.37615986172225</v>
      </c>
      <c r="L56" s="43" t="n">
        <f aca="false">1/(1+lv_wacc)^L31</f>
        <v>0.332884833382522</v>
      </c>
      <c r="M56" s="43" t="n">
        <f aca="false">1/(1+lv_wacc)^M31</f>
        <v>0.294588348126126</v>
      </c>
    </row>
    <row r="57" customFormat="false" ht="15" hidden="false" customHeight="false" outlineLevel="0" collapsed="false">
      <c r="A57" s="9" t="s">
        <v>732</v>
      </c>
      <c r="C57" s="32" t="n">
        <f aca="false">SUMPRODUCT(D44:M44,D56:M56)+M44*(1+a_tg)/(lv_wacc-a_tg)*M56</f>
        <v>1218.80426198761</v>
      </c>
    </row>
    <row r="58" customFormat="false" ht="15" hidden="false" customHeight="false" outlineLevel="0" collapsed="false">
      <c r="A58" s="9" t="s">
        <v>733</v>
      </c>
      <c r="C58" s="32" t="n">
        <f aca="false">lv_stake*C57</f>
        <v>316.889108116779</v>
      </c>
    </row>
    <row r="59" customFormat="false" ht="15" hidden="false" customHeight="false" outlineLevel="0" collapsed="false">
      <c r="A59" s="9" t="s">
        <v>734</v>
      </c>
      <c r="C59" s="32" t="n">
        <f aca="false">SUMPRODUCT(D50:M50,D56:M56)</f>
        <v>0</v>
      </c>
    </row>
    <row r="60" customFormat="false" ht="15" hidden="false" customHeight="false" outlineLevel="0" collapsed="false">
      <c r="A60" s="4" t="s">
        <v>735</v>
      </c>
      <c r="C60" s="20" t="n">
        <f aca="false">C58-lv_min_price-a_integ_min-C59</f>
        <v>-348.110891883221</v>
      </c>
    </row>
    <row r="61" customFormat="false" ht="15" hidden="false" customHeight="false" outlineLevel="0" collapsed="false">
      <c r="A61" s="4" t="s">
        <v>581</v>
      </c>
      <c r="C61" s="25" t="n">
        <f aca="false">D52</f>
        <v>7.048509375</v>
      </c>
    </row>
    <row r="62" customFormat="false" ht="15" hidden="false" customHeight="false" outlineLevel="0" collapsed="false">
      <c r="A62" s="9" t="s">
        <v>736</v>
      </c>
      <c r="C62" s="50" t="n">
        <f aca="false">F52</f>
        <v>7.171417875</v>
      </c>
    </row>
    <row r="63" customFormat="false" ht="15" hidden="false" customHeight="false" outlineLevel="0" collapsed="false">
      <c r="A63" s="9" t="s">
        <v>737</v>
      </c>
      <c r="C63" s="46" t="n">
        <f aca="false">MIN(IF(D49&gt;=C48,1,99),IF(E49&gt;=C48,2,99),IF(F49&gt;=C48,3,99),IF(G49&gt;=C48,4,99),IF(H49&gt;=C48,5,99),IF(I49&gt;=C48,6,99),IF(J49&gt;=C48,7,99),IF(K49&gt;=C48,8,99),IF(L49&gt;=C48,9,99),IF(M49&gt;=C48,10,99))</f>
        <v>7</v>
      </c>
    </row>
    <row r="64" customFormat="false" ht="15" hidden="false" customHeight="false" outlineLevel="0" collapsed="false">
      <c r="A64" s="9" t="s">
        <v>738</v>
      </c>
      <c r="C64" s="32" t="n">
        <f aca="false">cf_cash-lv_min_price-a_integ_min</f>
        <v>8235</v>
      </c>
    </row>
    <row r="65" customFormat="false" ht="15" hidden="false" customHeight="false" outlineLevel="0" collapsed="false">
      <c r="A65" s="9" t="s">
        <v>739</v>
      </c>
      <c r="C65" s="33" t="n">
        <f aca="false">lv_min_price/cf_mcap</f>
        <v>0.00547368421052632</v>
      </c>
    </row>
    <row r="67" customFormat="false" ht="15" hidden="false" customHeight="false" outlineLevel="0" collapsed="false">
      <c r="A67" s="7" t="s">
        <v>740</v>
      </c>
      <c r="B67" s="8"/>
      <c r="C67" s="8"/>
      <c r="D67" s="8"/>
      <c r="E67" s="8"/>
      <c r="F67" s="8"/>
      <c r="G67" s="8"/>
      <c r="H67" s="8"/>
      <c r="I67" s="8"/>
      <c r="J67" s="8"/>
      <c r="K67" s="8"/>
      <c r="L67" s="8"/>
      <c r="M67" s="8"/>
      <c r="N67" s="8"/>
    </row>
    <row r="68" customFormat="false" ht="15" hidden="false" customHeight="false" outlineLevel="0" collapsed="false">
      <c r="A68" s="4" t="s">
        <v>741</v>
      </c>
      <c r="D68" s="38" t="n">
        <v>4</v>
      </c>
      <c r="E68" s="38" t="n">
        <v>6</v>
      </c>
      <c r="F68" s="38" t="n">
        <v>10</v>
      </c>
      <c r="G68" s="38" t="n">
        <v>14</v>
      </c>
      <c r="H68" s="38" t="n">
        <v>18.2</v>
      </c>
    </row>
    <row r="69" customFormat="false" ht="15" hidden="false" customHeight="false" outlineLevel="0" collapsed="false">
      <c r="A69" s="9" t="s">
        <v>742</v>
      </c>
      <c r="B69" s="45" t="n">
        <f aca="false">a_g_bear</f>
        <v>0.1</v>
      </c>
      <c r="D69" s="18" t="n">
        <f aca="false">(lv_stake*D$68*cf_arr*(1+$B69)^5*(1-lv_min_churn)/(lv_min_price+a_integ_min))^(1/5)-1</f>
        <v>-0.111372886574631</v>
      </c>
      <c r="E69" s="18" t="n">
        <f aca="false">(lv_stake*E$68*cf_arr*(1+$B69)^5*(1-lv_min_churn)/(lv_min_price+a_integ_min))^(1/5)-1</f>
        <v>-0.036308980369292</v>
      </c>
      <c r="F69" s="18" t="n">
        <f aca="false">(lv_stake*F$68*cf_arr*(1+$B69)^5*(1-lv_min_churn)/(lv_min_price+a_integ_min))^(1/5)-1</f>
        <v>0.0673517386335993</v>
      </c>
      <c r="G69" s="18" t="n">
        <f aca="false">(lv_stake*G$68*cf_arr*(1+$B69)^5*(1-lv_min_churn)/(lv_min_price+a_integ_min))^(1/5)-1</f>
        <v>0.14165049419069</v>
      </c>
      <c r="H69" s="18" t="n">
        <f aca="false">(lv_stake*H$68*cf_arr*(1+$B69)^5*(1-lv_min_churn)/(lv_min_price+a_integ_min))^(1/5)-1</f>
        <v>0.20315571818603</v>
      </c>
    </row>
    <row r="70" customFormat="false" ht="15" hidden="false" customHeight="false" outlineLevel="0" collapsed="false">
      <c r="A70" s="9" t="s">
        <v>743</v>
      </c>
      <c r="B70" s="45" t="n">
        <f aca="false">a_g_base</f>
        <v>0.2</v>
      </c>
      <c r="D70" s="18" t="n">
        <f aca="false">(lv_stake*D$68*cf_arr*(1+$B70)^5*(1-lv_min_churn)/(lv_min_price+a_integ_min))^(1/5)-1</f>
        <v>-0.0305886035359613</v>
      </c>
      <c r="E70" s="18" t="n">
        <f aca="false">(lv_stake*E$68*cf_arr*(1+$B70)^5*(1-lv_min_churn)/(lv_min_price+a_integ_min))^(1/5)-1</f>
        <v>0.0512992941425905</v>
      </c>
      <c r="F70" s="18" t="n">
        <f aca="false">(lv_stake*F$68*cf_arr*(1+$B70)^5*(1-lv_min_churn)/(lv_min_price+a_integ_min))^(1/5)-1</f>
        <v>0.164383714873017</v>
      </c>
      <c r="G70" s="18" t="n">
        <f aca="false">(lv_stake*G$68*cf_arr*(1+$B70)^5*(1-lv_min_churn)/(lv_min_price+a_integ_min))^(1/5)-1</f>
        <v>0.24543690275348</v>
      </c>
      <c r="H70" s="18" t="n">
        <f aca="false">(lv_stake*H$68*cf_arr*(1+$B70)^5*(1-lv_min_churn)/(lv_min_price+a_integ_min))^(1/5)-1</f>
        <v>0.312533510748397</v>
      </c>
    </row>
    <row r="71" customFormat="false" ht="15" hidden="false" customHeight="false" outlineLevel="0" collapsed="false">
      <c r="A71" s="9" t="s">
        <v>744</v>
      </c>
      <c r="B71" s="45" t="n">
        <f aca="false">a_g_bull</f>
        <v>0.3</v>
      </c>
      <c r="D71" s="18" t="n">
        <f aca="false">(lv_stake*D$68*cf_arr*(1+$B71)^5*(1-lv_min_churn)/(lv_min_price+a_integ_min))^(1/5)-1</f>
        <v>0.0501956795027088</v>
      </c>
      <c r="E71" s="18" t="n">
        <f aca="false">(lv_stake*E$68*cf_arr*(1+$B71)^5*(1-lv_min_churn)/(lv_min_price+a_integ_min))^(1/5)-1</f>
        <v>0.138907568654473</v>
      </c>
      <c r="F71" s="18" t="n">
        <f aca="false">(lv_stake*F$68*cf_arr*(1+$B71)^5*(1-lv_min_churn)/(lv_min_price+a_integ_min))^(1/5)-1</f>
        <v>0.261415691112436</v>
      </c>
      <c r="G71" s="18" t="n">
        <f aca="false">(lv_stake*G$68*cf_arr*(1+$B71)^5*(1-lv_min_churn)/(lv_min_price+a_integ_min))^(1/5)-1</f>
        <v>0.34922331131627</v>
      </c>
      <c r="H71" s="18" t="n">
        <f aca="false">(lv_stake*H$68*cf_arr*(1+$B71)^5*(1-lv_min_churn)/(lv_min_price+a_integ_min))^(1/5)-1</f>
        <v>0.421911303310763</v>
      </c>
    </row>
    <row r="72" customFormat="false" ht="15" hidden="false" customHeight="false" outlineLevel="0" collapsed="false">
      <c r="A72" s="3" t="s">
        <v>745</v>
      </c>
    </row>
    <row r="74" customFormat="false" ht="15" hidden="false" customHeight="false" outlineLevel="0" collapsed="false">
      <c r="A74" s="7" t="s">
        <v>746</v>
      </c>
      <c r="B74" s="8"/>
      <c r="C74" s="8"/>
      <c r="D74" s="8"/>
      <c r="E74" s="8"/>
      <c r="F74" s="8"/>
      <c r="G74" s="8"/>
      <c r="H74" s="8"/>
      <c r="I74" s="8"/>
      <c r="J74" s="8"/>
      <c r="K74" s="8"/>
      <c r="L74" s="8"/>
      <c r="M74" s="8"/>
      <c r="N74" s="8"/>
    </row>
    <row r="75" customFormat="false" ht="15" hidden="false" customHeight="false" outlineLevel="0" collapsed="false">
      <c r="A75" s="7" t="s">
        <v>747</v>
      </c>
      <c r="B75" s="8"/>
      <c r="C75" s="8"/>
      <c r="D75" s="8"/>
      <c r="E75" s="8"/>
      <c r="F75" s="8"/>
      <c r="G75" s="8"/>
      <c r="H75" s="8"/>
      <c r="I75" s="8"/>
      <c r="J75" s="8"/>
      <c r="K75" s="8"/>
      <c r="L75" s="8"/>
      <c r="M75" s="8"/>
      <c r="N75" s="8"/>
    </row>
    <row r="76" customFormat="false" ht="15" hidden="false" customHeight="false" outlineLevel="0" collapsed="false">
      <c r="A76" s="4" t="s">
        <v>284</v>
      </c>
      <c r="C76" s="39" t="n">
        <v>0</v>
      </c>
      <c r="D76" s="39" t="n">
        <v>1</v>
      </c>
      <c r="E76" s="39" t="n">
        <v>2</v>
      </c>
      <c r="F76" s="39" t="n">
        <v>3</v>
      </c>
      <c r="G76" s="39" t="n">
        <v>4</v>
      </c>
      <c r="H76" s="39" t="n">
        <v>5</v>
      </c>
      <c r="I76" s="39" t="n">
        <v>6</v>
      </c>
      <c r="J76" s="39" t="n">
        <v>7</v>
      </c>
      <c r="K76" s="39" t="n">
        <v>8</v>
      </c>
      <c r="L76" s="39" t="n">
        <v>9</v>
      </c>
      <c r="M76" s="39" t="n">
        <v>10</v>
      </c>
    </row>
    <row r="77" customFormat="false" ht="15" hidden="false" customHeight="false" outlineLevel="0" collapsed="false">
      <c r="A77" s="9" t="s">
        <v>285</v>
      </c>
      <c r="C77" s="40" t="n">
        <f aca="false">cf_arr</f>
        <v>220</v>
      </c>
      <c r="D77" s="36" t="n">
        <f aca="false">C77*(1+lv_g)</f>
        <v>264</v>
      </c>
      <c r="E77" s="36" t="n">
        <f aca="false">D77*(1+lv_g)</f>
        <v>316.8</v>
      </c>
      <c r="F77" s="36" t="n">
        <f aca="false">E77*(1+lv_g)</f>
        <v>380.16</v>
      </c>
      <c r="G77" s="36" t="n">
        <f aca="false">F77*(1+lv_g)</f>
        <v>456.192</v>
      </c>
      <c r="H77" s="36" t="n">
        <f aca="false">G77*(1+lv_g)</f>
        <v>547.4304</v>
      </c>
      <c r="I77" s="36" t="n">
        <f aca="false">H77*(1+lv_g)</f>
        <v>656.91648</v>
      </c>
      <c r="J77" s="36" t="n">
        <f aca="false">I77*(1+lv_g)</f>
        <v>788.299776</v>
      </c>
      <c r="K77" s="36" t="n">
        <f aca="false">J77*(1+lv_g)</f>
        <v>945.9597312</v>
      </c>
      <c r="L77" s="36" t="n">
        <f aca="false">K77*(1+lv_g)</f>
        <v>1135.15167744</v>
      </c>
      <c r="M77" s="36" t="n">
        <f aca="false">L77*(1+lv_g)</f>
        <v>1362.182012928</v>
      </c>
    </row>
    <row r="78" customFormat="false" ht="15" hidden="false" customHeight="false" outlineLevel="0" collapsed="false">
      <c r="A78" s="9" t="s">
        <v>286</v>
      </c>
      <c r="C78" s="18" t="n">
        <f aca="false">1</f>
        <v>1</v>
      </c>
      <c r="D78" s="18" t="n">
        <f aca="false">IF(D76&gt;=a_opt_year+1,1-a_ctrl_churn,1)</f>
        <v>1</v>
      </c>
      <c r="E78" s="18" t="n">
        <f aca="false">IF(E76&gt;=a_opt_year+1,1-a_ctrl_churn,1)</f>
        <v>0.8</v>
      </c>
      <c r="F78" s="18" t="n">
        <f aca="false">IF(F76&gt;=a_opt_year+1,1-a_ctrl_churn,1)</f>
        <v>0.8</v>
      </c>
      <c r="G78" s="18" t="n">
        <f aca="false">IF(G76&gt;=a_opt_year+1,1-a_ctrl_churn,1)</f>
        <v>0.8</v>
      </c>
      <c r="H78" s="18" t="n">
        <f aca="false">IF(H76&gt;=a_opt_year+1,1-a_ctrl_churn,1)</f>
        <v>0.8</v>
      </c>
      <c r="I78" s="18" t="n">
        <f aca="false">IF(I76&gt;=a_opt_year+1,1-a_ctrl_churn,1)</f>
        <v>0.8</v>
      </c>
      <c r="J78" s="18" t="n">
        <f aca="false">IF(J76&gt;=a_opt_year+1,1-a_ctrl_churn,1)</f>
        <v>0.8</v>
      </c>
      <c r="K78" s="18" t="n">
        <f aca="false">IF(K76&gt;=a_opt_year+1,1-a_ctrl_churn,1)</f>
        <v>0.8</v>
      </c>
      <c r="L78" s="18" t="n">
        <f aca="false">IF(L76&gt;=a_opt_year+1,1-a_ctrl_churn,1)</f>
        <v>0.8</v>
      </c>
      <c r="M78" s="18" t="n">
        <f aca="false">IF(M76&gt;=a_opt_year+1,1-a_ctrl_churn,1)</f>
        <v>0.8</v>
      </c>
    </row>
    <row r="79" customFormat="false" ht="15" hidden="false" customHeight="false" outlineLevel="0" collapsed="false">
      <c r="A79" s="4" t="s">
        <v>287</v>
      </c>
      <c r="C79" s="41" t="n">
        <f aca="false">C77*C78</f>
        <v>220</v>
      </c>
      <c r="D79" s="41" t="n">
        <f aca="false">D77*D78</f>
        <v>264</v>
      </c>
      <c r="E79" s="41" t="n">
        <f aca="false">E77*E78</f>
        <v>253.44</v>
      </c>
      <c r="F79" s="41" t="n">
        <f aca="false">F77*F78</f>
        <v>304.128</v>
      </c>
      <c r="G79" s="41" t="n">
        <f aca="false">G77*G78</f>
        <v>364.9536</v>
      </c>
      <c r="H79" s="41" t="n">
        <f aca="false">H77*H78</f>
        <v>437.94432</v>
      </c>
      <c r="I79" s="41" t="n">
        <f aca="false">I77*I78</f>
        <v>525.533184</v>
      </c>
      <c r="J79" s="41" t="n">
        <f aca="false">J77*J78</f>
        <v>630.6398208</v>
      </c>
      <c r="K79" s="41" t="n">
        <f aca="false">K77*K78</f>
        <v>756.76778496</v>
      </c>
      <c r="L79" s="41" t="n">
        <f aca="false">L77*L78</f>
        <v>908.121341952</v>
      </c>
      <c r="M79" s="41" t="n">
        <f aca="false">M77*M78</f>
        <v>1089.7456103424</v>
      </c>
    </row>
    <row r="80" customFormat="false" ht="15" hidden="false" customHeight="false" outlineLevel="0" collapsed="false">
      <c r="A80" s="9" t="s">
        <v>288</v>
      </c>
      <c r="C80" s="18" t="n">
        <f aca="false">MIN(a_m0+a_mstep*C76,a_mcap)</f>
        <v>0</v>
      </c>
      <c r="D80" s="18" t="n">
        <f aca="false">MIN(a_m0+a_mstep*D76,a_mcap)</f>
        <v>0.05</v>
      </c>
      <c r="E80" s="18" t="n">
        <f aca="false">MIN(a_m0+a_mstep*E76,a_mcap)</f>
        <v>0.1</v>
      </c>
      <c r="F80" s="18" t="n">
        <f aca="false">MIN(a_m0+a_mstep*F76,a_mcap)</f>
        <v>0.15</v>
      </c>
      <c r="G80" s="18" t="n">
        <f aca="false">MIN(a_m0+a_mstep*G76,a_mcap)</f>
        <v>0.2</v>
      </c>
      <c r="H80" s="18" t="n">
        <f aca="false">MIN(a_m0+a_mstep*H76,a_mcap)</f>
        <v>0.25</v>
      </c>
      <c r="I80" s="18" t="n">
        <f aca="false">MIN(a_m0+a_mstep*I76,a_mcap)</f>
        <v>0.25</v>
      </c>
      <c r="J80" s="18" t="n">
        <f aca="false">MIN(a_m0+a_mstep*J76,a_mcap)</f>
        <v>0.25</v>
      </c>
      <c r="K80" s="18" t="n">
        <f aca="false">MIN(a_m0+a_mstep*K76,a_mcap)</f>
        <v>0.25</v>
      </c>
      <c r="L80" s="18" t="n">
        <f aca="false">MIN(a_m0+a_mstep*L76,a_mcap)</f>
        <v>0.25</v>
      </c>
      <c r="M80" s="18" t="n">
        <f aca="false">MIN(a_m0+a_mstep*M76,a_mcap)</f>
        <v>0.25</v>
      </c>
    </row>
    <row r="81" customFormat="false" ht="15" hidden="false" customHeight="false" outlineLevel="0" collapsed="false">
      <c r="A81" s="9" t="s">
        <v>289</v>
      </c>
      <c r="C81" s="36" t="n">
        <f aca="false">IF(C76=a_opt_year+1,a_sticky*(C77-C79)*(1-C80),0)</f>
        <v>0</v>
      </c>
      <c r="D81" s="36" t="n">
        <f aca="false">IF(D76=a_opt_year+1,a_sticky*(D77-D79)*(1-D80),0)</f>
        <v>0</v>
      </c>
      <c r="E81" s="36" t="n">
        <f aca="false">IF(E76=a_opt_year+1,a_sticky*(E77-E79)*(1-E80),0)</f>
        <v>28.512</v>
      </c>
      <c r="F81" s="36" t="n">
        <f aca="false">IF(F76=a_opt_year+1,a_sticky*(F77-F79)*(1-F80),0)</f>
        <v>0</v>
      </c>
      <c r="G81" s="36" t="n">
        <f aca="false">IF(G76=a_opt_year+1,a_sticky*(G77-G79)*(1-G80),0)</f>
        <v>0</v>
      </c>
      <c r="H81" s="36" t="n">
        <f aca="false">IF(H76=a_opt_year+1,a_sticky*(H77-H79)*(1-H80),0)</f>
        <v>0</v>
      </c>
      <c r="I81" s="36" t="n">
        <f aca="false">IF(I76=a_opt_year+1,a_sticky*(I77-I79)*(1-I80),0)</f>
        <v>0</v>
      </c>
      <c r="J81" s="36" t="n">
        <f aca="false">IF(J76=a_opt_year+1,a_sticky*(J77-J79)*(1-J80),0)</f>
        <v>0</v>
      </c>
      <c r="K81" s="36" t="n">
        <f aca="false">IF(K76=a_opt_year+1,a_sticky*(K77-K79)*(1-K80),0)</f>
        <v>0</v>
      </c>
      <c r="L81" s="36" t="n">
        <f aca="false">IF(L76=a_opt_year+1,a_sticky*(L77-L79)*(1-L80),0)</f>
        <v>0</v>
      </c>
      <c r="M81" s="36" t="n">
        <f aca="false">IF(M76=a_opt_year+1,a_sticky*(M77-M79)*(1-M80),0)</f>
        <v>0</v>
      </c>
    </row>
    <row r="82" customFormat="false" ht="15" hidden="false" customHeight="false" outlineLevel="0" collapsed="false">
      <c r="A82" s="4" t="s">
        <v>290</v>
      </c>
      <c r="C82" s="41" t="n">
        <f aca="false">C79*C80-C81</f>
        <v>0</v>
      </c>
      <c r="D82" s="41" t="n">
        <f aca="false">D79*D80-D81</f>
        <v>13.2</v>
      </c>
      <c r="E82" s="41" t="n">
        <f aca="false">E79*E80-E81</f>
        <v>-3.16799999999999</v>
      </c>
      <c r="F82" s="41" t="n">
        <f aca="false">F79*F80-F81</f>
        <v>45.6192</v>
      </c>
      <c r="G82" s="41" t="n">
        <f aca="false">G79*G80-G81</f>
        <v>72.99072</v>
      </c>
      <c r="H82" s="41" t="n">
        <f aca="false">H79*H80-H81</f>
        <v>109.48608</v>
      </c>
      <c r="I82" s="41" t="n">
        <f aca="false">I79*I80-I81</f>
        <v>131.383296</v>
      </c>
      <c r="J82" s="41" t="n">
        <f aca="false">J79*J80-J81</f>
        <v>157.6599552</v>
      </c>
      <c r="K82" s="41" t="n">
        <f aca="false">K79*K80-K81</f>
        <v>189.19194624</v>
      </c>
      <c r="L82" s="41" t="n">
        <f aca="false">L79*L80-L81</f>
        <v>227.030335488</v>
      </c>
      <c r="M82" s="41" t="n">
        <f aca="false">M79*M80-M81</f>
        <v>272.4364025856</v>
      </c>
    </row>
    <row r="83" customFormat="false" ht="15" hidden="false" customHeight="false" outlineLevel="0" collapsed="false">
      <c r="A83" s="9" t="s">
        <v>291</v>
      </c>
      <c r="C83" s="36" t="n">
        <f aca="false">C79*a_da</f>
        <v>6.6</v>
      </c>
      <c r="D83" s="36" t="n">
        <f aca="false">D79*a_da</f>
        <v>7.92</v>
      </c>
      <c r="E83" s="36" t="n">
        <f aca="false">E79*a_da</f>
        <v>7.6032</v>
      </c>
      <c r="F83" s="36" t="n">
        <f aca="false">F79*a_da</f>
        <v>9.12384</v>
      </c>
      <c r="G83" s="36" t="n">
        <f aca="false">G79*a_da</f>
        <v>10.948608</v>
      </c>
      <c r="H83" s="36" t="n">
        <f aca="false">H79*a_da</f>
        <v>13.1383296</v>
      </c>
      <c r="I83" s="36" t="n">
        <f aca="false">I79*a_da</f>
        <v>15.76599552</v>
      </c>
      <c r="J83" s="36" t="n">
        <f aca="false">J79*a_da</f>
        <v>18.919194624</v>
      </c>
      <c r="K83" s="36" t="n">
        <f aca="false">K79*a_da</f>
        <v>22.7030335488</v>
      </c>
      <c r="L83" s="36" t="n">
        <f aca="false">L79*a_da</f>
        <v>27.24364025856</v>
      </c>
      <c r="M83" s="36" t="n">
        <f aca="false">M79*a_da</f>
        <v>32.692368310272</v>
      </c>
    </row>
    <row r="84" customFormat="false" ht="15" hidden="false" customHeight="false" outlineLevel="0" collapsed="false">
      <c r="A84" s="9" t="s">
        <v>292</v>
      </c>
      <c r="C84" s="36" t="n">
        <f aca="false">C82-C83</f>
        <v>-6.6</v>
      </c>
      <c r="D84" s="36" t="n">
        <f aca="false">D82-D83</f>
        <v>5.28</v>
      </c>
      <c r="E84" s="36" t="n">
        <f aca="false">E82-E83</f>
        <v>-10.7712</v>
      </c>
      <c r="F84" s="36" t="n">
        <f aca="false">F82-F83</f>
        <v>36.49536</v>
      </c>
      <c r="G84" s="36" t="n">
        <f aca="false">G82-G83</f>
        <v>62.042112</v>
      </c>
      <c r="H84" s="36" t="n">
        <f aca="false">H82-H83</f>
        <v>96.3477504</v>
      </c>
      <c r="I84" s="36" t="n">
        <f aca="false">I82-I83</f>
        <v>115.61730048</v>
      </c>
      <c r="J84" s="36" t="n">
        <f aca="false">J82-J83</f>
        <v>138.740760576</v>
      </c>
      <c r="K84" s="36" t="n">
        <f aca="false">K82-K83</f>
        <v>166.4889126912</v>
      </c>
      <c r="L84" s="36" t="n">
        <f aca="false">L82-L83</f>
        <v>199.78669522944</v>
      </c>
      <c r="M84" s="36" t="n">
        <f aca="false">M82-M83</f>
        <v>239.744034275328</v>
      </c>
    </row>
    <row r="85" customFormat="false" ht="15" hidden="false" customHeight="false" outlineLevel="0" collapsed="false">
      <c r="A85" s="9" t="s">
        <v>293</v>
      </c>
      <c r="C85" s="36" t="n">
        <f aca="false">MAX(0,C84)*a_tax</f>
        <v>0</v>
      </c>
      <c r="D85" s="36" t="n">
        <f aca="false">MAX(0,D84)*a_tax</f>
        <v>1.32</v>
      </c>
      <c r="E85" s="36" t="n">
        <f aca="false">MAX(0,E84)*a_tax</f>
        <v>0</v>
      </c>
      <c r="F85" s="36" t="n">
        <f aca="false">MAX(0,F84)*a_tax</f>
        <v>9.12384</v>
      </c>
      <c r="G85" s="36" t="n">
        <f aca="false">MAX(0,G84)*a_tax</f>
        <v>15.510528</v>
      </c>
      <c r="H85" s="36" t="n">
        <f aca="false">MAX(0,H84)*a_tax</f>
        <v>24.0869376</v>
      </c>
      <c r="I85" s="36" t="n">
        <f aca="false">MAX(0,I84)*a_tax</f>
        <v>28.90432512</v>
      </c>
      <c r="J85" s="36" t="n">
        <f aca="false">MAX(0,J84)*a_tax</f>
        <v>34.685190144</v>
      </c>
      <c r="K85" s="36" t="n">
        <f aca="false">MAX(0,K84)*a_tax</f>
        <v>41.6222281728</v>
      </c>
      <c r="L85" s="36" t="n">
        <f aca="false">MAX(0,L84)*a_tax</f>
        <v>49.94667380736</v>
      </c>
      <c r="M85" s="36" t="n">
        <f aca="false">MAX(0,M84)*a_tax</f>
        <v>59.936008568832</v>
      </c>
    </row>
    <row r="86" customFormat="false" ht="15" hidden="false" customHeight="false" outlineLevel="0" collapsed="false">
      <c r="A86" s="4" t="s">
        <v>294</v>
      </c>
      <c r="C86" s="42" t="n">
        <f aca="false">cf_lim_pat</f>
        <v>0</v>
      </c>
      <c r="D86" s="41" t="n">
        <f aca="false">D84-D85</f>
        <v>3.96</v>
      </c>
      <c r="E86" s="41" t="n">
        <f aca="false">E84-E85</f>
        <v>-10.7712</v>
      </c>
      <c r="F86" s="41" t="n">
        <f aca="false">F84-F85</f>
        <v>27.37152</v>
      </c>
      <c r="G86" s="41" t="n">
        <f aca="false">G84-G85</f>
        <v>46.531584</v>
      </c>
      <c r="H86" s="41" t="n">
        <f aca="false">H84-H85</f>
        <v>72.2608128</v>
      </c>
      <c r="I86" s="41" t="n">
        <f aca="false">I84-I85</f>
        <v>86.71297536</v>
      </c>
      <c r="J86" s="41" t="n">
        <f aca="false">J84-J85</f>
        <v>104.055570432</v>
      </c>
      <c r="K86" s="41" t="n">
        <f aca="false">K84-K85</f>
        <v>124.8666845184</v>
      </c>
      <c r="L86" s="41" t="n">
        <f aca="false">L84-L85</f>
        <v>149.84002142208</v>
      </c>
      <c r="M86" s="41" t="n">
        <f aca="false">M84-M85</f>
        <v>179.808025706496</v>
      </c>
    </row>
    <row r="87" customFormat="false" ht="15" hidden="false" customHeight="false" outlineLevel="0" collapsed="false">
      <c r="A87" s="9" t="s">
        <v>295</v>
      </c>
      <c r="C87" s="36" t="n">
        <f aca="false">C79*a_capex</f>
        <v>6.6</v>
      </c>
      <c r="D87" s="36" t="n">
        <f aca="false">D79*a_capex</f>
        <v>7.92</v>
      </c>
      <c r="E87" s="36" t="n">
        <f aca="false">E79*a_capex</f>
        <v>7.6032</v>
      </c>
      <c r="F87" s="36" t="n">
        <f aca="false">F79*a_capex</f>
        <v>9.12384</v>
      </c>
      <c r="G87" s="36" t="n">
        <f aca="false">G79*a_capex</f>
        <v>10.948608</v>
      </c>
      <c r="H87" s="36" t="n">
        <f aca="false">H79*a_capex</f>
        <v>13.1383296</v>
      </c>
      <c r="I87" s="36" t="n">
        <f aca="false">I79*a_capex</f>
        <v>15.76599552</v>
      </c>
      <c r="J87" s="36" t="n">
        <f aca="false">J79*a_capex</f>
        <v>18.919194624</v>
      </c>
      <c r="K87" s="36" t="n">
        <f aca="false">K79*a_capex</f>
        <v>22.7030335488</v>
      </c>
      <c r="L87" s="36" t="n">
        <f aca="false">L79*a_capex</f>
        <v>27.24364025856</v>
      </c>
      <c r="M87" s="36" t="n">
        <f aca="false">M79*a_capex</f>
        <v>32.692368310272</v>
      </c>
    </row>
    <row r="88" customFormat="false" ht="15" hidden="false" customHeight="false" outlineLevel="0" collapsed="false">
      <c r="A88" s="9" t="s">
        <v>296</v>
      </c>
      <c r="C88" s="36" t="n">
        <f aca="false">0</f>
        <v>0</v>
      </c>
      <c r="D88" s="36" t="n">
        <f aca="false">a_wc*(D79-C79)</f>
        <v>2.2</v>
      </c>
      <c r="E88" s="36" t="n">
        <f aca="false">a_wc*(E79-D79)</f>
        <v>-0.527999999999999</v>
      </c>
      <c r="F88" s="36" t="n">
        <f aca="false">a_wc*(F79-E79)</f>
        <v>2.5344</v>
      </c>
      <c r="G88" s="36" t="n">
        <f aca="false">a_wc*(G79-F79)</f>
        <v>3.04128</v>
      </c>
      <c r="H88" s="36" t="n">
        <f aca="false">a_wc*(H79-G79)</f>
        <v>3.649536</v>
      </c>
      <c r="I88" s="36" t="n">
        <f aca="false">a_wc*(I79-H79)</f>
        <v>4.3794432</v>
      </c>
      <c r="J88" s="36" t="n">
        <f aca="false">a_wc*(J79-I79)</f>
        <v>5.25533184</v>
      </c>
      <c r="K88" s="36" t="n">
        <f aca="false">a_wc*(K79-J79)</f>
        <v>6.306398208</v>
      </c>
      <c r="L88" s="36" t="n">
        <f aca="false">a_wc*(L79-K79)</f>
        <v>7.5676778496</v>
      </c>
      <c r="M88" s="36" t="n">
        <f aca="false">a_wc*(M79-L79)</f>
        <v>9.08121341952</v>
      </c>
    </row>
    <row r="89" customFormat="false" ht="15" hidden="false" customHeight="false" outlineLevel="0" collapsed="false">
      <c r="A89" s="4" t="s">
        <v>297</v>
      </c>
      <c r="C89" s="36" t="n">
        <f aca="false">0</f>
        <v>0</v>
      </c>
      <c r="D89" s="41" t="n">
        <f aca="false">D86+D83-D87-D88</f>
        <v>1.76</v>
      </c>
      <c r="E89" s="41" t="n">
        <f aca="false">E86+E83-E87-E88</f>
        <v>-10.2432</v>
      </c>
      <c r="F89" s="41" t="n">
        <f aca="false">F86+F83-F87-F88</f>
        <v>24.83712</v>
      </c>
      <c r="G89" s="41" t="n">
        <f aca="false">G86+G83-G87-G88</f>
        <v>43.490304</v>
      </c>
      <c r="H89" s="41" t="n">
        <f aca="false">H86+H83-H87-H88</f>
        <v>68.6112768</v>
      </c>
      <c r="I89" s="41" t="n">
        <f aca="false">I86+I83-I87-I88</f>
        <v>82.33353216</v>
      </c>
      <c r="J89" s="41" t="n">
        <f aca="false">J86+J83-J87-J88</f>
        <v>98.800238592</v>
      </c>
      <c r="K89" s="41" t="n">
        <f aca="false">K86+K83-K87-K88</f>
        <v>118.5602863104</v>
      </c>
      <c r="L89" s="41" t="n">
        <f aca="false">L86+L83-L87-L88</f>
        <v>142.27234357248</v>
      </c>
      <c r="M89" s="41" t="n">
        <f aca="false">M86+M83-M87-M88</f>
        <v>170.726812286976</v>
      </c>
    </row>
    <row r="91" customFormat="false" ht="15" hidden="false" customHeight="false" outlineLevel="0" collapsed="false">
      <c r="A91" s="7" t="s">
        <v>748</v>
      </c>
      <c r="B91" s="8"/>
      <c r="C91" s="8"/>
      <c r="D91" s="8"/>
      <c r="E91" s="8"/>
      <c r="F91" s="8"/>
      <c r="G91" s="8"/>
      <c r="H91" s="8"/>
      <c r="I91" s="8"/>
      <c r="J91" s="8"/>
      <c r="K91" s="8"/>
      <c r="L91" s="8"/>
      <c r="M91" s="8"/>
      <c r="N91" s="8"/>
    </row>
    <row r="92" customFormat="false" ht="15" hidden="false" customHeight="false" outlineLevel="0" collapsed="false">
      <c r="A92" s="9" t="s">
        <v>749</v>
      </c>
      <c r="C92" s="32" t="n">
        <f aca="false">eo_max*MIN(1,MAX(0,((1-a_ctrl_churn)-a_eo_floor)/(a_eo_full-a_eo_floor)))</f>
        <v>488.4</v>
      </c>
    </row>
    <row r="93" customFormat="false" ht="15" hidden="false" customHeight="false" outlineLevel="0" collapsed="false">
      <c r="A93" s="9" t="s">
        <v>750</v>
      </c>
      <c r="C93" s="32" t="n">
        <f aca="false">eo_upfront+C92</f>
        <v>1562.88</v>
      </c>
    </row>
    <row r="94" customFormat="false" ht="15" hidden="false" customHeight="false" outlineLevel="0" collapsed="false">
      <c r="A94" s="4" t="s">
        <v>751</v>
      </c>
      <c r="C94" s="15" t="n">
        <f aca="false">lv_min_price+C93</f>
        <v>2212.88</v>
      </c>
    </row>
    <row r="95" customFormat="false" ht="15" hidden="false" customHeight="false" outlineLevel="0" collapsed="false">
      <c r="A95" s="9" t="s">
        <v>752</v>
      </c>
      <c r="C95" s="35" t="n">
        <f aca="false">C92/c_price</f>
        <v>0.263221894736842</v>
      </c>
    </row>
    <row r="96" customFormat="false" ht="15" hidden="false" customHeight="false" outlineLevel="0" collapsed="false">
      <c r="A96" s="9" t="s">
        <v>753</v>
      </c>
      <c r="C96" s="36" t="n">
        <f aca="false">(lv_min_price+a_integ_min)*a_yield*(1-a_tax)</f>
        <v>29.925</v>
      </c>
    </row>
    <row r="97" customFormat="false" ht="15" hidden="false" customHeight="false" outlineLevel="0" collapsed="false">
      <c r="A97" s="9" t="s">
        <v>754</v>
      </c>
      <c r="C97" s="36" t="n">
        <f aca="false">C96+eo_cash*a_yield*(1-a_tax)+a_ctrl_debt*a_kd*(1-a_tax)</f>
        <v>87.6516</v>
      </c>
    </row>
    <row r="98" customFormat="false" ht="15" hidden="false" customHeight="false" outlineLevel="0" collapsed="false">
      <c r="A98" s="9" t="s">
        <v>755</v>
      </c>
      <c r="C98" s="36" t="n">
        <f aca="false">a_ppa_on*C93*a_ppa_share/a_ppa_life*(1-a_tax)</f>
        <v>0</v>
      </c>
    </row>
    <row r="99" customFormat="false" ht="15" hidden="false" customHeight="false" outlineLevel="0" collapsed="false">
      <c r="A99" s="9" t="s">
        <v>756</v>
      </c>
      <c r="C99" s="46" t="n">
        <f aca="false">0</f>
        <v>0</v>
      </c>
      <c r="D99" s="46" t="n">
        <f aca="false">IF(D76&gt;a_opt_year,1,0)</f>
        <v>0</v>
      </c>
      <c r="E99" s="46" t="n">
        <f aca="false">IF(E76&gt;a_opt_year,1,0)</f>
        <v>1</v>
      </c>
      <c r="F99" s="46" t="n">
        <f aca="false">IF(F76&gt;a_opt_year,1,0)</f>
        <v>1</v>
      </c>
      <c r="G99" s="46" t="n">
        <f aca="false">IF(G76&gt;a_opt_year,1,0)</f>
        <v>1</v>
      </c>
      <c r="H99" s="46" t="n">
        <f aca="false">IF(H76&gt;a_opt_year,1,0)</f>
        <v>1</v>
      </c>
      <c r="I99" s="46" t="n">
        <f aca="false">IF(I76&gt;a_opt_year,1,0)</f>
        <v>1</v>
      </c>
      <c r="J99" s="46" t="n">
        <f aca="false">IF(J76&gt;a_opt_year,1,0)</f>
        <v>1</v>
      </c>
      <c r="K99" s="46" t="n">
        <f aca="false">IF(K76&gt;a_opt_year,1,0)</f>
        <v>1</v>
      </c>
      <c r="L99" s="46" t="n">
        <f aca="false">IF(L76&gt;a_opt_year,1,0)</f>
        <v>1</v>
      </c>
      <c r="M99" s="46" t="n">
        <f aca="false">IF(M76&gt;a_opt_year,1,0)</f>
        <v>1</v>
      </c>
    </row>
    <row r="100" customFormat="false" ht="15" hidden="false" customHeight="false" outlineLevel="0" collapsed="false">
      <c r="A100" s="9" t="s">
        <v>757</v>
      </c>
      <c r="C100" s="35" t="n">
        <f aca="false">cf_shares</f>
        <v>64</v>
      </c>
      <c r="D100" s="35" t="n">
        <f aca="false">cf_shares+D99*C95</f>
        <v>64</v>
      </c>
      <c r="E100" s="35" t="n">
        <f aca="false">cf_shares+E99*C95</f>
        <v>64.2632218947368</v>
      </c>
      <c r="F100" s="35" t="n">
        <f aca="false">cf_shares+F99*C95</f>
        <v>64.2632218947368</v>
      </c>
      <c r="G100" s="35" t="n">
        <f aca="false">cf_shares+G99*C95</f>
        <v>64.2632218947368</v>
      </c>
      <c r="H100" s="35" t="n">
        <f aca="false">cf_shares+H99*C95</f>
        <v>64.2632218947368</v>
      </c>
      <c r="I100" s="35" t="n">
        <f aca="false">cf_shares+I99*C95</f>
        <v>64.2632218947368</v>
      </c>
      <c r="J100" s="35" t="n">
        <f aca="false">cf_shares+J99*C95</f>
        <v>64.2632218947368</v>
      </c>
      <c r="K100" s="35" t="n">
        <f aca="false">cf_shares+K99*C95</f>
        <v>64.2632218947368</v>
      </c>
      <c r="L100" s="35" t="n">
        <f aca="false">cf_shares+L99*C95</f>
        <v>64.2632218947368</v>
      </c>
      <c r="M100" s="35" t="n">
        <f aca="false">cf_shares+M99*C95</f>
        <v>64.2632218947368</v>
      </c>
    </row>
    <row r="101" customFormat="false" ht="15" hidden="false" customHeight="false" outlineLevel="0" collapsed="false">
      <c r="A101" s="4" t="s">
        <v>758</v>
      </c>
      <c r="C101" s="41" t="n">
        <f aca="false">-C96</f>
        <v>-29.925</v>
      </c>
      <c r="D101" s="41" t="n">
        <f aca="false">IF(D99=1,D86-C97-C98,lv_stake*D86-C96)</f>
        <v>-28.8954</v>
      </c>
      <c r="E101" s="41" t="n">
        <f aca="false">IF(E99=1,E86-C97-C98,lv_stake*E86-C96)</f>
        <v>-98.4228</v>
      </c>
      <c r="F101" s="41" t="n">
        <f aca="false">IF(F99=1,F86-C97-C98,lv_stake*F86-C96)</f>
        <v>-60.28008</v>
      </c>
      <c r="G101" s="41" t="n">
        <f aca="false">IF(G99=1,G86-C97-C98,lv_stake*G86-C96)</f>
        <v>-41.120016</v>
      </c>
      <c r="H101" s="41" t="n">
        <f aca="false">IF(H99=1,H86-C97-C98,lv_stake*H86-C96)</f>
        <v>-15.3907872</v>
      </c>
      <c r="I101" s="41" t="n">
        <f aca="false">IF(I99=1,I86-C97-C98,lv_stake*I86-C96)</f>
        <v>-0.938624640000001</v>
      </c>
      <c r="J101" s="41" t="n">
        <f aca="false">IF(J99=1,J86-C97-C98,lv_stake*J86-C96)</f>
        <v>16.403970432</v>
      </c>
      <c r="K101" s="41" t="n">
        <f aca="false">IF(K99=1,K86-C97-C98,lv_stake*K86-C96)</f>
        <v>37.2150845184</v>
      </c>
      <c r="L101" s="41" t="n">
        <f aca="false">IF(L99=1,L86-C97-C98,lv_stake*L86-C96)</f>
        <v>62.18842142208</v>
      </c>
      <c r="M101" s="41" t="n">
        <f aca="false">IF(M99=1,M86-C97-C98,lv_stake*M86-C96)</f>
        <v>92.156425706496</v>
      </c>
    </row>
    <row r="102" customFormat="false" ht="15" hidden="false" customHeight="false" outlineLevel="0" collapsed="false">
      <c r="A102" s="4" t="s">
        <v>451</v>
      </c>
      <c r="C102" s="48" t="n">
        <f aca="false">(cf_pat+C101)/cf_shares</f>
        <v>7.032421875</v>
      </c>
      <c r="D102" s="48" t="n">
        <f aca="false">(cf_pat*(1+a_pat_growth)^D76+D101)/D100</f>
        <v>7.048509375</v>
      </c>
      <c r="E102" s="48" t="n">
        <f aca="false">(cf_pat*(1+a_pat_growth)^E76+E101)/E100</f>
        <v>5.93772283352091</v>
      </c>
      <c r="F102" s="48" t="n">
        <f aca="false">(cf_pat*(1+a_pat_growth)^F76+F101)/F100</f>
        <v>6.53126170187205</v>
      </c>
      <c r="G102" s="48" t="n">
        <f aca="false">(cf_pat*(1+a_pat_growth)^G76+G101)/G100</f>
        <v>6.82941145899727</v>
      </c>
      <c r="H102" s="48" t="n">
        <f aca="false">(cf_pat*(1+a_pat_growth)^H76+H101)/H100</f>
        <v>7.229783989994</v>
      </c>
      <c r="I102" s="48" t="n">
        <f aca="false">(cf_pat*(1+a_pat_growth)^I76+I101)/I100</f>
        <v>7.45467409251131</v>
      </c>
      <c r="J102" s="48" t="n">
        <f aca="false">(cf_pat*(1+a_pat_growth)^J76+J101)/J100</f>
        <v>7.72454221553208</v>
      </c>
      <c r="K102" s="48" t="n">
        <f aca="false">(cf_pat*(1+a_pat_growth)^K76+K101)/K100</f>
        <v>8.048383963157</v>
      </c>
      <c r="L102" s="48" t="n">
        <f aca="false">(cf_pat*(1+a_pat_growth)^L76+L101)/L100</f>
        <v>8.43699406030691</v>
      </c>
      <c r="M102" s="48" t="n">
        <f aca="false">(cf_pat*(1+a_pat_growth)^M76+M101)/M100</f>
        <v>8.90332617688681</v>
      </c>
    </row>
    <row r="103" customFormat="false" ht="15" hidden="false" customHeight="false" outlineLevel="0" collapsed="false">
      <c r="A103" s="9" t="s">
        <v>452</v>
      </c>
      <c r="C103" s="18" t="n">
        <f aca="false">C102/cf_eps-1</f>
        <v>-0.06234375</v>
      </c>
      <c r="D103" s="18" t="n">
        <f aca="false">D102/cf_eps-1</f>
        <v>-0.06019875</v>
      </c>
      <c r="E103" s="18" t="n">
        <f aca="false">E102/cf_eps-1</f>
        <v>-0.208303622197212</v>
      </c>
      <c r="F103" s="18" t="n">
        <f aca="false">F102/cf_eps-1</f>
        <v>-0.12916510641706</v>
      </c>
      <c r="G103" s="18" t="n">
        <f aca="false">G102/cf_eps-1</f>
        <v>-0.0894118054670307</v>
      </c>
      <c r="H103" s="18" t="n">
        <f aca="false">H102/cf_eps-1</f>
        <v>-0.0360288013341339</v>
      </c>
      <c r="I103" s="18" t="n">
        <f aca="false">I102/cf_eps-1</f>
        <v>-0.00604345433182596</v>
      </c>
      <c r="J103" s="18" t="n">
        <f aca="false">J102/cf_eps-1</f>
        <v>0.0299389620709436</v>
      </c>
      <c r="K103" s="18" t="n">
        <f aca="false">K102/cf_eps-1</f>
        <v>0.0731178617542669</v>
      </c>
      <c r="L103" s="18" t="n">
        <f aca="false">L102/cf_eps-1</f>
        <v>0.124932541374255</v>
      </c>
      <c r="M103" s="18" t="n">
        <f aca="false">M102/cf_eps-1</f>
        <v>0.187110156918241</v>
      </c>
    </row>
    <row r="104" customFormat="false" ht="15" hidden="false" customHeight="false" outlineLevel="0" collapsed="false">
      <c r="A104" s="9" t="s">
        <v>759</v>
      </c>
      <c r="C104" s="36" t="n">
        <f aca="false">0</f>
        <v>0</v>
      </c>
      <c r="D104" s="36" t="n">
        <f aca="false">D99*a_ctrl_drag</f>
        <v>0</v>
      </c>
      <c r="E104" s="36" t="n">
        <f aca="false">E99*a_ctrl_drag</f>
        <v>0</v>
      </c>
      <c r="F104" s="36" t="n">
        <f aca="false">F99*a_ctrl_drag</f>
        <v>0</v>
      </c>
      <c r="G104" s="36" t="n">
        <f aca="false">G99*a_ctrl_drag</f>
        <v>0</v>
      </c>
      <c r="H104" s="36" t="n">
        <f aca="false">H99*a_ctrl_drag</f>
        <v>0</v>
      </c>
      <c r="I104" s="36" t="n">
        <f aca="false">I99*a_ctrl_drag</f>
        <v>0</v>
      </c>
      <c r="J104" s="36" t="n">
        <f aca="false">J99*a_ctrl_drag</f>
        <v>0</v>
      </c>
      <c r="K104" s="36" t="n">
        <f aca="false">K99*a_ctrl_drag</f>
        <v>0</v>
      </c>
      <c r="L104" s="36" t="n">
        <f aca="false">L99*a_ctrl_drag</f>
        <v>0</v>
      </c>
      <c r="M104" s="36" t="n">
        <f aca="false">M99*a_ctrl_drag</f>
        <v>0</v>
      </c>
    </row>
    <row r="105" customFormat="false" ht="15" hidden="false" customHeight="false" outlineLevel="0" collapsed="false">
      <c r="A105" s="4" t="s">
        <v>760</v>
      </c>
      <c r="C105" s="41" t="n">
        <f aca="false">-lv_min_price-a_integ_min</f>
        <v>-665</v>
      </c>
      <c r="D105" s="41" t="n">
        <f aca="false">IF(D99=1,D89-C97-D104-IF(D76=a_opt_year+1,a_integ_full+C93*a_fees_pct,0),-C96)</f>
        <v>-29.925</v>
      </c>
      <c r="E105" s="41" t="n">
        <f aca="false">IF(E99=1,E89-C97-E104-IF(E76=a_opt_year+1,a_integ_full+C93*a_fees_pct,0),-C96)</f>
        <v>-221.338</v>
      </c>
      <c r="F105" s="41" t="n">
        <f aca="false">IF(F99=1,F89-C97-F104-IF(F76=a_opt_year+1,a_integ_full+C93*a_fees_pct,0),-C96)</f>
        <v>-62.81448</v>
      </c>
      <c r="G105" s="41" t="n">
        <f aca="false">IF(G99=1,G89-C97-G104-IF(G76=a_opt_year+1,a_integ_full+C93*a_fees_pct,0),-C96)</f>
        <v>-44.161296</v>
      </c>
      <c r="H105" s="41" t="n">
        <f aca="false">IF(H99=1,H89-C97-H104-IF(H76=a_opt_year+1,a_integ_full+C93*a_fees_pct,0),-C96)</f>
        <v>-19.0403232</v>
      </c>
      <c r="I105" s="41" t="n">
        <f aca="false">IF(I99=1,I89-C97-I104-IF(I76=a_opt_year+1,a_integ_full+C93*a_fees_pct,0),-C96)</f>
        <v>-5.31806784</v>
      </c>
      <c r="J105" s="41" t="n">
        <f aca="false">IF(J99=1,J89-C97-J104-IF(J76=a_opt_year+1,a_integ_full+C93*a_fees_pct,0),-C96)</f>
        <v>11.148638592</v>
      </c>
      <c r="K105" s="41" t="n">
        <f aca="false">IF(K99=1,K89-C97-K104-IF(K76=a_opt_year+1,a_integ_full+C93*a_fees_pct,0),-C96)</f>
        <v>30.9086863104</v>
      </c>
      <c r="L105" s="41" t="n">
        <f aca="false">IF(L99=1,L89-C97-L104-IF(L76=a_opt_year+1,a_integ_full+C93*a_fees_pct,0),-C96)</f>
        <v>54.62074357248</v>
      </c>
      <c r="M105" s="41" t="n">
        <f aca="false">IF(M99=1,M89-C97-M104-IF(M76=a_opt_year+1,a_integ_full+C93*a_fees_pct,0),-C96)</f>
        <v>83.075212286976</v>
      </c>
    </row>
    <row r="106" customFormat="false" ht="15" hidden="false" customHeight="false" outlineLevel="0" collapsed="false">
      <c r="A106" s="9" t="s">
        <v>761</v>
      </c>
      <c r="C106" s="36" t="n">
        <f aca="false">0</f>
        <v>0</v>
      </c>
      <c r="D106" s="36" t="n">
        <f aca="false">IF(D76=a_opt_year,C93,0)</f>
        <v>1562.88</v>
      </c>
      <c r="E106" s="36" t="n">
        <f aca="false">IF(E76=a_opt_year,C93,0)</f>
        <v>0</v>
      </c>
      <c r="F106" s="36" t="n">
        <f aca="false">IF(F76=a_opt_year,C93,0)</f>
        <v>0</v>
      </c>
      <c r="G106" s="36" t="n">
        <f aca="false">IF(G76=a_opt_year,C93,0)</f>
        <v>0</v>
      </c>
      <c r="H106" s="36" t="n">
        <f aca="false">IF(H76=a_opt_year,C93,0)</f>
        <v>0</v>
      </c>
      <c r="I106" s="36" t="n">
        <f aca="false">IF(I76=a_opt_year,C93,0)</f>
        <v>0</v>
      </c>
      <c r="J106" s="36" t="n">
        <f aca="false">IF(J76=a_opt_year,C93,0)</f>
        <v>0</v>
      </c>
      <c r="K106" s="36" t="n">
        <f aca="false">IF(K76=a_opt_year,C93,0)</f>
        <v>0</v>
      </c>
      <c r="L106" s="36" t="n">
        <f aca="false">IF(L76=a_opt_year,C93,0)</f>
        <v>0</v>
      </c>
      <c r="M106" s="36" t="n">
        <f aca="false">IF(M76=a_opt_year,C93,0)</f>
        <v>0</v>
      </c>
    </row>
    <row r="107" customFormat="false" ht="15" hidden="false" customHeight="false" outlineLevel="0" collapsed="false">
      <c r="A107" s="9" t="s">
        <v>762</v>
      </c>
      <c r="C107" s="36" t="n">
        <f aca="false">-lv_min_price-a_integ_min</f>
        <v>-665</v>
      </c>
      <c r="D107" s="36" t="n">
        <f aca="false">C107+D105-D106</f>
        <v>-2257.805</v>
      </c>
      <c r="E107" s="36" t="n">
        <f aca="false">D107+E105-E106</f>
        <v>-2479.143</v>
      </c>
      <c r="F107" s="36" t="n">
        <f aca="false">E107+F105-F106</f>
        <v>-2541.95748</v>
      </c>
      <c r="G107" s="36" t="n">
        <f aca="false">F107+G105-G106</f>
        <v>-2586.118776</v>
      </c>
      <c r="H107" s="36" t="n">
        <f aca="false">G107+H105-H106</f>
        <v>-2605.1590992</v>
      </c>
      <c r="I107" s="36" t="n">
        <f aca="false">H107+I105-I106</f>
        <v>-2610.47716704</v>
      </c>
      <c r="J107" s="36" t="n">
        <f aca="false">I107+J105-J106</f>
        <v>-2599.328528448</v>
      </c>
      <c r="K107" s="36" t="n">
        <f aca="false">J107+K105-K106</f>
        <v>-2568.4198421376</v>
      </c>
      <c r="L107" s="36" t="n">
        <f aca="false">K107+L105-L106</f>
        <v>-2513.79909856512</v>
      </c>
      <c r="M107" s="36" t="n">
        <f aca="false">L107+M105-M106</f>
        <v>-2430.72388627814</v>
      </c>
    </row>
    <row r="108" customFormat="false" ht="15" hidden="false" customHeight="false" outlineLevel="0" collapsed="false">
      <c r="A108" s="9" t="s">
        <v>310</v>
      </c>
      <c r="C108" s="43" t="n">
        <f aca="false">1</f>
        <v>1</v>
      </c>
      <c r="D108" s="43" t="n">
        <f aca="false">1/(1+lv_wacc)^D76</f>
        <v>0.884955752212389</v>
      </c>
      <c r="E108" s="43" t="n">
        <f aca="false">1/(1+lv_wacc)^E76</f>
        <v>0.783146683373796</v>
      </c>
      <c r="F108" s="43" t="n">
        <f aca="false">1/(1+lv_wacc)^F76</f>
        <v>0.693050162277696</v>
      </c>
      <c r="G108" s="43" t="n">
        <f aca="false">1/(1+lv_wacc)^G76</f>
        <v>0.613318727679377</v>
      </c>
      <c r="H108" s="43" t="n">
        <f aca="false">1/(1+lv_wacc)^H76</f>
        <v>0.542759935999449</v>
      </c>
      <c r="I108" s="43" t="n">
        <f aca="false">1/(1+lv_wacc)^I76</f>
        <v>0.48031852743314</v>
      </c>
      <c r="J108" s="43" t="n">
        <f aca="false">1/(1+lv_wacc)^J76</f>
        <v>0.425060643746142</v>
      </c>
      <c r="K108" s="43" t="n">
        <f aca="false">1/(1+lv_wacc)^K76</f>
        <v>0.37615986172225</v>
      </c>
      <c r="L108" s="43" t="n">
        <f aca="false">1/(1+lv_wacc)^L76</f>
        <v>0.332884833382522</v>
      </c>
      <c r="M108" s="43" t="n">
        <f aca="false">1/(1+lv_wacc)^M76</f>
        <v>0.294588348126126</v>
      </c>
    </row>
    <row r="109" customFormat="false" ht="15" hidden="false" customHeight="false" outlineLevel="0" collapsed="false">
      <c r="A109" s="9" t="s">
        <v>763</v>
      </c>
      <c r="C109" s="46" t="n">
        <f aca="false">99</f>
        <v>99</v>
      </c>
      <c r="D109" s="46" t="n">
        <f aca="false">IF(AND(D99=1,D101&gt;=0),D76,99)</f>
        <v>99</v>
      </c>
      <c r="E109" s="46" t="n">
        <f aca="false">IF(AND(E99=1,E101&gt;=0),E76,99)</f>
        <v>99</v>
      </c>
      <c r="F109" s="46" t="n">
        <f aca="false">IF(AND(F99=1,F101&gt;=0),F76,99)</f>
        <v>99</v>
      </c>
      <c r="G109" s="46" t="n">
        <f aca="false">IF(AND(G99=1,G101&gt;=0),G76,99)</f>
        <v>99</v>
      </c>
      <c r="H109" s="46" t="n">
        <f aca="false">IF(AND(H99=1,H101&gt;=0),H76,99)</f>
        <v>99</v>
      </c>
      <c r="I109" s="46" t="n">
        <f aca="false">IF(AND(I99=1,I101&gt;=0),I76,99)</f>
        <v>99</v>
      </c>
      <c r="J109" s="46" t="n">
        <f aca="false">IF(AND(J99=1,J101&gt;=0),J76,99)</f>
        <v>7</v>
      </c>
      <c r="K109" s="46" t="n">
        <f aca="false">IF(AND(K99=1,K101&gt;=0),K76,99)</f>
        <v>8</v>
      </c>
      <c r="L109" s="46" t="n">
        <f aca="false">IF(AND(L99=1,L101&gt;=0),L76,99)</f>
        <v>9</v>
      </c>
      <c r="M109" s="46" t="n">
        <f aca="false">IF(AND(M99=1,M101&gt;=0),M76,99)</f>
        <v>10</v>
      </c>
    </row>
    <row r="110" customFormat="false" ht="15" hidden="false" customHeight="false" outlineLevel="0" collapsed="false">
      <c r="A110" s="9" t="s">
        <v>764</v>
      </c>
      <c r="C110" s="46" t="n">
        <f aca="false">99</f>
        <v>99</v>
      </c>
      <c r="D110" s="46" t="n">
        <f aca="false">IF(AND(D99=1,D105&gt;=0),D76,99)</f>
        <v>99</v>
      </c>
      <c r="E110" s="46" t="n">
        <f aca="false">IF(AND(E99=1,E105&gt;=0),E76,99)</f>
        <v>99</v>
      </c>
      <c r="F110" s="46" t="n">
        <f aca="false">IF(AND(F99=1,F105&gt;=0),F76,99)</f>
        <v>99</v>
      </c>
      <c r="G110" s="46" t="n">
        <f aca="false">IF(AND(G99=1,G105&gt;=0),G76,99)</f>
        <v>99</v>
      </c>
      <c r="H110" s="46" t="n">
        <f aca="false">IF(AND(H99=1,H105&gt;=0),H76,99)</f>
        <v>99</v>
      </c>
      <c r="I110" s="46" t="n">
        <f aca="false">IF(AND(I99=1,I105&gt;=0),I76,99)</f>
        <v>99</v>
      </c>
      <c r="J110" s="46" t="n">
        <f aca="false">IF(AND(J99=1,J105&gt;=0),J76,99)</f>
        <v>7</v>
      </c>
      <c r="K110" s="46" t="n">
        <f aca="false">IF(AND(K99=1,K105&gt;=0),K76,99)</f>
        <v>8</v>
      </c>
      <c r="L110" s="46" t="n">
        <f aca="false">IF(AND(L99=1,L105&gt;=0),L76,99)</f>
        <v>9</v>
      </c>
      <c r="M110" s="46" t="n">
        <f aca="false">IF(AND(M99=1,M105&gt;=0),M76,99)</f>
        <v>10</v>
      </c>
    </row>
    <row r="111" customFormat="false" ht="15" hidden="false" customHeight="false" outlineLevel="0" collapsed="false">
      <c r="A111" s="9" t="s">
        <v>765</v>
      </c>
      <c r="C111" s="36" t="n">
        <f aca="false">0</f>
        <v>0</v>
      </c>
      <c r="D111" s="36" t="n">
        <f aca="false">IF(D99=1,1,lv_stake)*D89</f>
        <v>0.4576</v>
      </c>
      <c r="E111" s="36" t="n">
        <f aca="false">IF(E99=1,1,lv_stake)*E89</f>
        <v>-10.2432</v>
      </c>
      <c r="F111" s="36" t="n">
        <f aca="false">IF(F99=1,1,lv_stake)*F89</f>
        <v>24.83712</v>
      </c>
      <c r="G111" s="36" t="n">
        <f aca="false">IF(G99=1,1,lv_stake)*G89</f>
        <v>43.490304</v>
      </c>
      <c r="H111" s="36" t="n">
        <f aca="false">IF(H99=1,1,lv_stake)*H89</f>
        <v>68.6112768</v>
      </c>
      <c r="I111" s="36" t="n">
        <f aca="false">IF(I99=1,1,lv_stake)*I89</f>
        <v>82.33353216</v>
      </c>
      <c r="J111" s="36" t="n">
        <f aca="false">IF(J99=1,1,lv_stake)*J89</f>
        <v>98.800238592</v>
      </c>
      <c r="K111" s="36" t="n">
        <f aca="false">IF(K99=1,1,lv_stake)*K89</f>
        <v>118.5602863104</v>
      </c>
      <c r="L111" s="36" t="n">
        <f aca="false">IF(L99=1,1,lv_stake)*L89</f>
        <v>142.27234357248</v>
      </c>
      <c r="M111" s="36" t="n">
        <f aca="false">IF(M99=1,1,lv_stake)*M89</f>
        <v>170.726812286976</v>
      </c>
    </row>
    <row r="112" customFormat="false" ht="15" hidden="false" customHeight="false" outlineLevel="0" collapsed="false">
      <c r="A112" s="4" t="s">
        <v>766</v>
      </c>
      <c r="C112" s="23" t="n">
        <f aca="false">MIN(D109:M109)</f>
        <v>7</v>
      </c>
    </row>
    <row r="113" customFormat="false" ht="15" hidden="false" customHeight="false" outlineLevel="0" collapsed="false">
      <c r="A113" s="4" t="s">
        <v>767</v>
      </c>
      <c r="C113" s="23" t="n">
        <f aca="false">MIN(D110:M110)</f>
        <v>7</v>
      </c>
    </row>
    <row r="114" customFormat="false" ht="15" hidden="false" customHeight="false" outlineLevel="0" collapsed="false">
      <c r="A114" s="4" t="s">
        <v>768</v>
      </c>
      <c r="C114" s="69" t="n">
        <f aca="false">IF(AND(C112-a_opt_year&lt;=a_be_gate,C113-a_opt_year&lt;=a_be_gate),1,0)</f>
        <v>0</v>
      </c>
    </row>
    <row r="115" customFormat="false" ht="15" hidden="false" customHeight="false" outlineLevel="0" collapsed="false">
      <c r="A115" s="4" t="s">
        <v>769</v>
      </c>
      <c r="C115" s="20" t="n">
        <f aca="false">SUMPRODUCT(D111:M111,D108:M108)+M89*(1+a_tg)/(lv_wacc-a_tg)*M108-SUMPRODUCT(D106:M106,D108:M108)-lv_min_price-a_integ_min-SUMPRODUCT(D104:M104,D108:M108)-(a_integ_full+C93*a_fees_pct)*INDEX(D108:M108,a_opt_year+1)</f>
        <v>-1187.33958986171</v>
      </c>
    </row>
    <row r="116" customFormat="false" ht="15" hidden="false" customHeight="false" outlineLevel="0" collapsed="false">
      <c r="A116" s="4" t="s">
        <v>581</v>
      </c>
      <c r="C116" s="25" t="n">
        <f aca="false">D102</f>
        <v>7.048509375</v>
      </c>
    </row>
    <row r="117" customFormat="false" ht="15" hidden="false" customHeight="false" outlineLevel="0" collapsed="false">
      <c r="A117" s="9" t="s">
        <v>736</v>
      </c>
      <c r="C117" s="50" t="n">
        <f aca="false">F102</f>
        <v>6.53126170187205</v>
      </c>
    </row>
    <row r="118" customFormat="false" ht="15" hidden="false" customHeight="false" outlineLevel="0" collapsed="false">
      <c r="A118" s="9" t="s">
        <v>770</v>
      </c>
      <c r="C118" s="50" t="n">
        <f aca="false">MIN(D102:M102)</f>
        <v>5.93772283352091</v>
      </c>
    </row>
    <row r="119" customFormat="false" ht="15" hidden="false" customHeight="false" outlineLevel="0" collapsed="false">
      <c r="A119" s="9" t="s">
        <v>771</v>
      </c>
      <c r="C119" s="32" t="n">
        <f aca="false">cf_cash-lv_min_price-a_integ_min-eo_cash-a_integ_full</f>
        <v>7560.52</v>
      </c>
    </row>
    <row r="120" customFormat="false" ht="15" hidden="false" customHeight="false" outlineLevel="0" collapsed="false">
      <c r="A120" s="9" t="s">
        <v>772</v>
      </c>
      <c r="C120" s="34" t="n">
        <f aca="false">(cf_debt+a_ctrl_debt)/cf_ebitda</f>
        <v>1.328125</v>
      </c>
    </row>
    <row r="122" customFormat="false" ht="15" hidden="false" customHeight="false" outlineLevel="0" collapsed="false">
      <c r="A122" s="7" t="s">
        <v>773</v>
      </c>
      <c r="B122" s="8"/>
      <c r="C122" s="8"/>
      <c r="D122" s="8"/>
      <c r="E122" s="8"/>
      <c r="F122" s="8"/>
      <c r="G122" s="8"/>
      <c r="H122" s="8"/>
      <c r="I122" s="8"/>
      <c r="J122" s="8"/>
      <c r="K122" s="8"/>
      <c r="L122" s="8"/>
      <c r="M122" s="8"/>
      <c r="N122" s="8"/>
    </row>
    <row r="123" customFormat="false" ht="15" hidden="false" customHeight="false" outlineLevel="0" collapsed="false">
      <c r="A123" s="4" t="s">
        <v>284</v>
      </c>
      <c r="C123" s="39" t="n">
        <v>0</v>
      </c>
      <c r="D123" s="39" t="n">
        <v>1</v>
      </c>
      <c r="E123" s="39" t="n">
        <v>2</v>
      </c>
      <c r="F123" s="39" t="n">
        <v>3</v>
      </c>
      <c r="G123" s="39" t="n">
        <v>4</v>
      </c>
      <c r="H123" s="39" t="n">
        <v>5</v>
      </c>
      <c r="I123" s="39" t="n">
        <v>6</v>
      </c>
      <c r="J123" s="39" t="n">
        <v>7</v>
      </c>
      <c r="K123" s="39" t="n">
        <v>8</v>
      </c>
      <c r="L123" s="39" t="n">
        <v>9</v>
      </c>
      <c r="M123" s="39" t="n">
        <v>10</v>
      </c>
    </row>
    <row r="124" customFormat="false" ht="15" hidden="false" customHeight="false" outlineLevel="0" collapsed="false">
      <c r="A124" s="9" t="s">
        <v>774</v>
      </c>
      <c r="C124" s="36" t="n">
        <f aca="false">0</f>
        <v>0</v>
      </c>
      <c r="D124" s="36" t="n">
        <f aca="false">IF(D123&lt;=3,a_jv_rev_y3*D123/3,C124*(1+lv_g))</f>
        <v>20</v>
      </c>
      <c r="E124" s="36" t="n">
        <f aca="false">IF(E123&lt;=3,a_jv_rev_y3*E123/3,D124*(1+lv_g))</f>
        <v>40</v>
      </c>
      <c r="F124" s="36" t="n">
        <f aca="false">IF(F123&lt;=3,a_jv_rev_y3*F123/3,E124*(1+lv_g))</f>
        <v>60</v>
      </c>
      <c r="G124" s="36" t="n">
        <f aca="false">IF(G123&lt;=3,a_jv_rev_y3*G123/3,F124*(1+lv_g))</f>
        <v>72</v>
      </c>
      <c r="H124" s="36" t="n">
        <f aca="false">IF(H123&lt;=3,a_jv_rev_y3*H123/3,G124*(1+lv_g))</f>
        <v>86.4</v>
      </c>
      <c r="I124" s="36" t="n">
        <f aca="false">IF(I123&lt;=3,a_jv_rev_y3*I123/3,H124*(1+lv_g))</f>
        <v>103.68</v>
      </c>
      <c r="J124" s="36" t="n">
        <f aca="false">IF(J123&lt;=3,a_jv_rev_y3*J123/3,I124*(1+lv_g))</f>
        <v>124.416</v>
      </c>
      <c r="K124" s="36" t="n">
        <f aca="false">IF(K123&lt;=3,a_jv_rev_y3*K123/3,J124*(1+lv_g))</f>
        <v>149.2992</v>
      </c>
      <c r="L124" s="36" t="n">
        <f aca="false">IF(L123&lt;=3,a_jv_rev_y3*L123/3,K124*(1+lv_g))</f>
        <v>179.15904</v>
      </c>
      <c r="M124" s="36" t="n">
        <f aca="false">IF(M123&lt;=3,a_jv_rev_y3*M123/3,L124*(1+lv_g))</f>
        <v>214.990848</v>
      </c>
    </row>
    <row r="125" customFormat="false" ht="15" hidden="false" customHeight="false" outlineLevel="0" collapsed="false">
      <c r="A125" s="9" t="s">
        <v>775</v>
      </c>
      <c r="C125" s="18" t="n">
        <f aca="false">0</f>
        <v>0</v>
      </c>
      <c r="D125" s="18" t="n">
        <f aca="false">MIN(a_mstep*D123,a_jv_margin)</f>
        <v>0.05</v>
      </c>
      <c r="E125" s="18" t="n">
        <f aca="false">MIN(a_mstep*E123,a_jv_margin)</f>
        <v>0.1</v>
      </c>
      <c r="F125" s="18" t="n">
        <f aca="false">MIN(a_mstep*F123,a_jv_margin)</f>
        <v>0.15</v>
      </c>
      <c r="G125" s="18" t="n">
        <f aca="false">MIN(a_mstep*G123,a_jv_margin)</f>
        <v>0.2</v>
      </c>
      <c r="H125" s="18" t="n">
        <f aca="false">MIN(a_mstep*H123,a_jv_margin)</f>
        <v>0.2</v>
      </c>
      <c r="I125" s="18" t="n">
        <f aca="false">MIN(a_mstep*I123,a_jv_margin)</f>
        <v>0.2</v>
      </c>
      <c r="J125" s="18" t="n">
        <f aca="false">MIN(a_mstep*J123,a_jv_margin)</f>
        <v>0.2</v>
      </c>
      <c r="K125" s="18" t="n">
        <f aca="false">MIN(a_mstep*K123,a_jv_margin)</f>
        <v>0.2</v>
      </c>
      <c r="L125" s="18" t="n">
        <f aca="false">MIN(a_mstep*L123,a_jv_margin)</f>
        <v>0.2</v>
      </c>
      <c r="M125" s="18" t="n">
        <f aca="false">MIN(a_mstep*M123,a_jv_margin)</f>
        <v>0.2</v>
      </c>
    </row>
    <row r="126" customFormat="false" ht="15" hidden="false" customHeight="false" outlineLevel="0" collapsed="false">
      <c r="A126" s="9" t="s">
        <v>776</v>
      </c>
      <c r="C126" s="36" t="n">
        <f aca="false">0</f>
        <v>0</v>
      </c>
      <c r="D126" s="36" t="n">
        <f aca="false">D124*D125*(1-a_tax)</f>
        <v>0.75</v>
      </c>
      <c r="E126" s="36" t="n">
        <f aca="false">E124*E125*(1-a_tax)</f>
        <v>3</v>
      </c>
      <c r="F126" s="36" t="n">
        <f aca="false">F124*F125*(1-a_tax)</f>
        <v>6.75</v>
      </c>
      <c r="G126" s="36" t="n">
        <f aca="false">G124*G125*(1-a_tax)</f>
        <v>10.8</v>
      </c>
      <c r="H126" s="36" t="n">
        <f aca="false">H124*H125*(1-a_tax)</f>
        <v>12.96</v>
      </c>
      <c r="I126" s="36" t="n">
        <f aca="false">I124*I125*(1-a_tax)</f>
        <v>15.552</v>
      </c>
      <c r="J126" s="36" t="n">
        <f aca="false">J124*J125*(1-a_tax)</f>
        <v>18.6624</v>
      </c>
      <c r="K126" s="36" t="n">
        <f aca="false">K124*K125*(1-a_tax)</f>
        <v>22.39488</v>
      </c>
      <c r="L126" s="36" t="n">
        <f aca="false">L124*L125*(1-a_tax)</f>
        <v>26.873856</v>
      </c>
      <c r="M126" s="36" t="n">
        <f aca="false">M124*M125*(1-a_tax)</f>
        <v>32.2486272</v>
      </c>
    </row>
    <row r="127" customFormat="false" ht="15" hidden="false" customHeight="false" outlineLevel="0" collapsed="false">
      <c r="A127" s="9" t="s">
        <v>777</v>
      </c>
      <c r="C127" s="36" t="n">
        <f aca="false">0</f>
        <v>0</v>
      </c>
      <c r="D127" s="36" t="n">
        <f aca="false">a_jv_paytm_share*D126</f>
        <v>0.45</v>
      </c>
      <c r="E127" s="36" t="n">
        <f aca="false">a_jv_paytm_share*E126</f>
        <v>1.8</v>
      </c>
      <c r="F127" s="36" t="n">
        <f aca="false">a_jv_paytm_share*F126</f>
        <v>4.05</v>
      </c>
      <c r="G127" s="36" t="n">
        <f aca="false">a_jv_paytm_share*G126</f>
        <v>6.48</v>
      </c>
      <c r="H127" s="36" t="n">
        <f aca="false">a_jv_paytm_share*H126</f>
        <v>7.776</v>
      </c>
      <c r="I127" s="36" t="n">
        <f aca="false">a_jv_paytm_share*I126</f>
        <v>9.3312</v>
      </c>
      <c r="J127" s="36" t="n">
        <f aca="false">a_jv_paytm_share*J126</f>
        <v>11.19744</v>
      </c>
      <c r="K127" s="36" t="n">
        <f aca="false">a_jv_paytm_share*K126</f>
        <v>13.436928</v>
      </c>
      <c r="L127" s="36" t="n">
        <f aca="false">a_jv_paytm_share*L126</f>
        <v>16.1243136</v>
      </c>
      <c r="M127" s="36" t="n">
        <f aca="false">a_jv_paytm_share*M126</f>
        <v>19.34917632</v>
      </c>
    </row>
    <row r="128" customFormat="false" ht="15" hidden="false" customHeight="false" outlineLevel="0" collapsed="false">
      <c r="A128" s="9" t="s">
        <v>778</v>
      </c>
      <c r="C128" s="36" t="n">
        <f aca="false">a_jv_capital*a_yield*(1-a_tax)</f>
        <v>13.5</v>
      </c>
    </row>
    <row r="129" customFormat="false" ht="15" hidden="false" customHeight="false" outlineLevel="0" collapsed="false">
      <c r="A129" s="9" t="s">
        <v>779</v>
      </c>
      <c r="C129" s="36" t="n">
        <f aca="false">-C128</f>
        <v>-13.5</v>
      </c>
      <c r="D129" s="36" t="n">
        <f aca="false">D127-C128</f>
        <v>-13.05</v>
      </c>
      <c r="E129" s="36" t="n">
        <f aca="false">E127-C128</f>
        <v>-11.7</v>
      </c>
      <c r="F129" s="36" t="n">
        <f aca="false">F127-C128</f>
        <v>-9.45</v>
      </c>
      <c r="G129" s="36" t="n">
        <f aca="false">G127-C128</f>
        <v>-7.02</v>
      </c>
      <c r="H129" s="36" t="n">
        <f aca="false">H127-C128</f>
        <v>-5.724</v>
      </c>
      <c r="I129" s="36" t="n">
        <f aca="false">I127-C128</f>
        <v>-4.1688</v>
      </c>
      <c r="J129" s="36" t="n">
        <f aca="false">J127-C128</f>
        <v>-2.30256</v>
      </c>
      <c r="K129" s="36" t="n">
        <f aca="false">K127-C128</f>
        <v>-0.063072</v>
      </c>
      <c r="L129" s="36" t="n">
        <f aca="false">L127-C128</f>
        <v>2.6243136</v>
      </c>
      <c r="M129" s="36" t="n">
        <f aca="false">M127-C128</f>
        <v>5.84917632</v>
      </c>
    </row>
    <row r="130" customFormat="false" ht="15" hidden="false" customHeight="false" outlineLevel="0" collapsed="false">
      <c r="A130" s="4" t="s">
        <v>451</v>
      </c>
      <c r="C130" s="48" t="n">
        <f aca="false">(cf_pat+C129)/cf_shares</f>
        <v>7.2890625</v>
      </c>
      <c r="D130" s="48" t="n">
        <f aca="false">(cf_pat*(1+a_pat_growth)^D123+D129)/cf_shares</f>
        <v>7.29609375</v>
      </c>
      <c r="E130" s="48" t="n">
        <f aca="false">(cf_pat*(1+a_pat_growth)^E123+E129)/cf_shares</f>
        <v>7.3171875</v>
      </c>
      <c r="F130" s="48" t="n">
        <f aca="false">(cf_pat*(1+a_pat_growth)^F123+F129)/cf_shares</f>
        <v>7.35234375</v>
      </c>
      <c r="G130" s="48" t="n">
        <f aca="false">(cf_pat*(1+a_pat_growth)^G123+G129)/cf_shares</f>
        <v>7.3903125</v>
      </c>
      <c r="H130" s="48" t="n">
        <f aca="false">(cf_pat*(1+a_pat_growth)^H123+H129)/cf_shares</f>
        <v>7.4105625</v>
      </c>
      <c r="I130" s="48" t="n">
        <f aca="false">(cf_pat*(1+a_pat_growth)^I123+I129)/cf_shares</f>
        <v>7.4348625</v>
      </c>
      <c r="J130" s="48" t="n">
        <f aca="false">(cf_pat*(1+a_pat_growth)^J123+J129)/cf_shares</f>
        <v>7.4640225</v>
      </c>
      <c r="K130" s="48" t="n">
        <f aca="false">(cf_pat*(1+a_pat_growth)^K123+K129)/cf_shares</f>
        <v>7.4990145</v>
      </c>
      <c r="L130" s="48" t="n">
        <f aca="false">(cf_pat*(1+a_pat_growth)^L123+L129)/cf_shares</f>
        <v>7.5410049</v>
      </c>
      <c r="M130" s="48" t="n">
        <f aca="false">(cf_pat*(1+a_pat_growth)^M123+M129)/cf_shares</f>
        <v>7.59139338</v>
      </c>
    </row>
    <row r="131" customFormat="false" ht="15" hidden="false" customHeight="false" outlineLevel="0" collapsed="false">
      <c r="A131" s="9" t="s">
        <v>780</v>
      </c>
      <c r="C131" s="36" t="n">
        <f aca="false">-a_jv_capital</f>
        <v>-300</v>
      </c>
      <c r="D131" s="36" t="n">
        <f aca="false">a_jv_paytm_share*(D126-D124*a_capex)-C128</f>
        <v>-13.41</v>
      </c>
      <c r="E131" s="36" t="n">
        <f aca="false">a_jv_paytm_share*(E126-E124*a_capex)-C128</f>
        <v>-12.42</v>
      </c>
      <c r="F131" s="36" t="n">
        <f aca="false">a_jv_paytm_share*(F126-F124*a_capex)-C128</f>
        <v>-10.53</v>
      </c>
      <c r="G131" s="36" t="n">
        <f aca="false">a_jv_paytm_share*(G126-G124*a_capex)-C128</f>
        <v>-8.316</v>
      </c>
      <c r="H131" s="36" t="n">
        <f aca="false">a_jv_paytm_share*(H126-H124*a_capex)-C128</f>
        <v>-7.2792</v>
      </c>
      <c r="I131" s="36" t="n">
        <f aca="false">a_jv_paytm_share*(I126-I124*a_capex)-C128</f>
        <v>-6.03504</v>
      </c>
      <c r="J131" s="36" t="n">
        <f aca="false">a_jv_paytm_share*(J126-J124*a_capex)-C128</f>
        <v>-4.542048</v>
      </c>
      <c r="K131" s="36" t="n">
        <f aca="false">a_jv_paytm_share*(K126-K124*a_capex)-C128</f>
        <v>-2.7504576</v>
      </c>
      <c r="L131" s="36" t="n">
        <f aca="false">a_jv_paytm_share*(L126-L124*a_capex)-C128</f>
        <v>-0.600549120000002</v>
      </c>
      <c r="M131" s="36" t="n">
        <f aca="false">a_jv_paytm_share*(M126-M124*a_capex)-C128</f>
        <v>1.979341056</v>
      </c>
    </row>
    <row r="132" customFormat="false" ht="15" hidden="false" customHeight="false" outlineLevel="0" collapsed="false">
      <c r="A132" s="9" t="s">
        <v>310</v>
      </c>
      <c r="C132" s="43" t="n">
        <f aca="false">1</f>
        <v>1</v>
      </c>
      <c r="D132" s="43" t="n">
        <f aca="false">1/(1+lv_wacc)^D123</f>
        <v>0.884955752212389</v>
      </c>
      <c r="E132" s="43" t="n">
        <f aca="false">1/(1+lv_wacc)^E123</f>
        <v>0.783146683373796</v>
      </c>
      <c r="F132" s="43" t="n">
        <f aca="false">1/(1+lv_wacc)^F123</f>
        <v>0.693050162277696</v>
      </c>
      <c r="G132" s="43" t="n">
        <f aca="false">1/(1+lv_wacc)^G123</f>
        <v>0.613318727679377</v>
      </c>
      <c r="H132" s="43" t="n">
        <f aca="false">1/(1+lv_wacc)^H123</f>
        <v>0.542759935999449</v>
      </c>
      <c r="I132" s="43" t="n">
        <f aca="false">1/(1+lv_wacc)^I123</f>
        <v>0.48031852743314</v>
      </c>
      <c r="J132" s="43" t="n">
        <f aca="false">1/(1+lv_wacc)^J123</f>
        <v>0.425060643746142</v>
      </c>
      <c r="K132" s="43" t="n">
        <f aca="false">1/(1+lv_wacc)^K123</f>
        <v>0.37615986172225</v>
      </c>
      <c r="L132" s="43" t="n">
        <f aca="false">1/(1+lv_wacc)^L123</f>
        <v>0.332884833382522</v>
      </c>
      <c r="M132" s="43" t="n">
        <f aca="false">1/(1+lv_wacc)^M123</f>
        <v>0.294588348126126</v>
      </c>
    </row>
    <row r="133" customFormat="false" ht="15" hidden="false" customHeight="false" outlineLevel="0" collapsed="false">
      <c r="A133" s="4" t="s">
        <v>781</v>
      </c>
      <c r="C133" s="20" t="n">
        <f aca="false">SUMPRODUCT(D131:M131,D132:M132)-a_jv_capital+a_jv_paytm_share*(M126-M124*a_capex)*(1+a_tg)/(lv_wacc-a_tg)*M132</f>
        <v>-283.573355481788</v>
      </c>
    </row>
    <row r="134" customFormat="false" ht="15" hidden="false" customHeight="false" outlineLevel="0" collapsed="false">
      <c r="A134" s="9" t="s">
        <v>581</v>
      </c>
      <c r="C134" s="50" t="n">
        <f aca="false">D130</f>
        <v>7.29609375</v>
      </c>
    </row>
    <row r="135" customFormat="false" ht="15" hidden="false" customHeight="false" outlineLevel="0" collapsed="false">
      <c r="A135" s="9" t="s">
        <v>736</v>
      </c>
      <c r="C135" s="50" t="n">
        <f aca="false">F130</f>
        <v>7.35234375</v>
      </c>
    </row>
    <row r="137" customFormat="false" ht="15" hidden="false" customHeight="false" outlineLevel="0" collapsed="false">
      <c r="A137" s="7" t="s">
        <v>782</v>
      </c>
      <c r="B137" s="8"/>
      <c r="C137" s="8"/>
      <c r="D137" s="8"/>
      <c r="E137" s="8"/>
      <c r="F137" s="8"/>
      <c r="G137" s="8"/>
      <c r="H137" s="8"/>
      <c r="I137" s="8"/>
      <c r="J137" s="8"/>
      <c r="K137" s="8"/>
      <c r="L137" s="8"/>
      <c r="M137" s="8"/>
      <c r="N137" s="8"/>
    </row>
    <row r="138" customFormat="false" ht="15" hidden="false" customHeight="false" outlineLevel="0" collapsed="false">
      <c r="A138" s="4" t="s">
        <v>284</v>
      </c>
      <c r="C138" s="39" t="n">
        <v>0</v>
      </c>
      <c r="D138" s="39" t="n">
        <v>1</v>
      </c>
      <c r="E138" s="39" t="n">
        <v>2</v>
      </c>
      <c r="F138" s="39" t="n">
        <v>3</v>
      </c>
      <c r="G138" s="39" t="n">
        <v>4</v>
      </c>
      <c r="H138" s="39" t="n">
        <v>5</v>
      </c>
      <c r="I138" s="39" t="n">
        <v>6</v>
      </c>
      <c r="J138" s="39" t="n">
        <v>7</v>
      </c>
      <c r="K138" s="39" t="n">
        <v>8</v>
      </c>
      <c r="L138" s="39" t="n">
        <v>9</v>
      </c>
      <c r="M138" s="39" t="n">
        <v>10</v>
      </c>
    </row>
    <row r="139" customFormat="false" ht="15" hidden="false" customHeight="false" outlineLevel="0" collapsed="false">
      <c r="A139" s="9" t="s">
        <v>783</v>
      </c>
      <c r="C139" s="36" t="n">
        <f aca="false">0</f>
        <v>0</v>
      </c>
      <c r="D139" s="36" t="n">
        <f aca="false">IF(D138&lt;=a_build_years,-a_build_cost/a_build_years,0)</f>
        <v>-83.3333333333333</v>
      </c>
      <c r="E139" s="36" t="n">
        <f aca="false">IF(E138&lt;=a_build_years,-a_build_cost/a_build_years,0)</f>
        <v>-83.3333333333333</v>
      </c>
      <c r="F139" s="36" t="n">
        <f aca="false">IF(F138&lt;=a_build_years,-a_build_cost/a_build_years,0)</f>
        <v>-83.3333333333333</v>
      </c>
      <c r="G139" s="36" t="n">
        <f aca="false">IF(G138&lt;=a_build_years,-a_build_cost/a_build_years,0)</f>
        <v>0</v>
      </c>
      <c r="H139" s="36" t="n">
        <f aca="false">IF(H138&lt;=a_build_years,-a_build_cost/a_build_years,0)</f>
        <v>0</v>
      </c>
      <c r="I139" s="36" t="n">
        <f aca="false">IF(I138&lt;=a_build_years,-a_build_cost/a_build_years,0)</f>
        <v>0</v>
      </c>
      <c r="J139" s="36" t="n">
        <f aca="false">IF(J138&lt;=a_build_years,-a_build_cost/a_build_years,0)</f>
        <v>0</v>
      </c>
      <c r="K139" s="36" t="n">
        <f aca="false">IF(K138&lt;=a_build_years,-a_build_cost/a_build_years,0)</f>
        <v>0</v>
      </c>
      <c r="L139" s="36" t="n">
        <f aca="false">IF(L138&lt;=a_build_years,-a_build_cost/a_build_years,0)</f>
        <v>0</v>
      </c>
      <c r="M139" s="36" t="n">
        <f aca="false">IF(M138&lt;=a_build_years,-a_build_cost/a_build_years,0)</f>
        <v>0</v>
      </c>
    </row>
    <row r="140" customFormat="false" ht="15" hidden="false" customHeight="false" outlineLevel="0" collapsed="false">
      <c r="A140" s="9" t="s">
        <v>310</v>
      </c>
      <c r="C140" s="43" t="n">
        <f aca="false">1</f>
        <v>1</v>
      </c>
      <c r="D140" s="43" t="n">
        <f aca="false">1/(1+lv_wacc)^D138</f>
        <v>0.884955752212389</v>
      </c>
      <c r="E140" s="43" t="n">
        <f aca="false">1/(1+lv_wacc)^E138</f>
        <v>0.783146683373796</v>
      </c>
      <c r="F140" s="43" t="n">
        <f aca="false">1/(1+lv_wacc)^F138</f>
        <v>0.693050162277696</v>
      </c>
      <c r="G140" s="43" t="n">
        <f aca="false">1/(1+lv_wacc)^G138</f>
        <v>0.613318727679377</v>
      </c>
      <c r="H140" s="43" t="n">
        <f aca="false">1/(1+lv_wacc)^H138</f>
        <v>0.542759935999449</v>
      </c>
      <c r="I140" s="43" t="n">
        <f aca="false">1/(1+lv_wacc)^I138</f>
        <v>0.48031852743314</v>
      </c>
      <c r="J140" s="43" t="n">
        <f aca="false">1/(1+lv_wacc)^J138</f>
        <v>0.425060643746142</v>
      </c>
      <c r="K140" s="43" t="n">
        <f aca="false">1/(1+lv_wacc)^K138</f>
        <v>0.37615986172225</v>
      </c>
      <c r="L140" s="43" t="n">
        <f aca="false">1/(1+lv_wacc)^L138</f>
        <v>0.332884833382522</v>
      </c>
      <c r="M140" s="43" t="n">
        <f aca="false">1/(1+lv_wacc)^M138</f>
        <v>0.294588348126126</v>
      </c>
    </row>
    <row r="141" customFormat="false" ht="15" hidden="false" customHeight="false" outlineLevel="0" collapsed="false">
      <c r="A141" s="4" t="s">
        <v>784</v>
      </c>
      <c r="C141" s="20" t="n">
        <f aca="false">SUMPRODUCT(D139:M139,D140:M140)</f>
        <v>-196.762716488657</v>
      </c>
    </row>
    <row r="142" customFormat="false" ht="15" hidden="false" customHeight="false" outlineLevel="0" collapsed="false">
      <c r="A142" s="9" t="s">
        <v>785</v>
      </c>
      <c r="C142" s="50" t="n">
        <f aca="false">(cf_pat+D139*(1-a_tax))/cf_shares</f>
        <v>6.5234375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8F00"/>
    <pageSetUpPr fitToPage="false"/>
  </sheetPr>
  <dimension ref="A1:H3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58"/>
    <col collapsed="false" customWidth="true" hidden="false" outlineLevel="0" max="8" min="2" style="0" width="14"/>
  </cols>
  <sheetData>
    <row r="1" customFormat="false" ht="18" hidden="false" customHeight="true" outlineLevel="0" collapsed="false">
      <c r="A1" s="6" t="s">
        <v>786</v>
      </c>
      <c r="B1" s="2"/>
      <c r="C1" s="2"/>
      <c r="D1" s="2"/>
      <c r="E1" s="2"/>
      <c r="F1" s="2"/>
      <c r="G1" s="2"/>
      <c r="H1" s="2"/>
    </row>
    <row r="3" customFormat="false" ht="15" hidden="false" customHeight="false" outlineLevel="0" collapsed="false">
      <c r="A3" s="7" t="s">
        <v>787</v>
      </c>
      <c r="B3" s="8"/>
      <c r="C3" s="8"/>
      <c r="D3" s="8"/>
      <c r="E3" s="8"/>
      <c r="F3" s="8"/>
      <c r="G3" s="8"/>
      <c r="H3" s="8"/>
    </row>
    <row r="4" customFormat="false" ht="15" hidden="false" customHeight="false" outlineLevel="0" collapsed="false">
      <c r="A4" s="9" t="s">
        <v>788</v>
      </c>
      <c r="B4" s="18" t="n">
        <f aca="false">1-lv_stake</f>
        <v>0.74</v>
      </c>
    </row>
    <row r="5" customFormat="false" ht="15" hidden="false" customHeight="false" outlineLevel="0" collapsed="false">
      <c r="A5" s="9" t="s">
        <v>789</v>
      </c>
      <c r="B5" s="32" t="n">
        <f aca="false">B4*lv_price</f>
        <v>2960</v>
      </c>
    </row>
    <row r="6" customFormat="false" ht="15" hidden="false" customHeight="false" outlineLevel="0" collapsed="false">
      <c r="A6" s="9" t="s">
        <v>790</v>
      </c>
      <c r="B6" s="36" t="n">
        <f aca="false">cf_arr*(1+lv_g)^a_opt_year</f>
        <v>264</v>
      </c>
    </row>
    <row r="7" customFormat="false" ht="15" hidden="false" customHeight="false" outlineLevel="0" collapsed="false">
      <c r="A7" s="9" t="s">
        <v>791</v>
      </c>
      <c r="B7" s="70" t="n">
        <f aca="false">a_ctrl_mult</f>
        <v>10</v>
      </c>
    </row>
    <row r="8" customFormat="false" ht="15" hidden="false" customHeight="false" outlineLevel="0" collapsed="false">
      <c r="A8" s="4" t="s">
        <v>792</v>
      </c>
      <c r="B8" s="20" t="n">
        <f aca="false">MIN(B5,B4*B7*B6)</f>
        <v>1953.6</v>
      </c>
    </row>
    <row r="9" customFormat="false" ht="15" hidden="false" customHeight="false" outlineLevel="0" collapsed="false">
      <c r="A9" s="4" t="s">
        <v>793</v>
      </c>
      <c r="B9" s="20" t="n">
        <f aca="false">B8*a_eo_floor</f>
        <v>1074.48</v>
      </c>
    </row>
    <row r="10" customFormat="false" ht="15" hidden="false" customHeight="false" outlineLevel="0" collapsed="false">
      <c r="A10" s="4" t="s">
        <v>794</v>
      </c>
      <c r="B10" s="20" t="n">
        <f aca="false">B8-B9</f>
        <v>879.12</v>
      </c>
    </row>
    <row r="11" customFormat="false" ht="15" hidden="false" customHeight="false" outlineLevel="0" collapsed="false">
      <c r="A11" s="9" t="s">
        <v>795</v>
      </c>
      <c r="B11" s="32" t="n">
        <f aca="false">B9-a_ctrl_debt</f>
        <v>574.48</v>
      </c>
    </row>
    <row r="12" customFormat="false" ht="15" hidden="false" customHeight="false" outlineLevel="0" collapsed="false">
      <c r="A12" s="9" t="s">
        <v>796</v>
      </c>
      <c r="B12" s="17" t="n">
        <f aca="false">B8/(B4*cf_arr)</f>
        <v>12</v>
      </c>
    </row>
    <row r="13" customFormat="false" ht="15" hidden="false" customHeight="false" outlineLevel="0" collapsed="false">
      <c r="A13" s="9" t="s">
        <v>797</v>
      </c>
      <c r="B13" s="32" t="n">
        <f aca="false">B10/((a_eo_full-a_eo_floor)*10)</f>
        <v>195.36</v>
      </c>
    </row>
    <row r="14" customFormat="false" ht="15" hidden="false" customHeight="false" outlineLevel="0" collapsed="false">
      <c r="A14" s="9" t="s">
        <v>798</v>
      </c>
      <c r="B14" s="32" t="n">
        <f aca="false">c_mult*cf_arr*0.1</f>
        <v>400</v>
      </c>
    </row>
    <row r="15" customFormat="false" ht="15" hidden="false" customHeight="false" outlineLevel="0" collapsed="false">
      <c r="A15" s="9" t="s">
        <v>799</v>
      </c>
      <c r="B15" s="35" t="n">
        <f aca="false">B10/c_price</f>
        <v>0.473799410526316</v>
      </c>
      <c r="C15" s="18" t="n">
        <f aca="false">B15/cf_shares</f>
        <v>0.00740311578947368</v>
      </c>
    </row>
    <row r="17" customFormat="false" ht="54" hidden="false" customHeight="true" outlineLevel="0" collapsed="false">
      <c r="A17" s="19" t="s">
        <v>800</v>
      </c>
      <c r="B17" s="19" t="s">
        <v>801</v>
      </c>
      <c r="C17" s="19" t="s">
        <v>802</v>
      </c>
      <c r="D17" s="19" t="s">
        <v>803</v>
      </c>
      <c r="E17" s="19" t="s">
        <v>804</v>
      </c>
      <c r="F17" s="19" t="s">
        <v>805</v>
      </c>
      <c r="G17" s="19" t="s">
        <v>806</v>
      </c>
      <c r="H17" s="19" t="s">
        <v>807</v>
      </c>
    </row>
    <row r="18" customFormat="false" ht="15" hidden="false" customHeight="false" outlineLevel="0" collapsed="false">
      <c r="A18" s="12" t="n">
        <v>0</v>
      </c>
      <c r="B18" s="18" t="n">
        <f aca="false">1-A18</f>
        <v>1</v>
      </c>
      <c r="C18" s="71" t="n">
        <f aca="false">MIN(1,MAX(0,(B18-a_eo_floor)/(a_eo_full-a_eo_floor)))</f>
        <v>1</v>
      </c>
      <c r="D18" s="32" t="n">
        <f aca="false">B$10*C18</f>
        <v>879.12</v>
      </c>
      <c r="E18" s="15" t="n">
        <f aca="false">B$9+D18</f>
        <v>1953.6</v>
      </c>
      <c r="F18" s="32" t="n">
        <f aca="false">lv_min_price+E18</f>
        <v>2603.6</v>
      </c>
      <c r="G18" s="32" t="n">
        <f aca="false">B$4*B$7*B$6*B18</f>
        <v>1953.6</v>
      </c>
      <c r="H18" s="18" t="n">
        <f aca="false">E18/G18-1</f>
        <v>0</v>
      </c>
    </row>
    <row r="19" customFormat="false" ht="15" hidden="false" customHeight="false" outlineLevel="0" collapsed="false">
      <c r="A19" s="12" t="n">
        <v>0.1</v>
      </c>
      <c r="B19" s="18" t="n">
        <f aca="false">1-A19</f>
        <v>0.9</v>
      </c>
      <c r="C19" s="71" t="n">
        <f aca="false">MIN(1,MAX(0,(B19-a_eo_floor)/(a_eo_full-a_eo_floor)))</f>
        <v>0.777777777777778</v>
      </c>
      <c r="D19" s="32" t="n">
        <f aca="false">B$10*C19</f>
        <v>683.76</v>
      </c>
      <c r="E19" s="15" t="n">
        <f aca="false">B$9+D19</f>
        <v>1758.24</v>
      </c>
      <c r="F19" s="32" t="n">
        <f aca="false">lv_min_price+E19</f>
        <v>2408.24</v>
      </c>
      <c r="G19" s="32" t="n">
        <f aca="false">B$4*B$7*B$6*B19</f>
        <v>1758.24</v>
      </c>
      <c r="H19" s="18" t="n">
        <f aca="false">E19/G19-1</f>
        <v>0</v>
      </c>
    </row>
    <row r="20" customFormat="false" ht="15" hidden="false" customHeight="false" outlineLevel="0" collapsed="false">
      <c r="A20" s="12" t="n">
        <v>0.2</v>
      </c>
      <c r="B20" s="18" t="n">
        <f aca="false">1-A20</f>
        <v>0.8</v>
      </c>
      <c r="C20" s="71" t="n">
        <f aca="false">MIN(1,MAX(0,(B20-a_eo_floor)/(a_eo_full-a_eo_floor)))</f>
        <v>0.555555555555556</v>
      </c>
      <c r="D20" s="32" t="n">
        <f aca="false">B$10*C20</f>
        <v>488.4</v>
      </c>
      <c r="E20" s="15" t="n">
        <f aca="false">B$9+D20</f>
        <v>1562.88</v>
      </c>
      <c r="F20" s="32" t="n">
        <f aca="false">lv_min_price+E20</f>
        <v>2212.88</v>
      </c>
      <c r="G20" s="32" t="n">
        <f aca="false">B$4*B$7*B$6*B20</f>
        <v>1562.88</v>
      </c>
      <c r="H20" s="18" t="n">
        <f aca="false">E20/G20-1</f>
        <v>0</v>
      </c>
    </row>
    <row r="21" customFormat="false" ht="15" hidden="false" customHeight="false" outlineLevel="0" collapsed="false">
      <c r="A21" s="12" t="n">
        <v>0.3</v>
      </c>
      <c r="B21" s="18" t="n">
        <f aca="false">1-A21</f>
        <v>0.7</v>
      </c>
      <c r="C21" s="71" t="n">
        <f aca="false">MIN(1,MAX(0,(B21-a_eo_floor)/(a_eo_full-a_eo_floor)))</f>
        <v>0.333333333333333</v>
      </c>
      <c r="D21" s="32" t="n">
        <f aca="false">B$10*C21</f>
        <v>293.04</v>
      </c>
      <c r="E21" s="15" t="n">
        <f aca="false">B$9+D21</f>
        <v>1367.52</v>
      </c>
      <c r="F21" s="32" t="n">
        <f aca="false">lv_min_price+E21</f>
        <v>2017.52</v>
      </c>
      <c r="G21" s="32" t="n">
        <f aca="false">B$4*B$7*B$6*B21</f>
        <v>1367.52</v>
      </c>
      <c r="H21" s="18" t="n">
        <f aca="false">E21/G21-1</f>
        <v>0</v>
      </c>
    </row>
    <row r="22" customFormat="false" ht="15" hidden="false" customHeight="false" outlineLevel="0" collapsed="false">
      <c r="A22" s="12" t="n">
        <v>0.375</v>
      </c>
      <c r="B22" s="18" t="n">
        <f aca="false">1-A22</f>
        <v>0.625</v>
      </c>
      <c r="C22" s="71" t="n">
        <f aca="false">MIN(1,MAX(0,(B22-a_eo_floor)/(a_eo_full-a_eo_floor)))</f>
        <v>0.166666666666667</v>
      </c>
      <c r="D22" s="32" t="n">
        <f aca="false">B$10*C22</f>
        <v>146.52</v>
      </c>
      <c r="E22" s="15" t="n">
        <f aca="false">B$9+D22</f>
        <v>1221</v>
      </c>
      <c r="F22" s="32" t="n">
        <f aca="false">lv_min_price+E22</f>
        <v>1871</v>
      </c>
      <c r="G22" s="32" t="n">
        <f aca="false">B$4*B$7*B$6*B22</f>
        <v>1221</v>
      </c>
      <c r="H22" s="18" t="n">
        <f aca="false">E22/G22-1</f>
        <v>0</v>
      </c>
    </row>
    <row r="23" customFormat="false" ht="15" hidden="false" customHeight="false" outlineLevel="0" collapsed="false">
      <c r="A23" s="12" t="n">
        <v>0.45</v>
      </c>
      <c r="B23" s="18" t="n">
        <f aca="false">1-A23</f>
        <v>0.55</v>
      </c>
      <c r="C23" s="71" t="n">
        <f aca="false">MIN(1,MAX(0,(B23-a_eo_floor)/(a_eo_full-a_eo_floor)))</f>
        <v>0</v>
      </c>
      <c r="D23" s="32" t="n">
        <f aca="false">B$10*C23</f>
        <v>0</v>
      </c>
      <c r="E23" s="15" t="n">
        <f aca="false">B$9+D23</f>
        <v>1074.48</v>
      </c>
      <c r="F23" s="32" t="n">
        <f aca="false">lv_min_price+E23</f>
        <v>1724.48</v>
      </c>
      <c r="G23" s="32" t="n">
        <f aca="false">B$4*B$7*B$6*B23</f>
        <v>1074.48</v>
      </c>
      <c r="H23" s="18" t="n">
        <f aca="false">E23/G23-1</f>
        <v>0</v>
      </c>
    </row>
    <row r="24" customFormat="false" ht="15" hidden="false" customHeight="false" outlineLevel="0" collapsed="false">
      <c r="A24" s="12" t="n">
        <v>0.55</v>
      </c>
      <c r="B24" s="18" t="n">
        <f aca="false">1-A24</f>
        <v>0.45</v>
      </c>
      <c r="C24" s="71" t="n">
        <f aca="false">MIN(1,MAX(0,(B24-a_eo_floor)/(a_eo_full-a_eo_floor)))</f>
        <v>0</v>
      </c>
      <c r="D24" s="32" t="n">
        <f aca="false">B$10*C24</f>
        <v>0</v>
      </c>
      <c r="E24" s="15" t="n">
        <f aca="false">B$9+D24</f>
        <v>1074.48</v>
      </c>
      <c r="F24" s="32" t="n">
        <f aca="false">lv_min_price+E24</f>
        <v>1724.48</v>
      </c>
      <c r="G24" s="32" t="n">
        <f aca="false">B$4*B$7*B$6*B24</f>
        <v>879.12</v>
      </c>
      <c r="H24" s="18" t="n">
        <f aca="false">E24/G24-1</f>
        <v>0.222222222222223</v>
      </c>
    </row>
    <row r="25" customFormat="false" ht="15" hidden="false" customHeight="false" outlineLevel="0" collapsed="false">
      <c r="A25" s="3" t="s">
        <v>808</v>
      </c>
    </row>
    <row r="27" customFormat="false" ht="15" hidden="false" customHeight="false" outlineLevel="0" collapsed="false">
      <c r="A27" s="7" t="s">
        <v>809</v>
      </c>
      <c r="B27" s="8"/>
      <c r="C27" s="8"/>
      <c r="D27" s="8"/>
      <c r="E27" s="8"/>
      <c r="F27" s="8"/>
      <c r="G27" s="8"/>
      <c r="H27" s="8"/>
    </row>
    <row r="28" customFormat="false" ht="42" hidden="false" customHeight="true" outlineLevel="0" collapsed="false">
      <c r="A28" s="72" t="s">
        <v>810</v>
      </c>
      <c r="B28" s="72"/>
      <c r="C28" s="72"/>
      <c r="D28" s="72"/>
      <c r="E28" s="72"/>
      <c r="F28" s="72"/>
      <c r="G28" s="72"/>
      <c r="H28" s="72"/>
    </row>
    <row r="29" customFormat="false" ht="15" hidden="false" customHeight="false" outlineLevel="0" collapsed="false">
      <c r="A29" s="9" t="s">
        <v>811</v>
      </c>
      <c r="B29" s="32" t="n">
        <f aca="false">MIN(B5,B4*8*B6)</f>
        <v>1562.88</v>
      </c>
      <c r="C29" s="32" t="n">
        <f aca="false">MIN(B5,B4*10*B6)</f>
        <v>1953.6</v>
      </c>
      <c r="D29" s="32" t="n">
        <f aca="false">MIN(B5,B4*12*B6)</f>
        <v>2344.32</v>
      </c>
      <c r="E29" s="32" t="n">
        <f aca="false">MIN(B5,B4*14*B6)</f>
        <v>2735.04</v>
      </c>
    </row>
    <row r="30" customFormat="false" ht="15" hidden="false" customHeight="false" outlineLevel="0" collapsed="false">
      <c r="A30" s="9" t="s">
        <v>812</v>
      </c>
      <c r="B30" s="12" t="n">
        <v>0.03</v>
      </c>
      <c r="C30" s="32" t="n">
        <f aca="false">B30*B8</f>
        <v>58.608</v>
      </c>
    </row>
    <row r="31" customFormat="false" ht="42" hidden="false" customHeight="true" outlineLevel="0" collapsed="false">
      <c r="A31" s="72" t="s">
        <v>813</v>
      </c>
      <c r="B31" s="72"/>
      <c r="C31" s="72"/>
      <c r="D31" s="72"/>
      <c r="E31" s="72"/>
      <c r="F31" s="72"/>
      <c r="G31" s="72"/>
      <c r="H31" s="72"/>
    </row>
    <row r="33" customFormat="false" ht="15" hidden="false" customHeight="false" outlineLevel="0" collapsed="false">
      <c r="A33" s="7" t="s">
        <v>814</v>
      </c>
      <c r="B33" s="8"/>
      <c r="C33" s="8"/>
      <c r="D33" s="8"/>
      <c r="E33" s="8"/>
      <c r="F33" s="8"/>
      <c r="G33" s="8"/>
      <c r="H33" s="8"/>
    </row>
    <row r="34" customFormat="false" ht="15" hidden="false" customHeight="false" outlineLevel="0" collapsed="false">
      <c r="A34" s="9" t="s">
        <v>815</v>
      </c>
      <c r="B34" s="13" t="n">
        <v>2200</v>
      </c>
    </row>
    <row r="35" customFormat="false" ht="15" hidden="false" customHeight="false" outlineLevel="0" collapsed="false">
      <c r="A35" s="9" t="s">
        <v>816</v>
      </c>
      <c r="B35" s="32" t="n">
        <f aca="false">lv_price-B34</f>
        <v>1800</v>
      </c>
    </row>
    <row r="36" customFormat="false" ht="15" hidden="false" customHeight="false" outlineLevel="0" collapsed="false">
      <c r="A36" s="9" t="s">
        <v>817</v>
      </c>
      <c r="B36" s="12" t="n">
        <v>0.1</v>
      </c>
      <c r="C36" s="32" t="n">
        <f aca="false">B36*B34</f>
        <v>220</v>
      </c>
    </row>
    <row r="37" customFormat="false" ht="15" hidden="false" customHeight="false" outlineLevel="0" collapsed="false">
      <c r="A37" s="9" t="s">
        <v>818</v>
      </c>
      <c r="B37" s="47" t="n">
        <f aca="false">e_pv_drag</f>
        <v>4069.68260696466</v>
      </c>
    </row>
    <row r="38" customFormat="false" ht="15" hidden="false" customHeight="false" outlineLevel="0" collapsed="false">
      <c r="A38" s="3" t="s">
        <v>819</v>
      </c>
    </row>
  </sheetData>
  <mergeCells count="2">
    <mergeCell ref="A28:H28"/>
    <mergeCell ref="A31:H3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8F00"/>
    <pageSetUpPr fitToPage="false"/>
  </sheetPr>
  <dimension ref="A1:N107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8.5390625" defaultRowHeight="15" zeroHeight="false" outlineLevelRow="0" outlineLevelCol="0"/>
  <cols>
    <col collapsed="false" customWidth="true" hidden="false" outlineLevel="0" max="1" min="1" style="0" width="62"/>
    <col collapsed="false" customWidth="true" hidden="false" outlineLevel="0" max="9" min="2" style="0" width="16"/>
    <col collapsed="false" customWidth="true" hidden="false" outlineLevel="0" max="13" min="10" style="0" width="11"/>
  </cols>
  <sheetData>
    <row r="1" customFormat="false" ht="18" hidden="false" customHeight="true" outlineLevel="0" collapsed="false">
      <c r="A1" s="6" t="s">
        <v>820</v>
      </c>
      <c r="B1" s="2"/>
      <c r="C1" s="2"/>
      <c r="D1" s="2"/>
      <c r="E1" s="2"/>
      <c r="F1" s="2"/>
      <c r="G1" s="2"/>
      <c r="H1" s="2"/>
      <c r="I1" s="2"/>
      <c r="J1" s="2"/>
      <c r="K1" s="2"/>
      <c r="L1" s="2"/>
      <c r="M1" s="2"/>
      <c r="N1" s="2"/>
    </row>
    <row r="2" customFormat="false" ht="15" hidden="false" customHeight="false" outlineLevel="0" collapsed="false">
      <c r="A2" s="3" t="s">
        <v>821</v>
      </c>
    </row>
    <row r="4" customFormat="false" ht="15" hidden="false" customHeight="false" outlineLevel="0" collapsed="false">
      <c r="A4" s="7" t="s">
        <v>822</v>
      </c>
      <c r="B4" s="8"/>
      <c r="C4" s="8"/>
      <c r="D4" s="8"/>
      <c r="E4" s="8"/>
      <c r="F4" s="8"/>
      <c r="G4" s="8"/>
      <c r="H4" s="8"/>
      <c r="I4" s="8"/>
      <c r="J4" s="8"/>
      <c r="K4" s="8"/>
      <c r="L4" s="8"/>
      <c r="M4" s="8"/>
      <c r="N4" s="8"/>
    </row>
    <row r="5" customFormat="false" ht="15" hidden="false" customHeight="false" outlineLevel="0" collapsed="false">
      <c r="A5" s="4" t="s">
        <v>823</v>
      </c>
      <c r="B5" s="73" t="s">
        <v>824</v>
      </c>
      <c r="C5" s="73" t="s">
        <v>825</v>
      </c>
      <c r="D5" s="73" t="s">
        <v>826</v>
      </c>
      <c r="E5" s="73" t="s">
        <v>827</v>
      </c>
      <c r="F5" s="73" t="s">
        <v>828</v>
      </c>
    </row>
    <row r="6" customFormat="false" ht="15" hidden="false" customHeight="false" outlineLevel="0" collapsed="false">
      <c r="A6" s="9" t="s">
        <v>829</v>
      </c>
      <c r="B6" s="56" t="n">
        <f aca="false">a_g_base</f>
        <v>0.2</v>
      </c>
      <c r="C6" s="56" t="n">
        <f aca="false">a_g_bull</f>
        <v>0.3</v>
      </c>
      <c r="D6" s="56" t="n">
        <f aca="false">a_g_base</f>
        <v>0.2</v>
      </c>
      <c r="E6" s="56" t="n">
        <f aca="false">a_g_bear</f>
        <v>0.1</v>
      </c>
      <c r="F6" s="56" t="n">
        <f aca="false">a_g_bear</f>
        <v>0.1</v>
      </c>
    </row>
    <row r="7" customFormat="false" ht="15" hidden="false" customHeight="false" outlineLevel="0" collapsed="false">
      <c r="A7" s="9" t="s">
        <v>830</v>
      </c>
      <c r="B7" s="12" t="n">
        <v>0.375</v>
      </c>
      <c r="C7" s="12" t="n">
        <v>0.1</v>
      </c>
      <c r="D7" s="12" t="n">
        <v>0.3</v>
      </c>
      <c r="E7" s="12" t="n">
        <v>0.45</v>
      </c>
      <c r="F7" s="12" t="n">
        <v>0.55</v>
      </c>
    </row>
    <row r="8" customFormat="false" ht="15" hidden="false" customHeight="false" outlineLevel="0" collapsed="false">
      <c r="A8" s="9" t="s">
        <v>831</v>
      </c>
      <c r="B8" s="13" t="n">
        <v>750</v>
      </c>
      <c r="C8" s="13" t="n">
        <v>500</v>
      </c>
      <c r="D8" s="13" t="n">
        <v>750</v>
      </c>
      <c r="E8" s="13" t="n">
        <v>1000</v>
      </c>
      <c r="F8" s="13" t="n">
        <v>1250</v>
      </c>
    </row>
    <row r="9" customFormat="false" ht="15" hidden="false" customHeight="false" outlineLevel="0" collapsed="false">
      <c r="A9" s="9" t="s">
        <v>832</v>
      </c>
      <c r="B9" s="10" t="n">
        <v>1</v>
      </c>
      <c r="C9" s="10" t="n">
        <v>1</v>
      </c>
      <c r="D9" s="10" t="n">
        <v>1</v>
      </c>
      <c r="E9" s="10" t="n">
        <v>1</v>
      </c>
      <c r="F9" s="10" t="n">
        <v>2</v>
      </c>
    </row>
    <row r="10" customFormat="false" ht="15" hidden="false" customHeight="false" outlineLevel="0" collapsed="false">
      <c r="A10" s="9" t="s">
        <v>378</v>
      </c>
      <c r="B10" s="47" t="n">
        <f aca="false">lv_mix_cash</f>
        <v>2100</v>
      </c>
      <c r="C10" s="47" t="n">
        <f aca="false">lv_mix_cash</f>
        <v>2100</v>
      </c>
      <c r="D10" s="47" t="n">
        <f aca="false">lv_mix_cash</f>
        <v>2100</v>
      </c>
      <c r="E10" s="47" t="n">
        <f aca="false">lv_mix_cash</f>
        <v>2100</v>
      </c>
      <c r="F10" s="47" t="n">
        <f aca="false">lv_mix_cash</f>
        <v>2100</v>
      </c>
    </row>
    <row r="11" customFormat="false" ht="15" hidden="false" customHeight="false" outlineLevel="0" collapsed="false">
      <c r="A11" s="9" t="s">
        <v>379</v>
      </c>
      <c r="B11" s="47" t="n">
        <f aca="false">lv_mix_debt</f>
        <v>0</v>
      </c>
      <c r="C11" s="47" t="n">
        <f aca="false">lv_mix_debt</f>
        <v>0</v>
      </c>
      <c r="D11" s="47" t="n">
        <f aca="false">lv_mix_debt</f>
        <v>0</v>
      </c>
      <c r="E11" s="47" t="n">
        <f aca="false">lv_mix_debt</f>
        <v>0</v>
      </c>
      <c r="F11" s="47" t="n">
        <f aca="false">lv_mix_debt</f>
        <v>0</v>
      </c>
    </row>
    <row r="12" customFormat="false" ht="15" hidden="false" customHeight="false" outlineLevel="0" collapsed="false">
      <c r="A12" s="9" t="s">
        <v>833</v>
      </c>
      <c r="B12" s="47" t="n">
        <f aca="false">lv_mix_eq</f>
        <v>1900</v>
      </c>
      <c r="C12" s="47" t="n">
        <f aca="false">lv_mix_eq</f>
        <v>1900</v>
      </c>
      <c r="D12" s="47" t="n">
        <f aca="false">lv_mix_eq</f>
        <v>1900</v>
      </c>
      <c r="E12" s="47" t="n">
        <f aca="false">lv_mix_eq</f>
        <v>1900</v>
      </c>
      <c r="F12" s="47" t="n">
        <f aca="false">lv_mix_eq</f>
        <v>1900</v>
      </c>
    </row>
    <row r="13" customFormat="false" ht="15" hidden="false" customHeight="false" outlineLevel="0" collapsed="false">
      <c r="A13" s="9" t="s">
        <v>834</v>
      </c>
      <c r="B13" s="56" t="n">
        <f aca="false">lv_wacc</f>
        <v>0.13</v>
      </c>
      <c r="C13" s="56" t="n">
        <f aca="false">lv_wacc-0.01</f>
        <v>0.12</v>
      </c>
      <c r="D13" s="56" t="n">
        <f aca="false">lv_wacc</f>
        <v>0.13</v>
      </c>
      <c r="E13" s="56" t="n">
        <f aca="false">lv_wacc+0.01</f>
        <v>0.14</v>
      </c>
      <c r="F13" s="56" t="n">
        <f aca="false">lv_wacc+0.02</f>
        <v>0.15</v>
      </c>
    </row>
    <row r="14" customFormat="false" ht="15" hidden="false" customHeight="false" outlineLevel="0" collapsed="false">
      <c r="A14" s="9" t="s">
        <v>835</v>
      </c>
      <c r="B14" s="47" t="n">
        <f aca="false">lv_price</f>
        <v>4000</v>
      </c>
      <c r="C14" s="47" t="n">
        <f aca="false">lv_price</f>
        <v>4000</v>
      </c>
      <c r="D14" s="47" t="n">
        <f aca="false">lv_price</f>
        <v>4000</v>
      </c>
      <c r="E14" s="47" t="n">
        <f aca="false">lv_price</f>
        <v>4000</v>
      </c>
      <c r="F14" s="47" t="n">
        <f aca="false">lv_price</f>
        <v>4000</v>
      </c>
    </row>
    <row r="15" customFormat="false" ht="15" hidden="false" customHeight="false" outlineLevel="0" collapsed="false">
      <c r="A15" s="9" t="s">
        <v>836</v>
      </c>
      <c r="B15" s="58" t="n">
        <f aca="false">lv_mdr_in_deal</f>
        <v>0</v>
      </c>
      <c r="C15" s="58" t="n">
        <f aca="false">lv_mdr_in_deal</f>
        <v>0</v>
      </c>
      <c r="D15" s="58" t="n">
        <f aca="false">lv_mdr_in_deal</f>
        <v>0</v>
      </c>
      <c r="E15" s="58" t="n">
        <f aca="false">lv_mdr_in_deal</f>
        <v>0</v>
      </c>
      <c r="F15" s="58" t="n">
        <f aca="false">lv_mdr_in_deal</f>
        <v>0</v>
      </c>
    </row>
    <row r="16" customFormat="false" ht="60" hidden="false" customHeight="true" outlineLevel="0" collapsed="false">
      <c r="A16" s="9" t="s">
        <v>837</v>
      </c>
      <c r="B16" s="5" t="s">
        <v>838</v>
      </c>
      <c r="C16" s="5" t="s">
        <v>839</v>
      </c>
      <c r="D16" s="5" t="s">
        <v>840</v>
      </c>
      <c r="E16" s="5" t="s">
        <v>841</v>
      </c>
      <c r="F16" s="5" t="s">
        <v>842</v>
      </c>
    </row>
    <row r="18" customFormat="false" ht="15" hidden="false" customHeight="false" outlineLevel="0" collapsed="false">
      <c r="A18" s="7" t="s">
        <v>843</v>
      </c>
      <c r="B18" s="8"/>
      <c r="C18" s="8"/>
      <c r="D18" s="8"/>
      <c r="E18" s="8"/>
      <c r="F18" s="8"/>
      <c r="G18" s="8"/>
      <c r="H18" s="8"/>
      <c r="I18" s="8"/>
      <c r="J18" s="8"/>
      <c r="K18" s="8"/>
      <c r="L18" s="8"/>
      <c r="M18" s="8"/>
      <c r="N18" s="8"/>
    </row>
    <row r="19" customFormat="false" ht="15" hidden="false" customHeight="false" outlineLevel="0" collapsed="false">
      <c r="A19" s="4" t="s">
        <v>56</v>
      </c>
      <c r="B19" s="73" t="s">
        <v>824</v>
      </c>
      <c r="C19" s="73" t="s">
        <v>825</v>
      </c>
      <c r="D19" s="73" t="s">
        <v>826</v>
      </c>
      <c r="E19" s="73" t="s">
        <v>827</v>
      </c>
      <c r="F19" s="73" t="s">
        <v>828</v>
      </c>
    </row>
    <row r="20" customFormat="false" ht="15" hidden="false" customHeight="false" outlineLevel="0" collapsed="false">
      <c r="A20" s="9" t="s">
        <v>844</v>
      </c>
      <c r="B20" s="36" t="n">
        <f aca="false">D54</f>
        <v>165</v>
      </c>
      <c r="C20" s="36" t="n">
        <f aca="false">D133</f>
        <v>257.4</v>
      </c>
      <c r="D20" s="36" t="n">
        <f aca="false">D212</f>
        <v>184.8</v>
      </c>
      <c r="E20" s="36" t="n">
        <f aca="false">D291</f>
        <v>133.1</v>
      </c>
      <c r="F20" s="36" t="n">
        <f aca="false">D370</f>
        <v>108.9</v>
      </c>
    </row>
    <row r="21" customFormat="false" ht="15" hidden="false" customHeight="false" outlineLevel="0" collapsed="false">
      <c r="A21" s="9" t="s">
        <v>845</v>
      </c>
      <c r="B21" s="17" t="n">
        <f aca="false">C118</f>
        <v>24.2424242424242</v>
      </c>
      <c r="C21" s="17" t="n">
        <f aca="false">C197</f>
        <v>15.5400155400155</v>
      </c>
      <c r="D21" s="17" t="n">
        <f aca="false">C276</f>
        <v>21.6450216450216</v>
      </c>
      <c r="E21" s="17" t="n">
        <f aca="false">C355</f>
        <v>30.0525920360631</v>
      </c>
      <c r="F21" s="17" t="n">
        <f aca="false">C434</f>
        <v>36.7309458218549</v>
      </c>
    </row>
    <row r="22" customFormat="false" ht="15" hidden="false" customHeight="false" outlineLevel="0" collapsed="false">
      <c r="A22" s="9" t="s">
        <v>390</v>
      </c>
      <c r="B22" s="50" t="n">
        <f aca="false">C121</f>
        <v>5.25613619586614</v>
      </c>
      <c r="C22" s="50" t="n">
        <f aca="false">C200</f>
        <v>5.798828125</v>
      </c>
      <c r="D22" s="50" t="n">
        <f aca="false">C279</f>
        <v>5.40686515748032</v>
      </c>
      <c r="E22" s="50" t="n">
        <f aca="false">C358</f>
        <v>5.17400498277559</v>
      </c>
      <c r="F22" s="50" t="n">
        <f aca="false">C437</f>
        <v>4.98978069635827</v>
      </c>
    </row>
    <row r="23" customFormat="false" ht="15" hidden="false" customHeight="false" outlineLevel="0" collapsed="false">
      <c r="A23" s="9" t="s">
        <v>620</v>
      </c>
      <c r="B23" s="18" t="n">
        <f aca="false">C121/cf_eps-1</f>
        <v>-0.299181840551181</v>
      </c>
      <c r="C23" s="18" t="n">
        <f aca="false">C200/cf_eps-1</f>
        <v>-0.226822916666667</v>
      </c>
      <c r="D23" s="18" t="n">
        <f aca="false">C279/cf_eps-1</f>
        <v>-0.279084645669291</v>
      </c>
      <c r="E23" s="18" t="n">
        <f aca="false">C358/cf_eps-1</f>
        <v>-0.310132668963255</v>
      </c>
      <c r="F23" s="18" t="n">
        <f aca="false">C437/cf_eps-1</f>
        <v>-0.334695907152231</v>
      </c>
    </row>
    <row r="24" customFormat="false" ht="15" hidden="false" customHeight="false" outlineLevel="0" collapsed="false">
      <c r="A24" s="9" t="s">
        <v>684</v>
      </c>
      <c r="B24" s="50" t="n">
        <f aca="false">C122</f>
        <v>5.21936515748032</v>
      </c>
      <c r="C24" s="50" t="n">
        <f aca="false">C201</f>
        <v>5.83862173966535</v>
      </c>
      <c r="D24" s="50" t="n">
        <f aca="false">C280</f>
        <v>5.25882874015748</v>
      </c>
      <c r="E24" s="50" t="n">
        <f aca="false">C359</f>
        <v>4.76738727239173</v>
      </c>
      <c r="F24" s="50" t="n">
        <f aca="false">C438</f>
        <v>5.2117269777313</v>
      </c>
    </row>
    <row r="25" customFormat="false" ht="15" hidden="false" customHeight="false" outlineLevel="0" collapsed="false">
      <c r="A25" s="9" t="s">
        <v>573</v>
      </c>
      <c r="B25" s="32" t="n">
        <f aca="false">C123</f>
        <v>-1045.475</v>
      </c>
      <c r="C25" s="32" t="n">
        <f aca="false">C202</f>
        <v>-764.807</v>
      </c>
      <c r="D25" s="32" t="n">
        <f aca="false">C281</f>
        <v>-1036.664</v>
      </c>
      <c r="E25" s="32" t="n">
        <f aca="false">C360</f>
        <v>-1299.2205</v>
      </c>
      <c r="F25" s="32" t="n">
        <f aca="false">C439</f>
        <v>-928.7395</v>
      </c>
    </row>
    <row r="26" customFormat="false" ht="15" hidden="false" customHeight="false" outlineLevel="0" collapsed="false">
      <c r="A26" s="9" t="s">
        <v>522</v>
      </c>
      <c r="B26" s="32" t="n">
        <f aca="false">C108</f>
        <v>-12051.5800674048</v>
      </c>
      <c r="C26" s="32" t="n">
        <f aca="false">C187</f>
        <v>-8562.77198032422</v>
      </c>
      <c r="D26" s="32" t="n">
        <f aca="false">C266</f>
        <v>-11971.4416754934</v>
      </c>
      <c r="E26" s="32" t="n">
        <f aca="false">C345</f>
        <v>-14865.9026952587</v>
      </c>
      <c r="F26" s="32" t="n">
        <f aca="false">C424</f>
        <v>-14789.5564043532</v>
      </c>
    </row>
    <row r="27" customFormat="false" ht="15" hidden="false" customHeight="false" outlineLevel="0" collapsed="false">
      <c r="A27" s="9" t="s">
        <v>685</v>
      </c>
      <c r="B27" s="46" t="n">
        <f aca="false">C103</f>
        <v>99</v>
      </c>
      <c r="C27" s="46" t="n">
        <f aca="false">C182</f>
        <v>8</v>
      </c>
      <c r="D27" s="46" t="n">
        <f aca="false">C261</f>
        <v>99</v>
      </c>
      <c r="E27" s="46" t="n">
        <f aca="false">C340</f>
        <v>99</v>
      </c>
      <c r="F27" s="46" t="n">
        <f aca="false">C419</f>
        <v>99</v>
      </c>
    </row>
    <row r="28" customFormat="false" ht="15" hidden="false" customHeight="false" outlineLevel="0" collapsed="false">
      <c r="A28" s="9" t="s">
        <v>577</v>
      </c>
      <c r="B28" s="46" t="n">
        <f aca="false">C105</f>
        <v>99</v>
      </c>
      <c r="C28" s="46" t="n">
        <f aca="false">C184</f>
        <v>99</v>
      </c>
      <c r="D28" s="46" t="n">
        <f aca="false">C263</f>
        <v>99</v>
      </c>
      <c r="E28" s="46" t="n">
        <f aca="false">C342</f>
        <v>99</v>
      </c>
      <c r="F28" s="46" t="n">
        <f aca="false">C421</f>
        <v>99</v>
      </c>
    </row>
    <row r="29" customFormat="false" ht="15" hidden="false" customHeight="false" outlineLevel="0" collapsed="false">
      <c r="A29" s="9" t="s">
        <v>579</v>
      </c>
      <c r="B29" s="46" t="n">
        <f aca="false">C107</f>
        <v>99</v>
      </c>
      <c r="C29" s="46" t="n">
        <f aca="false">C186</f>
        <v>99</v>
      </c>
      <c r="D29" s="46" t="n">
        <f aca="false">C265</f>
        <v>99</v>
      </c>
      <c r="E29" s="46" t="n">
        <f aca="false">C344</f>
        <v>99</v>
      </c>
      <c r="F29" s="46" t="n">
        <f aca="false">C423</f>
        <v>99</v>
      </c>
    </row>
    <row r="30" customFormat="false" ht="15" hidden="false" customHeight="false" outlineLevel="0" collapsed="false">
      <c r="A30" s="9" t="s">
        <v>846</v>
      </c>
      <c r="B30" s="32" t="n">
        <f aca="false">C112</f>
        <v>724.518150467921</v>
      </c>
      <c r="C30" s="32" t="n">
        <f aca="false">C191</f>
        <v>2666.49869949615</v>
      </c>
      <c r="D30" s="32" t="n">
        <f aca="false">C270</f>
        <v>823.609001090443</v>
      </c>
      <c r="E30" s="32" t="n">
        <f aca="false">C349</f>
        <v>236.115874883647</v>
      </c>
      <c r="F30" s="32" t="n">
        <f aca="false">C428</f>
        <v>149.107410812319</v>
      </c>
    </row>
    <row r="31" customFormat="false" ht="15" hidden="false" customHeight="false" outlineLevel="0" collapsed="false">
      <c r="A31" s="9" t="s">
        <v>575</v>
      </c>
      <c r="B31" s="32" t="n">
        <f aca="false">C113</f>
        <v>4069.68260696466</v>
      </c>
      <c r="C31" s="32" t="n">
        <f aca="false">C192</f>
        <v>2825.11151420543</v>
      </c>
      <c r="D31" s="32" t="n">
        <f aca="false">C271</f>
        <v>4069.68260696466</v>
      </c>
      <c r="E31" s="32" t="n">
        <f aca="false">C350</f>
        <v>5216.11564629358</v>
      </c>
      <c r="F31" s="32" t="n">
        <f aca="false">C429</f>
        <v>4440.97333652416</v>
      </c>
    </row>
    <row r="32" customFormat="false" ht="15" hidden="false" customHeight="false" outlineLevel="0" collapsed="false">
      <c r="A32" s="4" t="s">
        <v>576</v>
      </c>
      <c r="B32" s="20" t="n">
        <f aca="false">C116</f>
        <v>-7486.75737685072</v>
      </c>
      <c r="C32" s="20" t="n">
        <f aca="false">C195</f>
        <v>-4301.46995756642</v>
      </c>
      <c r="D32" s="20" t="n">
        <f aca="false">C274</f>
        <v>-7387.6665262282</v>
      </c>
      <c r="E32" s="20" t="n">
        <f aca="false">C353</f>
        <v>-9120.35064860292</v>
      </c>
      <c r="F32" s="20" t="n">
        <f aca="false">C432</f>
        <v>-8430.99636049445</v>
      </c>
    </row>
    <row r="33" customFormat="false" ht="15" hidden="false" customHeight="false" outlineLevel="0" collapsed="false">
      <c r="A33" s="9" t="s">
        <v>582</v>
      </c>
      <c r="B33" s="32" t="n">
        <f aca="false">C127</f>
        <v>5373.674</v>
      </c>
      <c r="C33" s="32" t="n">
        <f aca="false">C206</f>
        <v>6174.03079</v>
      </c>
      <c r="D33" s="32" t="n">
        <f aca="false">C285</f>
        <v>5385.86288</v>
      </c>
      <c r="E33" s="32" t="n">
        <f aca="false">C364</f>
        <v>4612.563065</v>
      </c>
      <c r="F33" s="32" t="n">
        <f aca="false">C443</f>
        <v>5549.952735</v>
      </c>
    </row>
    <row r="34" customFormat="false" ht="15" hidden="false" customHeight="false" outlineLevel="0" collapsed="false">
      <c r="A34" s="4" t="s">
        <v>847</v>
      </c>
      <c r="B34" s="4" t="str">
        <f aca="false">IF(C116&gt;=0,"Value-creating at this price",IF(C116&gt;=-lv_price*0.25,"Destroys value: renegotiate price/structure","Destroys value: do not acquire at this price"))</f>
        <v>Destroys value: do not acquire at this price</v>
      </c>
      <c r="C34" s="4" t="str">
        <f aca="false">IF(C195&gt;=0,"Value-creating at this price",IF(C195&gt;=-lv_price*0.25,"Destroys value: renegotiate price/structure","Destroys value: do not acquire at this price"))</f>
        <v>Destroys value: do not acquire at this price</v>
      </c>
      <c r="D34" s="4" t="str">
        <f aca="false">IF(C274&gt;=0,"Value-creating at this price",IF(C274&gt;=-lv_price*0.25,"Destroys value: renegotiate price/structure","Destroys value: do not acquire at this price"))</f>
        <v>Destroys value: do not acquire at this price</v>
      </c>
      <c r="E34" s="4" t="str">
        <f aca="false">IF(C353&gt;=0,"Value-creating at this price",IF(C353&gt;=-lv_price*0.25,"Destroys value: renegotiate price/structure","Destroys value: do not acquire at this price"))</f>
        <v>Destroys value: do not acquire at this price</v>
      </c>
      <c r="F34" s="4" t="str">
        <f aca="false">IF(C432&gt;=0,"Value-creating at this price",IF(C432&gt;=-lv_price*0.25,"Destroys value: renegotiate price/structure","Destroys value: do not acquire at this price"))</f>
        <v>Destroys value: do not acquire at this price</v>
      </c>
    </row>
    <row r="37" customFormat="false" ht="15" hidden="false" customHeight="false" outlineLevel="0" collapsed="false">
      <c r="A37" s="7" t="s">
        <v>848</v>
      </c>
      <c r="B37" s="8"/>
      <c r="C37" s="8"/>
      <c r="D37" s="8"/>
      <c r="E37" s="8"/>
      <c r="F37" s="8"/>
      <c r="G37" s="8"/>
      <c r="H37" s="8"/>
      <c r="I37" s="8"/>
      <c r="J37" s="8"/>
      <c r="K37" s="8"/>
      <c r="L37" s="8"/>
      <c r="M37" s="8"/>
      <c r="N37" s="8"/>
    </row>
    <row r="38" customFormat="false" ht="39.75" hidden="false" customHeight="true" outlineLevel="0" collapsed="false">
      <c r="A38" s="4" t="s">
        <v>849</v>
      </c>
      <c r="B38" s="19" t="s">
        <v>824</v>
      </c>
      <c r="C38" s="19" t="s">
        <v>850</v>
      </c>
      <c r="D38" s="19" t="s">
        <v>851</v>
      </c>
      <c r="E38" s="19" t="s">
        <v>852</v>
      </c>
      <c r="F38" s="19" t="s">
        <v>853</v>
      </c>
      <c r="G38" s="19" t="s">
        <v>854</v>
      </c>
      <c r="H38" s="19" t="s">
        <v>855</v>
      </c>
      <c r="I38" s="19" t="s">
        <v>856</v>
      </c>
    </row>
    <row r="39" customFormat="false" ht="15" hidden="false" customHeight="false" outlineLevel="0" collapsed="false">
      <c r="A39" s="9" t="s">
        <v>857</v>
      </c>
      <c r="B39" s="56" t="n">
        <f aca="false">a_g_base</f>
        <v>0.2</v>
      </c>
      <c r="C39" s="56" t="n">
        <f aca="false">a_g_base</f>
        <v>0.2</v>
      </c>
      <c r="D39" s="56" t="n">
        <f aca="false">a_g_base</f>
        <v>0.2</v>
      </c>
      <c r="E39" s="56" t="n">
        <f aca="false">a_g_bear</f>
        <v>0.1</v>
      </c>
      <c r="F39" s="56" t="n">
        <f aca="false">a_g_base</f>
        <v>0.2</v>
      </c>
      <c r="G39" s="56" t="n">
        <f aca="false">a_g_base</f>
        <v>0.2</v>
      </c>
      <c r="H39" s="56" t="n">
        <f aca="false">a_g_base</f>
        <v>0.2</v>
      </c>
      <c r="I39" s="56" t="n">
        <f aca="false">a_g_base</f>
        <v>0.2</v>
      </c>
    </row>
    <row r="40" customFormat="false" ht="15" hidden="false" customHeight="false" outlineLevel="0" collapsed="false">
      <c r="A40" s="9" t="s">
        <v>858</v>
      </c>
      <c r="B40" s="12" t="n">
        <v>0.375</v>
      </c>
      <c r="C40" s="12" t="n">
        <v>0.45</v>
      </c>
      <c r="D40" s="12" t="n">
        <v>0.375</v>
      </c>
      <c r="E40" s="12" t="n">
        <v>0.375</v>
      </c>
      <c r="F40" s="12" t="n">
        <v>0.375</v>
      </c>
      <c r="G40" s="12" t="n">
        <v>0.375</v>
      </c>
      <c r="H40" s="12" t="n">
        <v>0</v>
      </c>
      <c r="I40" s="12" t="n">
        <v>0.375</v>
      </c>
    </row>
    <row r="41" customFormat="false" ht="15" hidden="false" customHeight="false" outlineLevel="0" collapsed="false">
      <c r="A41" s="9" t="s">
        <v>859</v>
      </c>
      <c r="B41" s="13" t="n">
        <v>750</v>
      </c>
      <c r="C41" s="13" t="n">
        <v>750</v>
      </c>
      <c r="D41" s="13" t="n">
        <v>1250</v>
      </c>
      <c r="E41" s="13" t="n">
        <v>750</v>
      </c>
      <c r="F41" s="13" t="n">
        <v>750</v>
      </c>
      <c r="G41" s="13" t="n">
        <v>750</v>
      </c>
      <c r="H41" s="13" t="n">
        <v>750</v>
      </c>
      <c r="I41" s="13" t="n">
        <v>0</v>
      </c>
    </row>
    <row r="42" customFormat="false" ht="15" hidden="false" customHeight="false" outlineLevel="0" collapsed="false">
      <c r="A42" s="9" t="s">
        <v>860</v>
      </c>
      <c r="B42" s="10" t="n">
        <v>1</v>
      </c>
      <c r="C42" s="10" t="n">
        <v>1</v>
      </c>
      <c r="D42" s="10" t="n">
        <v>1</v>
      </c>
      <c r="E42" s="10" t="n">
        <v>1</v>
      </c>
      <c r="F42" s="10" t="n">
        <v>1</v>
      </c>
      <c r="G42" s="10" t="n">
        <v>2</v>
      </c>
      <c r="H42" s="10" t="n">
        <v>1</v>
      </c>
      <c r="I42" s="10" t="n">
        <v>1</v>
      </c>
    </row>
    <row r="43" customFormat="false" ht="15" hidden="false" customHeight="false" outlineLevel="0" collapsed="false">
      <c r="A43" s="9" t="s">
        <v>861</v>
      </c>
      <c r="B43" s="56" t="n">
        <f aca="false">lv_wacc</f>
        <v>0.13</v>
      </c>
      <c r="C43" s="56" t="n">
        <f aca="false">lv_wacc</f>
        <v>0.13</v>
      </c>
      <c r="D43" s="56" t="n">
        <f aca="false">lv_wacc</f>
        <v>0.13</v>
      </c>
      <c r="E43" s="56" t="n">
        <f aca="false">lv_wacc</f>
        <v>0.13</v>
      </c>
      <c r="F43" s="56" t="n">
        <f aca="false">lv_wacc+0.02</f>
        <v>0.15</v>
      </c>
      <c r="G43" s="56" t="n">
        <f aca="false">lv_wacc</f>
        <v>0.13</v>
      </c>
      <c r="H43" s="56" t="n">
        <f aca="false">lv_wacc</f>
        <v>0.13</v>
      </c>
      <c r="I43" s="56" t="n">
        <f aca="false">lv_wacc</f>
        <v>0.13</v>
      </c>
    </row>
    <row r="44" customFormat="false" ht="15" hidden="false" customHeight="false" outlineLevel="0" collapsed="false">
      <c r="A44" s="4" t="s">
        <v>576</v>
      </c>
      <c r="B44" s="20" t="n">
        <f aca="false">C511</f>
        <v>-7486.75737685072</v>
      </c>
      <c r="C44" s="20" t="n">
        <f aca="false">C590</f>
        <v>-7585.84822747325</v>
      </c>
      <c r="D44" s="20" t="n">
        <f aca="false">C669</f>
        <v>-10199.8791148272</v>
      </c>
      <c r="E44" s="20" t="n">
        <f aca="false">C748</f>
        <v>-7881.88050838163</v>
      </c>
      <c r="F44" s="20" t="n">
        <f aca="false">C827</f>
        <v>-7375.53846262001</v>
      </c>
      <c r="G44" s="20" t="n">
        <f aca="false">C906</f>
        <v>-10038.6110577116</v>
      </c>
      <c r="H44" s="20" t="n">
        <f aca="false">C985</f>
        <v>-6992.47126533103</v>
      </c>
      <c r="I44" s="20" t="n">
        <f aca="false">C1064</f>
        <v>-3417.07476988606</v>
      </c>
    </row>
    <row r="45" customFormat="false" ht="15" hidden="false" customHeight="false" outlineLevel="0" collapsed="false">
      <c r="A45" s="4" t="s">
        <v>862</v>
      </c>
      <c r="B45" s="15" t="n">
        <f aca="false">B44-$B$44</f>
        <v>0</v>
      </c>
      <c r="C45" s="15" t="n">
        <f aca="false">C44-$B$44</f>
        <v>-99.0908506225223</v>
      </c>
      <c r="D45" s="15" t="n">
        <f aca="false">D44-$B$44</f>
        <v>-2713.12173797644</v>
      </c>
      <c r="E45" s="15" t="n">
        <f aca="false">E44-$B$44</f>
        <v>-395.123131530909</v>
      </c>
      <c r="F45" s="15" t="n">
        <f aca="false">F44-$B$44</f>
        <v>111.218914230718</v>
      </c>
      <c r="G45" s="15" t="n">
        <f aca="false">G44-$B$44</f>
        <v>-2551.8536808609</v>
      </c>
      <c r="H45" s="15" t="n">
        <f aca="false">H44-$B$44</f>
        <v>494.28611151969</v>
      </c>
      <c r="I45" s="15" t="n">
        <f aca="false">I44-$B$44</f>
        <v>4069.68260696466</v>
      </c>
    </row>
    <row r="46" customFormat="false" ht="15" hidden="false" customHeight="false" outlineLevel="0" collapsed="false">
      <c r="A46" s="9" t="s">
        <v>577</v>
      </c>
      <c r="B46" s="46" t="n">
        <f aca="false">C500</f>
        <v>99</v>
      </c>
      <c r="C46" s="46" t="n">
        <f aca="false">C579</f>
        <v>99</v>
      </c>
      <c r="D46" s="46" t="n">
        <f aca="false">C658</f>
        <v>99</v>
      </c>
      <c r="E46" s="46" t="n">
        <f aca="false">C737</f>
        <v>99</v>
      </c>
      <c r="F46" s="46" t="n">
        <f aca="false">C816</f>
        <v>99</v>
      </c>
      <c r="G46" s="46" t="n">
        <f aca="false">C895</f>
        <v>99</v>
      </c>
      <c r="H46" s="46" t="n">
        <f aca="false">C974</f>
        <v>99</v>
      </c>
      <c r="I46" s="46" t="n">
        <f aca="false">C1053</f>
        <v>9</v>
      </c>
    </row>
    <row r="47" customFormat="false" ht="15" hidden="false" customHeight="false" outlineLevel="0" collapsed="false">
      <c r="A47" s="9" t="s">
        <v>581</v>
      </c>
      <c r="B47" s="50" t="n">
        <f aca="false">C516</f>
        <v>5.25613619586614</v>
      </c>
      <c r="C47" s="50" t="n">
        <f aca="false">C595</f>
        <v>5.10540723425197</v>
      </c>
      <c r="D47" s="50" t="n">
        <f aca="false">C674</f>
        <v>5.25613619586614</v>
      </c>
      <c r="E47" s="50" t="n">
        <f aca="false">C753</f>
        <v>5.31217319758858</v>
      </c>
      <c r="F47" s="50" t="n">
        <f aca="false">C832</f>
        <v>5.25613619586614</v>
      </c>
      <c r="G47" s="50" t="n">
        <f aca="false">C911</f>
        <v>5.25613619586614</v>
      </c>
      <c r="H47" s="50" t="n">
        <f aca="false">C990</f>
        <v>5.98948080708662</v>
      </c>
      <c r="I47" s="50" t="n">
        <f aca="false">C1069</f>
        <v>5.25613619586614</v>
      </c>
    </row>
    <row r="48" customFormat="false" ht="15" hidden="false" customHeight="false" outlineLevel="0" collapsed="false">
      <c r="A48" s="3" t="s">
        <v>863</v>
      </c>
    </row>
    <row r="50" customFormat="false" ht="15" hidden="false" customHeight="false" outlineLevel="0" collapsed="false">
      <c r="A50" s="7" t="s">
        <v>864</v>
      </c>
      <c r="B50" s="8"/>
      <c r="C50" s="8"/>
      <c r="D50" s="8"/>
      <c r="E50" s="8"/>
      <c r="F50" s="8"/>
      <c r="G50" s="8"/>
      <c r="H50" s="8"/>
      <c r="I50" s="8"/>
      <c r="J50" s="8"/>
      <c r="K50" s="8"/>
      <c r="L50" s="8"/>
      <c r="M50" s="8"/>
      <c r="N50" s="8"/>
    </row>
    <row r="51" customFormat="false" ht="15" hidden="false" customHeight="false" outlineLevel="0" collapsed="false">
      <c r="A51" s="4" t="s">
        <v>284</v>
      </c>
      <c r="C51" s="39" t="n">
        <v>0</v>
      </c>
      <c r="D51" s="39" t="n">
        <v>1</v>
      </c>
      <c r="E51" s="39" t="n">
        <v>2</v>
      </c>
      <c r="F51" s="39" t="n">
        <v>3</v>
      </c>
      <c r="G51" s="39" t="n">
        <v>4</v>
      </c>
      <c r="H51" s="39" t="n">
        <v>5</v>
      </c>
      <c r="I51" s="39" t="n">
        <v>6</v>
      </c>
      <c r="J51" s="39" t="n">
        <v>7</v>
      </c>
      <c r="K51" s="39" t="n">
        <v>8</v>
      </c>
      <c r="L51" s="39" t="n">
        <v>9</v>
      </c>
      <c r="M51" s="39" t="n">
        <v>10</v>
      </c>
    </row>
    <row r="52" customFormat="false" ht="15" hidden="false" customHeight="false" outlineLevel="0" collapsed="false">
      <c r="A52" s="9" t="s">
        <v>285</v>
      </c>
      <c r="C52" s="40" t="n">
        <f aca="false">cf_arr</f>
        <v>220</v>
      </c>
      <c r="D52" s="36" t="n">
        <f aca="false">C52*(1+Scenarios!$B$6)</f>
        <v>264</v>
      </c>
      <c r="E52" s="36" t="n">
        <f aca="false">D52*(1+Scenarios!$B$6)</f>
        <v>316.8</v>
      </c>
      <c r="F52" s="36" t="n">
        <f aca="false">E52*(1+Scenarios!$B$6)</f>
        <v>380.16</v>
      </c>
      <c r="G52" s="36" t="n">
        <f aca="false">F52*(1+Scenarios!$B$6)</f>
        <v>456.192</v>
      </c>
      <c r="H52" s="36" t="n">
        <f aca="false">G52*(1+Scenarios!$B$6)</f>
        <v>547.4304</v>
      </c>
      <c r="I52" s="36" t="n">
        <f aca="false">H52*(1+Scenarios!$B$6)</f>
        <v>656.91648</v>
      </c>
      <c r="J52" s="36" t="n">
        <f aca="false">I52*(1+Scenarios!$B$6)</f>
        <v>788.299776</v>
      </c>
      <c r="K52" s="36" t="n">
        <f aca="false">J52*(1+Scenarios!$B$6)</f>
        <v>945.9597312</v>
      </c>
      <c r="L52" s="36" t="n">
        <f aca="false">K52*(1+Scenarios!$B$6)</f>
        <v>1135.15167744</v>
      </c>
      <c r="M52" s="36" t="n">
        <f aca="false">L52*(1+Scenarios!$B$6)</f>
        <v>1362.182012928</v>
      </c>
    </row>
    <row r="53" customFormat="false" ht="15" hidden="false" customHeight="false" outlineLevel="0" collapsed="false">
      <c r="A53" s="9" t="s">
        <v>286</v>
      </c>
      <c r="C53" s="18" t="n">
        <f aca="false">1</f>
        <v>1</v>
      </c>
      <c r="D53" s="18" t="n">
        <f aca="false">IF(D51&gt;=a_churn_year,1-Scenarios!$B$7,1)</f>
        <v>0.625</v>
      </c>
      <c r="E53" s="18" t="n">
        <f aca="false">IF(E51&gt;=a_churn_year,1-Scenarios!$B$7,1)</f>
        <v>0.625</v>
      </c>
      <c r="F53" s="18" t="n">
        <f aca="false">IF(F51&gt;=a_churn_year,1-Scenarios!$B$7,1)</f>
        <v>0.625</v>
      </c>
      <c r="G53" s="18" t="n">
        <f aca="false">IF(G51&gt;=a_churn_year,1-Scenarios!$B$7,1)</f>
        <v>0.625</v>
      </c>
      <c r="H53" s="18" t="n">
        <f aca="false">IF(H51&gt;=a_churn_year,1-Scenarios!$B$7,1)</f>
        <v>0.625</v>
      </c>
      <c r="I53" s="18" t="n">
        <f aca="false">IF(I51&gt;=a_churn_year,1-Scenarios!$B$7,1)</f>
        <v>0.625</v>
      </c>
      <c r="J53" s="18" t="n">
        <f aca="false">IF(J51&gt;=a_churn_year,1-Scenarios!$B$7,1)</f>
        <v>0.625</v>
      </c>
      <c r="K53" s="18" t="n">
        <f aca="false">IF(K51&gt;=a_churn_year,1-Scenarios!$B$7,1)</f>
        <v>0.625</v>
      </c>
      <c r="L53" s="18" t="n">
        <f aca="false">IF(L51&gt;=a_churn_year,1-Scenarios!$B$7,1)</f>
        <v>0.625</v>
      </c>
      <c r="M53" s="18" t="n">
        <f aca="false">IF(M51&gt;=a_churn_year,1-Scenarios!$B$7,1)</f>
        <v>0.625</v>
      </c>
    </row>
    <row r="54" customFormat="false" ht="15" hidden="false" customHeight="false" outlineLevel="0" collapsed="false">
      <c r="A54" s="4" t="s">
        <v>287</v>
      </c>
      <c r="C54" s="41" t="n">
        <f aca="false">C52*C53</f>
        <v>220</v>
      </c>
      <c r="D54" s="41" t="n">
        <f aca="false">D52*D53</f>
        <v>165</v>
      </c>
      <c r="E54" s="41" t="n">
        <f aca="false">E52*E53</f>
        <v>198</v>
      </c>
      <c r="F54" s="41" t="n">
        <f aca="false">F52*F53</f>
        <v>237.6</v>
      </c>
      <c r="G54" s="41" t="n">
        <f aca="false">G52*G53</f>
        <v>285.12</v>
      </c>
      <c r="H54" s="41" t="n">
        <f aca="false">H52*H53</f>
        <v>342.144</v>
      </c>
      <c r="I54" s="41" t="n">
        <f aca="false">I52*I53</f>
        <v>410.5728</v>
      </c>
      <c r="J54" s="41" t="n">
        <f aca="false">J52*J53</f>
        <v>492.68736</v>
      </c>
      <c r="K54" s="41" t="n">
        <f aca="false">K52*K53</f>
        <v>591.224832</v>
      </c>
      <c r="L54" s="41" t="n">
        <f aca="false">L52*L53</f>
        <v>709.4697984</v>
      </c>
      <c r="M54" s="41" t="n">
        <f aca="false">M52*M53</f>
        <v>851.36375808</v>
      </c>
    </row>
    <row r="55" customFormat="false" ht="15" hidden="false" customHeight="false" outlineLevel="0" collapsed="false">
      <c r="A55" s="9" t="s">
        <v>288</v>
      </c>
      <c r="C55" s="18" t="n">
        <f aca="false">MIN(a_m0+a_mstep*C51,a_mcap)</f>
        <v>0</v>
      </c>
      <c r="D55" s="18" t="n">
        <f aca="false">MIN(a_m0+a_mstep*D51,a_mcap)</f>
        <v>0.05</v>
      </c>
      <c r="E55" s="18" t="n">
        <f aca="false">MIN(a_m0+a_mstep*E51,a_mcap)</f>
        <v>0.1</v>
      </c>
      <c r="F55" s="18" t="n">
        <f aca="false">MIN(a_m0+a_mstep*F51,a_mcap)</f>
        <v>0.15</v>
      </c>
      <c r="G55" s="18" t="n">
        <f aca="false">MIN(a_m0+a_mstep*G51,a_mcap)</f>
        <v>0.2</v>
      </c>
      <c r="H55" s="18" t="n">
        <f aca="false">MIN(a_m0+a_mstep*H51,a_mcap)</f>
        <v>0.25</v>
      </c>
      <c r="I55" s="18" t="n">
        <f aca="false">MIN(a_m0+a_mstep*I51,a_mcap)</f>
        <v>0.25</v>
      </c>
      <c r="J55" s="18" t="n">
        <f aca="false">MIN(a_m0+a_mstep*J51,a_mcap)</f>
        <v>0.25</v>
      </c>
      <c r="K55" s="18" t="n">
        <f aca="false">MIN(a_m0+a_mstep*K51,a_mcap)</f>
        <v>0.25</v>
      </c>
      <c r="L55" s="18" t="n">
        <f aca="false">MIN(a_m0+a_mstep*L51,a_mcap)</f>
        <v>0.25</v>
      </c>
      <c r="M55" s="18" t="n">
        <f aca="false">MIN(a_m0+a_mstep*M51,a_mcap)</f>
        <v>0.25</v>
      </c>
    </row>
    <row r="56" customFormat="false" ht="15" hidden="false" customHeight="false" outlineLevel="0" collapsed="false">
      <c r="A56" s="9" t="s">
        <v>289</v>
      </c>
      <c r="C56" s="36" t="n">
        <f aca="false">IF(C51=a_churn_year,a_sticky*(C52-C54)*(1-C55),0)</f>
        <v>0</v>
      </c>
      <c r="D56" s="36" t="n">
        <f aca="false">IF(D51=a_churn_year,a_sticky*(D52-D54)*(1-D55),0)</f>
        <v>47.025</v>
      </c>
      <c r="E56" s="36" t="n">
        <f aca="false">IF(E51=a_churn_year,a_sticky*(E52-E54)*(1-E55),0)</f>
        <v>0</v>
      </c>
      <c r="F56" s="36" t="n">
        <f aca="false">IF(F51=a_churn_year,a_sticky*(F52-F54)*(1-F55),0)</f>
        <v>0</v>
      </c>
      <c r="G56" s="36" t="n">
        <f aca="false">IF(G51=a_churn_year,a_sticky*(G52-G54)*(1-G55),0)</f>
        <v>0</v>
      </c>
      <c r="H56" s="36" t="n">
        <f aca="false">IF(H51=a_churn_year,a_sticky*(H52-H54)*(1-H55),0)</f>
        <v>0</v>
      </c>
      <c r="I56" s="36" t="n">
        <f aca="false">IF(I51=a_churn_year,a_sticky*(I52-I54)*(1-I55),0)</f>
        <v>0</v>
      </c>
      <c r="J56" s="36" t="n">
        <f aca="false">IF(J51=a_churn_year,a_sticky*(J52-J54)*(1-J55),0)</f>
        <v>0</v>
      </c>
      <c r="K56" s="36" t="n">
        <f aca="false">IF(K51=a_churn_year,a_sticky*(K52-K54)*(1-K55),0)</f>
        <v>0</v>
      </c>
      <c r="L56" s="36" t="n">
        <f aca="false">IF(L51=a_churn_year,a_sticky*(L52-L54)*(1-L55),0)</f>
        <v>0</v>
      </c>
      <c r="M56" s="36" t="n">
        <f aca="false">IF(M51=a_churn_year,a_sticky*(M52-M54)*(1-M55),0)</f>
        <v>0</v>
      </c>
    </row>
    <row r="57" customFormat="false" ht="15" hidden="false" customHeight="false" outlineLevel="0" collapsed="false">
      <c r="A57" s="4" t="s">
        <v>290</v>
      </c>
      <c r="C57" s="41" t="n">
        <f aca="false">C54*C55-C56</f>
        <v>0</v>
      </c>
      <c r="D57" s="41" t="n">
        <f aca="false">D54*D55-D56</f>
        <v>-38.775</v>
      </c>
      <c r="E57" s="41" t="n">
        <f aca="false">E54*E55-E56</f>
        <v>19.8</v>
      </c>
      <c r="F57" s="41" t="n">
        <f aca="false">F54*F55-F56</f>
        <v>35.64</v>
      </c>
      <c r="G57" s="41" t="n">
        <f aca="false">G54*G55-G56</f>
        <v>57.024</v>
      </c>
      <c r="H57" s="41" t="n">
        <f aca="false">H54*H55-H56</f>
        <v>85.536</v>
      </c>
      <c r="I57" s="41" t="n">
        <f aca="false">I54*I55-I56</f>
        <v>102.6432</v>
      </c>
      <c r="J57" s="41" t="n">
        <f aca="false">J54*J55-J56</f>
        <v>123.17184</v>
      </c>
      <c r="K57" s="41" t="n">
        <f aca="false">K54*K55-K56</f>
        <v>147.806208</v>
      </c>
      <c r="L57" s="41" t="n">
        <f aca="false">L54*L55-L56</f>
        <v>177.3674496</v>
      </c>
      <c r="M57" s="41" t="n">
        <f aca="false">M54*M55-M56</f>
        <v>212.84093952</v>
      </c>
    </row>
    <row r="58" customFormat="false" ht="15" hidden="false" customHeight="false" outlineLevel="0" collapsed="false">
      <c r="A58" s="9" t="s">
        <v>291</v>
      </c>
      <c r="C58" s="36" t="n">
        <f aca="false">C54*a_da</f>
        <v>6.6</v>
      </c>
      <c r="D58" s="36" t="n">
        <f aca="false">D54*a_da</f>
        <v>4.95</v>
      </c>
      <c r="E58" s="36" t="n">
        <f aca="false">E54*a_da</f>
        <v>5.94</v>
      </c>
      <c r="F58" s="36" t="n">
        <f aca="false">F54*a_da</f>
        <v>7.128</v>
      </c>
      <c r="G58" s="36" t="n">
        <f aca="false">G54*a_da</f>
        <v>8.5536</v>
      </c>
      <c r="H58" s="36" t="n">
        <f aca="false">H54*a_da</f>
        <v>10.26432</v>
      </c>
      <c r="I58" s="36" t="n">
        <f aca="false">I54*a_da</f>
        <v>12.317184</v>
      </c>
      <c r="J58" s="36" t="n">
        <f aca="false">J54*a_da</f>
        <v>14.7806208</v>
      </c>
      <c r="K58" s="36" t="n">
        <f aca="false">K54*a_da</f>
        <v>17.73674496</v>
      </c>
      <c r="L58" s="36" t="n">
        <f aca="false">L54*a_da</f>
        <v>21.284093952</v>
      </c>
      <c r="M58" s="36" t="n">
        <f aca="false">M54*a_da</f>
        <v>25.5409127424</v>
      </c>
    </row>
    <row r="59" customFormat="false" ht="15" hidden="false" customHeight="false" outlineLevel="0" collapsed="false">
      <c r="A59" s="9" t="s">
        <v>292</v>
      </c>
      <c r="C59" s="36" t="n">
        <f aca="false">C57-C58</f>
        <v>-6.6</v>
      </c>
      <c r="D59" s="36" t="n">
        <f aca="false">D57-D58</f>
        <v>-43.725</v>
      </c>
      <c r="E59" s="36" t="n">
        <f aca="false">E57-E58</f>
        <v>13.86</v>
      </c>
      <c r="F59" s="36" t="n">
        <f aca="false">F57-F58</f>
        <v>28.512</v>
      </c>
      <c r="G59" s="36" t="n">
        <f aca="false">G57-G58</f>
        <v>48.4704</v>
      </c>
      <c r="H59" s="36" t="n">
        <f aca="false">H57-H58</f>
        <v>75.27168</v>
      </c>
      <c r="I59" s="36" t="n">
        <f aca="false">I57-I58</f>
        <v>90.326016</v>
      </c>
      <c r="J59" s="36" t="n">
        <f aca="false">J57-J58</f>
        <v>108.3912192</v>
      </c>
      <c r="K59" s="36" t="n">
        <f aca="false">K57-K58</f>
        <v>130.06946304</v>
      </c>
      <c r="L59" s="36" t="n">
        <f aca="false">L57-L58</f>
        <v>156.083355648</v>
      </c>
      <c r="M59" s="36" t="n">
        <f aca="false">M57-M58</f>
        <v>187.3000267776</v>
      </c>
    </row>
    <row r="60" customFormat="false" ht="15" hidden="false" customHeight="false" outlineLevel="0" collapsed="false">
      <c r="A60" s="9" t="s">
        <v>293</v>
      </c>
      <c r="C60" s="36" t="n">
        <f aca="false">MAX(0,C59)*a_tax</f>
        <v>0</v>
      </c>
      <c r="D60" s="36" t="n">
        <f aca="false">MAX(0,D59)*a_tax</f>
        <v>0</v>
      </c>
      <c r="E60" s="36" t="n">
        <f aca="false">MAX(0,E59)*a_tax</f>
        <v>3.465</v>
      </c>
      <c r="F60" s="36" t="n">
        <f aca="false">MAX(0,F59)*a_tax</f>
        <v>7.128</v>
      </c>
      <c r="G60" s="36" t="n">
        <f aca="false">MAX(0,G59)*a_tax</f>
        <v>12.1176</v>
      </c>
      <c r="H60" s="36" t="n">
        <f aca="false">MAX(0,H59)*a_tax</f>
        <v>18.81792</v>
      </c>
      <c r="I60" s="36" t="n">
        <f aca="false">MAX(0,I59)*a_tax</f>
        <v>22.581504</v>
      </c>
      <c r="J60" s="36" t="n">
        <f aca="false">MAX(0,J59)*a_tax</f>
        <v>27.0978048</v>
      </c>
      <c r="K60" s="36" t="n">
        <f aca="false">MAX(0,K59)*a_tax</f>
        <v>32.51736576</v>
      </c>
      <c r="L60" s="36" t="n">
        <f aca="false">MAX(0,L59)*a_tax</f>
        <v>39.020838912</v>
      </c>
      <c r="M60" s="36" t="n">
        <f aca="false">MAX(0,M59)*a_tax</f>
        <v>46.8250066944</v>
      </c>
    </row>
    <row r="61" customFormat="false" ht="15" hidden="false" customHeight="false" outlineLevel="0" collapsed="false">
      <c r="A61" s="4" t="s">
        <v>294</v>
      </c>
      <c r="C61" s="42" t="n">
        <f aca="false">cf_lim_pat</f>
        <v>0</v>
      </c>
      <c r="D61" s="41" t="n">
        <f aca="false">D59-D60</f>
        <v>-43.725</v>
      </c>
      <c r="E61" s="41" t="n">
        <f aca="false">E59-E60</f>
        <v>10.395</v>
      </c>
      <c r="F61" s="41" t="n">
        <f aca="false">F59-F60</f>
        <v>21.384</v>
      </c>
      <c r="G61" s="41" t="n">
        <f aca="false">G59-G60</f>
        <v>36.3528</v>
      </c>
      <c r="H61" s="41" t="n">
        <f aca="false">H59-H60</f>
        <v>56.45376</v>
      </c>
      <c r="I61" s="41" t="n">
        <f aca="false">I59-I60</f>
        <v>67.744512</v>
      </c>
      <c r="J61" s="41" t="n">
        <f aca="false">J59-J60</f>
        <v>81.2934144</v>
      </c>
      <c r="K61" s="41" t="n">
        <f aca="false">K59-K60</f>
        <v>97.55209728</v>
      </c>
      <c r="L61" s="41" t="n">
        <f aca="false">L59-L60</f>
        <v>117.062516736</v>
      </c>
      <c r="M61" s="41" t="n">
        <f aca="false">M59-M60</f>
        <v>140.4750200832</v>
      </c>
    </row>
    <row r="62" customFormat="false" ht="15" hidden="false" customHeight="false" outlineLevel="0" collapsed="false">
      <c r="A62" s="9" t="s">
        <v>295</v>
      </c>
      <c r="C62" s="36" t="n">
        <f aca="false">C54*a_capex</f>
        <v>6.6</v>
      </c>
      <c r="D62" s="36" t="n">
        <f aca="false">D54*a_capex</f>
        <v>4.95</v>
      </c>
      <c r="E62" s="36" t="n">
        <f aca="false">E54*a_capex</f>
        <v>5.94</v>
      </c>
      <c r="F62" s="36" t="n">
        <f aca="false">F54*a_capex</f>
        <v>7.128</v>
      </c>
      <c r="G62" s="36" t="n">
        <f aca="false">G54*a_capex</f>
        <v>8.5536</v>
      </c>
      <c r="H62" s="36" t="n">
        <f aca="false">H54*a_capex</f>
        <v>10.26432</v>
      </c>
      <c r="I62" s="36" t="n">
        <f aca="false">I54*a_capex</f>
        <v>12.317184</v>
      </c>
      <c r="J62" s="36" t="n">
        <f aca="false">J54*a_capex</f>
        <v>14.7806208</v>
      </c>
      <c r="K62" s="36" t="n">
        <f aca="false">K54*a_capex</f>
        <v>17.73674496</v>
      </c>
      <c r="L62" s="36" t="n">
        <f aca="false">L54*a_capex</f>
        <v>21.284093952</v>
      </c>
      <c r="M62" s="36" t="n">
        <f aca="false">M54*a_capex</f>
        <v>25.5409127424</v>
      </c>
    </row>
    <row r="63" customFormat="false" ht="15" hidden="false" customHeight="false" outlineLevel="0" collapsed="false">
      <c r="A63" s="9" t="s">
        <v>296</v>
      </c>
      <c r="C63" s="36" t="n">
        <f aca="false">0</f>
        <v>0</v>
      </c>
      <c r="D63" s="36" t="n">
        <f aca="false">a_wc*(D54-C54)</f>
        <v>-2.75</v>
      </c>
      <c r="E63" s="36" t="n">
        <f aca="false">a_wc*(E54-D54)</f>
        <v>1.65</v>
      </c>
      <c r="F63" s="36" t="n">
        <f aca="false">a_wc*(F54-E54)</f>
        <v>1.98</v>
      </c>
      <c r="G63" s="36" t="n">
        <f aca="false">a_wc*(G54-F54)</f>
        <v>2.376</v>
      </c>
      <c r="H63" s="36" t="n">
        <f aca="false">a_wc*(H54-G54)</f>
        <v>2.8512</v>
      </c>
      <c r="I63" s="36" t="n">
        <f aca="false">a_wc*(I54-H54)</f>
        <v>3.42144</v>
      </c>
      <c r="J63" s="36" t="n">
        <f aca="false">a_wc*(J54-I54)</f>
        <v>4.105728</v>
      </c>
      <c r="K63" s="36" t="n">
        <f aca="false">a_wc*(K54-J54)</f>
        <v>4.9268736</v>
      </c>
      <c r="L63" s="36" t="n">
        <f aca="false">a_wc*(L54-K54)</f>
        <v>5.91224832</v>
      </c>
      <c r="M63" s="36" t="n">
        <f aca="false">a_wc*(M54-L54)</f>
        <v>7.094697984</v>
      </c>
    </row>
    <row r="64" customFormat="false" ht="15" hidden="false" customHeight="false" outlineLevel="0" collapsed="false">
      <c r="A64" s="4" t="s">
        <v>297</v>
      </c>
      <c r="C64" s="36" t="n">
        <f aca="false">0</f>
        <v>0</v>
      </c>
      <c r="D64" s="41" t="n">
        <f aca="false">D61+D58-D62-D63</f>
        <v>-40.975</v>
      </c>
      <c r="E64" s="41" t="n">
        <f aca="false">E61+E58-E62-E63</f>
        <v>8.745</v>
      </c>
      <c r="F64" s="41" t="n">
        <f aca="false">F61+F58-F62-F63</f>
        <v>19.404</v>
      </c>
      <c r="G64" s="41" t="n">
        <f aca="false">G61+G58-G62-G63</f>
        <v>33.9768</v>
      </c>
      <c r="H64" s="41" t="n">
        <f aca="false">H61+H58-H62-H63</f>
        <v>53.60256</v>
      </c>
      <c r="I64" s="41" t="n">
        <f aca="false">I61+I58-I62-I63</f>
        <v>64.323072</v>
      </c>
      <c r="J64" s="41" t="n">
        <f aca="false">J61+J58-J62-J63</f>
        <v>77.1876864</v>
      </c>
      <c r="K64" s="41" t="n">
        <f aca="false">K61+K58-K62-K63</f>
        <v>92.62522368</v>
      </c>
      <c r="L64" s="41" t="n">
        <f aca="false">L61+L58-L62-L63</f>
        <v>111.150268416</v>
      </c>
      <c r="M64" s="41" t="n">
        <f aca="false">M61+M58-M62-M63</f>
        <v>133.3803220992</v>
      </c>
    </row>
    <row r="66" customFormat="false" ht="15" hidden="false" customHeight="false" outlineLevel="0" collapsed="false">
      <c r="A66" s="7" t="s">
        <v>865</v>
      </c>
      <c r="B66" s="8"/>
      <c r="C66" s="8"/>
      <c r="D66" s="8"/>
      <c r="E66" s="8"/>
      <c r="F66" s="8"/>
      <c r="G66" s="8"/>
      <c r="H66" s="8"/>
      <c r="I66" s="8"/>
      <c r="J66" s="8"/>
      <c r="K66" s="8"/>
      <c r="L66" s="8"/>
      <c r="M66" s="8"/>
      <c r="N66" s="8"/>
    </row>
    <row r="67" customFormat="false" ht="15" hidden="false" customHeight="false" outlineLevel="0" collapsed="false">
      <c r="A67" s="9" t="s">
        <v>482</v>
      </c>
      <c r="C67" s="35" t="n">
        <f aca="false">Scenarios!$B$12/(c_price*(1-a_issue_disc))</f>
        <v>1.024</v>
      </c>
    </row>
    <row r="68" customFormat="false" ht="15" hidden="false" customHeight="false" outlineLevel="0" collapsed="false">
      <c r="A68" s="9" t="s">
        <v>449</v>
      </c>
      <c r="C68" s="35" t="n">
        <f aca="false">cf_shares+C67</f>
        <v>65.024</v>
      </c>
    </row>
    <row r="69" customFormat="false" ht="15" hidden="false" customHeight="false" outlineLevel="0" collapsed="false">
      <c r="A69" s="9" t="s">
        <v>483</v>
      </c>
      <c r="C69" s="36" t="n">
        <f aca="false">Scenarios!$B$10*a_yield*(1-a_tax)+Scenarios!$B$11*a_kd*(1-a_tax)</f>
        <v>94.5</v>
      </c>
    </row>
    <row r="70" customFormat="false" ht="15" hidden="false" customHeight="false" outlineLevel="0" collapsed="false">
      <c r="A70" s="9" t="s">
        <v>484</v>
      </c>
      <c r="C70" s="36" t="n">
        <f aca="false">Scenarios!$B$14*a_ppa_share/a_ppa_life*(1-a_tax)</f>
        <v>93.75</v>
      </c>
    </row>
    <row r="71" customFormat="false" ht="15" hidden="false" customHeight="false" outlineLevel="0" collapsed="false">
      <c r="A71" s="9" t="s">
        <v>485</v>
      </c>
      <c r="C71" s="36" t="n">
        <f aca="false">a_ppa_on*C70</f>
        <v>0</v>
      </c>
    </row>
    <row r="72" customFormat="false" ht="15" hidden="false" customHeight="false" outlineLevel="0" collapsed="false">
      <c r="A72" s="9" t="s">
        <v>486</v>
      </c>
      <c r="C72" s="36" t="n">
        <f aca="false">Scenarios!$B$14*a_fees_pct+a_integ_full</f>
        <v>160</v>
      </c>
    </row>
    <row r="73" customFormat="false" ht="15" hidden="false" customHeight="false" outlineLevel="0" collapsed="false">
      <c r="A73" s="9" t="s">
        <v>487</v>
      </c>
      <c r="C73" s="36" t="n">
        <f aca="false">0</f>
        <v>0</v>
      </c>
      <c r="D73" s="36" t="n">
        <f aca="false">a_syn_on*(a_syn_partner_rev_y3+a_syn_xsell_y3)*a_mcap*IF(D51=1,a_syn_ramp1,IF(D51=2,a_syn_ramp2,1))+a_syn_on*IF(D51&gt;=2,a_syn_cost,0)</f>
        <v>0</v>
      </c>
      <c r="E73" s="36" t="n">
        <f aca="false">a_syn_on*(a_syn_partner_rev_y3+a_syn_xsell_y3)*a_mcap*IF(E51=1,a_syn_ramp1,IF(E51=2,a_syn_ramp2,1))+a_syn_on*IF(E51&gt;=2,a_syn_cost,0)</f>
        <v>0</v>
      </c>
      <c r="F73" s="36" t="n">
        <f aca="false">a_syn_on*(a_syn_partner_rev_y3+a_syn_xsell_y3)*a_mcap*IF(F51=1,a_syn_ramp1,IF(F51=2,a_syn_ramp2,1))+a_syn_on*IF(F51&gt;=2,a_syn_cost,0)</f>
        <v>0</v>
      </c>
      <c r="G73" s="36" t="n">
        <f aca="false">a_syn_on*(a_syn_partner_rev_y3+a_syn_xsell_y3)*a_mcap*IF(G51=1,a_syn_ramp1,IF(G51=2,a_syn_ramp2,1))+a_syn_on*IF(G51&gt;=2,a_syn_cost,0)</f>
        <v>0</v>
      </c>
      <c r="H73" s="36" t="n">
        <f aca="false">a_syn_on*(a_syn_partner_rev_y3+a_syn_xsell_y3)*a_mcap*IF(H51=1,a_syn_ramp1,IF(H51=2,a_syn_ramp2,1))+a_syn_on*IF(H51&gt;=2,a_syn_cost,0)</f>
        <v>0</v>
      </c>
      <c r="I73" s="36" t="n">
        <f aca="false">a_syn_on*(a_syn_partner_rev_y3+a_syn_xsell_y3)*a_mcap*IF(I51=1,a_syn_ramp1,IF(I51=2,a_syn_ramp2,1))+a_syn_on*IF(I51&gt;=2,a_syn_cost,0)</f>
        <v>0</v>
      </c>
      <c r="J73" s="36" t="n">
        <f aca="false">a_syn_on*(a_syn_partner_rev_y3+a_syn_xsell_y3)*a_mcap*IF(J51=1,a_syn_ramp1,IF(J51=2,a_syn_ramp2,1))+a_syn_on*IF(J51&gt;=2,a_syn_cost,0)</f>
        <v>0</v>
      </c>
      <c r="K73" s="36" t="n">
        <f aca="false">a_syn_on*(a_syn_partner_rev_y3+a_syn_xsell_y3)*a_mcap*IF(K51=1,a_syn_ramp1,IF(K51=2,a_syn_ramp2,1))+a_syn_on*IF(K51&gt;=2,a_syn_cost,0)</f>
        <v>0</v>
      </c>
      <c r="L73" s="36" t="n">
        <f aca="false">a_syn_on*(a_syn_partner_rev_y3+a_syn_xsell_y3)*a_mcap*IF(L51=1,a_syn_ramp1,IF(L51=2,a_syn_ramp2,1))+a_syn_on*IF(L51&gt;=2,a_syn_cost,0)</f>
        <v>0</v>
      </c>
      <c r="M73" s="36" t="n">
        <f aca="false">a_syn_on*(a_syn_partner_rev_y3+a_syn_xsell_y3)*a_mcap*IF(M51=1,a_syn_ramp1,IF(M51=2,a_syn_ramp2,1))+a_syn_on*IF(M51&gt;=2,a_syn_cost,0)</f>
        <v>0</v>
      </c>
    </row>
    <row r="74" customFormat="false" ht="15" hidden="false" customHeight="false" outlineLevel="0" collapsed="false">
      <c r="A74" s="9" t="s">
        <v>488</v>
      </c>
      <c r="C74" s="36" t="n">
        <f aca="false">0</f>
        <v>0</v>
      </c>
      <c r="D74" s="36" t="n">
        <f aca="false">CHOOSE(Scenarios!$B$9,Scenarios!$B$8,Scenarios!$B$8*D54/cf_arr,Scenarios!$B$8*(1-a_tax))</f>
        <v>750</v>
      </c>
      <c r="E74" s="36" t="n">
        <f aca="false">CHOOSE(Scenarios!$B$9,Scenarios!$B$8,Scenarios!$B$8*E54/cf_arr,Scenarios!$B$8*(1-a_tax))</f>
        <v>750</v>
      </c>
      <c r="F74" s="36" t="n">
        <f aca="false">CHOOSE(Scenarios!$B$9,Scenarios!$B$8,Scenarios!$B$8*F54/cf_arr,Scenarios!$B$8*(1-a_tax))</f>
        <v>750</v>
      </c>
      <c r="G74" s="36" t="n">
        <f aca="false">CHOOSE(Scenarios!$B$9,Scenarios!$B$8,Scenarios!$B$8*G54/cf_arr,Scenarios!$B$8*(1-a_tax))</f>
        <v>750</v>
      </c>
      <c r="H74" s="36" t="n">
        <f aca="false">CHOOSE(Scenarios!$B$9,Scenarios!$B$8,Scenarios!$B$8*H54/cf_arr,Scenarios!$B$8*(1-a_tax))</f>
        <v>750</v>
      </c>
      <c r="I74" s="36" t="n">
        <f aca="false">CHOOSE(Scenarios!$B$9,Scenarios!$B$8,Scenarios!$B$8*I54/cf_arr,Scenarios!$B$8*(1-a_tax))</f>
        <v>750</v>
      </c>
      <c r="J74" s="36" t="n">
        <f aca="false">CHOOSE(Scenarios!$B$9,Scenarios!$B$8,Scenarios!$B$8*J54/cf_arr,Scenarios!$B$8*(1-a_tax))</f>
        <v>750</v>
      </c>
      <c r="K74" s="36" t="n">
        <f aca="false">CHOOSE(Scenarios!$B$9,Scenarios!$B$8,Scenarios!$B$8*K54/cf_arr,Scenarios!$B$8*(1-a_tax))</f>
        <v>750</v>
      </c>
      <c r="L74" s="36" t="n">
        <f aca="false">CHOOSE(Scenarios!$B$9,Scenarios!$B$8,Scenarios!$B$8*L54/cf_arr,Scenarios!$B$8*(1-a_tax))</f>
        <v>750</v>
      </c>
      <c r="M74" s="36" t="n">
        <f aca="false">CHOOSE(Scenarios!$B$9,Scenarios!$B$8,Scenarios!$B$8*M54/cf_arr,Scenarios!$B$8*(1-a_tax))</f>
        <v>750</v>
      </c>
    </row>
    <row r="75" customFormat="false" ht="15" hidden="false" customHeight="false" outlineLevel="0" collapsed="false">
      <c r="A75" s="9" t="s">
        <v>489</v>
      </c>
      <c r="C75" s="36" t="n">
        <f aca="false">0</f>
        <v>0</v>
      </c>
      <c r="D75" s="36" t="n">
        <f aca="false">IF(Scenarios!$B$9=3,Scenarios!$B$8*(1-a_tax),0)</f>
        <v>0</v>
      </c>
      <c r="E75" s="36" t="n">
        <f aca="false">IF(Scenarios!$B$9=3,Scenarios!$B$8*(1-a_tax),0)</f>
        <v>0</v>
      </c>
      <c r="F75" s="36" t="n">
        <f aca="false">IF(Scenarios!$B$9=3,Scenarios!$B$8*(1-a_tax),0)</f>
        <v>0</v>
      </c>
      <c r="G75" s="36" t="n">
        <f aca="false">IF(Scenarios!$B$9=3,Scenarios!$B$8*(1-a_tax),0)</f>
        <v>0</v>
      </c>
      <c r="H75" s="36" t="n">
        <f aca="false">IF(Scenarios!$B$9=3,Scenarios!$B$8*(1-a_tax),0)</f>
        <v>0</v>
      </c>
      <c r="I75" s="36" t="n">
        <f aca="false">IF(Scenarios!$B$9=3,Scenarios!$B$8*(1-a_tax),0)</f>
        <v>0</v>
      </c>
      <c r="J75" s="36" t="n">
        <f aca="false">IF(Scenarios!$B$9=3,Scenarios!$B$8*(1-a_tax),0)</f>
        <v>0</v>
      </c>
      <c r="K75" s="36" t="n">
        <f aca="false">IF(Scenarios!$B$9=3,Scenarios!$B$8*(1-a_tax),0)</f>
        <v>0</v>
      </c>
      <c r="L75" s="36" t="n">
        <f aca="false">IF(Scenarios!$B$9=3,Scenarios!$B$8*(1-a_tax),0)</f>
        <v>0</v>
      </c>
      <c r="M75" s="36" t="n">
        <f aca="false">IF(Scenarios!$B$9=3,Scenarios!$B$8*(1-a_tax),0)</f>
        <v>0</v>
      </c>
    </row>
    <row r="76" customFormat="false" ht="15" hidden="false" customHeight="false" outlineLevel="0" collapsed="false">
      <c r="A76" s="9" t="s">
        <v>490</v>
      </c>
      <c r="C76" s="36" t="n">
        <f aca="false">0</f>
        <v>0</v>
      </c>
      <c r="D76" s="36" t="n">
        <f aca="false">IF(Scenarios!$B$9=3,0,C76+D74)</f>
        <v>750</v>
      </c>
      <c r="E76" s="36" t="n">
        <f aca="false">IF(Scenarios!$B$9=3,0,D76+E74)</f>
        <v>1500</v>
      </c>
      <c r="F76" s="36" t="n">
        <f aca="false">IF(Scenarios!$B$9=3,0,E76+F74)</f>
        <v>2250</v>
      </c>
      <c r="G76" s="36" t="n">
        <f aca="false">IF(Scenarios!$B$9=3,0,F76+G74)</f>
        <v>3000</v>
      </c>
      <c r="H76" s="36" t="n">
        <f aca="false">IF(Scenarios!$B$9=3,0,G76+H74)</f>
        <v>3750</v>
      </c>
      <c r="I76" s="36" t="n">
        <f aca="false">IF(Scenarios!$B$9=3,0,H76+I74)</f>
        <v>4500</v>
      </c>
      <c r="J76" s="36" t="n">
        <f aca="false">IF(Scenarios!$B$9=3,0,I76+J74)</f>
        <v>5250</v>
      </c>
      <c r="K76" s="36" t="n">
        <f aca="false">IF(Scenarios!$B$9=3,0,J76+K74)</f>
        <v>6000</v>
      </c>
      <c r="L76" s="36" t="n">
        <f aca="false">IF(Scenarios!$B$9=3,0,K76+L74)</f>
        <v>6750</v>
      </c>
      <c r="M76" s="36" t="n">
        <f aca="false">IF(Scenarios!$B$9=3,0,L76+M74)</f>
        <v>7500</v>
      </c>
    </row>
    <row r="77" customFormat="false" ht="15" hidden="false" customHeight="false" outlineLevel="0" collapsed="false">
      <c r="A77" s="9" t="s">
        <v>491</v>
      </c>
      <c r="C77" s="36" t="n">
        <f aca="false">0</f>
        <v>0</v>
      </c>
      <c r="D77" s="36" t="n">
        <f aca="false">C76*a_yield*(1-a_tax)</f>
        <v>0</v>
      </c>
      <c r="E77" s="36" t="n">
        <f aca="false">D76*a_yield*(1-a_tax)</f>
        <v>33.75</v>
      </c>
      <c r="F77" s="36" t="n">
        <f aca="false">E76*a_yield*(1-a_tax)</f>
        <v>67.5</v>
      </c>
      <c r="G77" s="36" t="n">
        <f aca="false">F76*a_yield*(1-a_tax)</f>
        <v>101.25</v>
      </c>
      <c r="H77" s="36" t="n">
        <f aca="false">G76*a_yield*(1-a_tax)</f>
        <v>135</v>
      </c>
      <c r="I77" s="36" t="n">
        <f aca="false">H76*a_yield*(1-a_tax)</f>
        <v>168.75</v>
      </c>
      <c r="J77" s="36" t="n">
        <f aca="false">I76*a_yield*(1-a_tax)</f>
        <v>202.5</v>
      </c>
      <c r="K77" s="36" t="n">
        <f aca="false">J76*a_yield*(1-a_tax)</f>
        <v>236.25</v>
      </c>
      <c r="L77" s="36" t="n">
        <f aca="false">K76*a_yield*(1-a_tax)</f>
        <v>270</v>
      </c>
      <c r="M77" s="36" t="n">
        <f aca="false">L76*a_yield*(1-a_tax)</f>
        <v>303.75</v>
      </c>
    </row>
    <row r="78" customFormat="false" ht="15" hidden="false" customHeight="false" outlineLevel="0" collapsed="false">
      <c r="A78" s="9" t="s">
        <v>492</v>
      </c>
      <c r="C78" s="36" t="n">
        <f aca="false">cf_pat</f>
        <v>480</v>
      </c>
      <c r="D78" s="36" t="n">
        <f aca="false">cf_pat*(1+a_pat_growth)^D51</f>
        <v>480</v>
      </c>
      <c r="E78" s="36" t="n">
        <f aca="false">cf_pat*(1+a_pat_growth)^E51</f>
        <v>480</v>
      </c>
      <c r="F78" s="36" t="n">
        <f aca="false">cf_pat*(1+a_pat_growth)^F51</f>
        <v>480</v>
      </c>
      <c r="G78" s="36" t="n">
        <f aca="false">cf_pat*(1+a_pat_growth)^G51</f>
        <v>480</v>
      </c>
      <c r="H78" s="36" t="n">
        <f aca="false">cf_pat*(1+a_pat_growth)^H51</f>
        <v>480</v>
      </c>
      <c r="I78" s="36" t="n">
        <f aca="false">cf_pat*(1+a_pat_growth)^I51</f>
        <v>480</v>
      </c>
      <c r="J78" s="36" t="n">
        <f aca="false">cf_pat*(1+a_pat_growth)^J51</f>
        <v>480</v>
      </c>
      <c r="K78" s="36" t="n">
        <f aca="false">cf_pat*(1+a_pat_growth)^K51</f>
        <v>480</v>
      </c>
      <c r="L78" s="36" t="n">
        <f aca="false">cf_pat*(1+a_pat_growth)^L51</f>
        <v>480</v>
      </c>
      <c r="M78" s="36" t="n">
        <f aca="false">cf_pat*(1+a_pat_growth)^M51</f>
        <v>480</v>
      </c>
    </row>
    <row r="79" customFormat="false" ht="15" hidden="false" customHeight="false" outlineLevel="0" collapsed="false">
      <c r="A79" s="9" t="s">
        <v>493</v>
      </c>
      <c r="C79" s="36" t="n">
        <f aca="false">0</f>
        <v>0</v>
      </c>
      <c r="D79" s="36" t="n">
        <f aca="false">cf_mdr*a_mdr_flow*(1-a_tax)</f>
        <v>69</v>
      </c>
      <c r="E79" s="36" t="n">
        <f aca="false">cf_mdr*a_mdr_flow*(1-a_tax)</f>
        <v>69</v>
      </c>
      <c r="F79" s="36" t="n">
        <f aca="false">cf_mdr*a_mdr_flow*(1-a_tax)</f>
        <v>69</v>
      </c>
      <c r="G79" s="36" t="n">
        <f aca="false">cf_mdr*a_mdr_flow*(1-a_tax)</f>
        <v>69</v>
      </c>
      <c r="H79" s="36" t="n">
        <f aca="false">cf_mdr*a_mdr_flow*(1-a_tax)</f>
        <v>69</v>
      </c>
      <c r="I79" s="36" t="n">
        <f aca="false">cf_mdr*a_mdr_flow*(1-a_tax)</f>
        <v>69</v>
      </c>
      <c r="J79" s="36" t="n">
        <f aca="false">cf_mdr*a_mdr_flow*(1-a_tax)</f>
        <v>69</v>
      </c>
      <c r="K79" s="36" t="n">
        <f aca="false">cf_mdr*a_mdr_flow*(1-a_tax)</f>
        <v>69</v>
      </c>
      <c r="L79" s="36" t="n">
        <f aca="false">cf_mdr*a_mdr_flow*(1-a_tax)</f>
        <v>69</v>
      </c>
      <c r="M79" s="36" t="n">
        <f aca="false">cf_mdr*a_mdr_flow*(1-a_tax)</f>
        <v>69</v>
      </c>
    </row>
    <row r="80" customFormat="false" ht="15" hidden="false" customHeight="false" outlineLevel="0" collapsed="false">
      <c r="A80" s="9" t="s">
        <v>494</v>
      </c>
      <c r="C80" s="50" t="n">
        <f aca="false">cf_eps</f>
        <v>7.5</v>
      </c>
      <c r="D80" s="50" t="n">
        <f aca="false">D78/cf_shares</f>
        <v>7.5</v>
      </c>
      <c r="E80" s="50" t="n">
        <f aca="false">E78/cf_shares</f>
        <v>7.5</v>
      </c>
      <c r="F80" s="50" t="n">
        <f aca="false">F78/cf_shares</f>
        <v>7.5</v>
      </c>
      <c r="G80" s="50" t="n">
        <f aca="false">G78/cf_shares</f>
        <v>7.5</v>
      </c>
      <c r="H80" s="50" t="n">
        <f aca="false">H78/cf_shares</f>
        <v>7.5</v>
      </c>
      <c r="I80" s="50" t="n">
        <f aca="false">I78/cf_shares</f>
        <v>7.5</v>
      </c>
      <c r="J80" s="50" t="n">
        <f aca="false">J78/cf_shares</f>
        <v>7.5</v>
      </c>
      <c r="K80" s="50" t="n">
        <f aca="false">K78/cf_shares</f>
        <v>7.5</v>
      </c>
      <c r="L80" s="50" t="n">
        <f aca="false">L78/cf_shares</f>
        <v>7.5</v>
      </c>
      <c r="M80" s="50" t="n">
        <f aca="false">M78/cf_shares</f>
        <v>7.5</v>
      </c>
    </row>
    <row r="81" customFormat="false" ht="15" hidden="false" customHeight="false" outlineLevel="0" collapsed="false">
      <c r="A81" s="9" t="s">
        <v>495</v>
      </c>
      <c r="C81" s="50" t="n">
        <f aca="false">cf_eps</f>
        <v>7.5</v>
      </c>
      <c r="D81" s="50" t="n">
        <f aca="false">(D78+D79)/cf_shares</f>
        <v>8.578125</v>
      </c>
      <c r="E81" s="50" t="n">
        <f aca="false">(E78+E79)/cf_shares</f>
        <v>8.578125</v>
      </c>
      <c r="F81" s="50" t="n">
        <f aca="false">(F78+F79)/cf_shares</f>
        <v>8.578125</v>
      </c>
      <c r="G81" s="50" t="n">
        <f aca="false">(G78+G79)/cf_shares</f>
        <v>8.578125</v>
      </c>
      <c r="H81" s="50" t="n">
        <f aca="false">(H78+H79)/cf_shares</f>
        <v>8.578125</v>
      </c>
      <c r="I81" s="50" t="n">
        <f aca="false">(I78+I79)/cf_shares</f>
        <v>8.578125</v>
      </c>
      <c r="J81" s="50" t="n">
        <f aca="false">(J78+J79)/cf_shares</f>
        <v>8.578125</v>
      </c>
      <c r="K81" s="50" t="n">
        <f aca="false">(K78+K79)/cf_shares</f>
        <v>8.578125</v>
      </c>
      <c r="L81" s="50" t="n">
        <f aca="false">(L78+L79)/cf_shares</f>
        <v>8.578125</v>
      </c>
      <c r="M81" s="50" t="n">
        <f aca="false">(M78+M79)/cf_shares</f>
        <v>8.578125</v>
      </c>
    </row>
    <row r="82" customFormat="false" ht="15" hidden="false" customHeight="false" outlineLevel="0" collapsed="false">
      <c r="A82" s="4" t="s">
        <v>496</v>
      </c>
      <c r="C82" s="41" t="n">
        <f aca="false">-C69-C71</f>
        <v>-94.5</v>
      </c>
      <c r="D82" s="41" t="n">
        <f aca="false">D61+D73*(1-a_tax)-C69-C71-D75-D77</f>
        <v>-138.225</v>
      </c>
      <c r="E82" s="41" t="n">
        <f aca="false">E61+E73*(1-a_tax)-C69-C71-E75-E77</f>
        <v>-117.855</v>
      </c>
      <c r="F82" s="41" t="n">
        <f aca="false">F61+F73*(1-a_tax)-C69-C71-F75-F77</f>
        <v>-140.616</v>
      </c>
      <c r="G82" s="41" t="n">
        <f aca="false">G61+G73*(1-a_tax)-C69-C71-G75-G77</f>
        <v>-159.3972</v>
      </c>
      <c r="H82" s="41" t="n">
        <f aca="false">H61+H73*(1-a_tax)-C69-C71-H75-H77</f>
        <v>-173.04624</v>
      </c>
      <c r="I82" s="41" t="n">
        <f aca="false">I61+I73*(1-a_tax)-C69-C71-I75-I77</f>
        <v>-195.505488</v>
      </c>
      <c r="J82" s="41" t="n">
        <f aca="false">J61+J73*(1-a_tax)-C69-C71-J75-J77</f>
        <v>-215.7065856</v>
      </c>
      <c r="K82" s="41" t="n">
        <f aca="false">K61+K73*(1-a_tax)-C69-C71-K75-K77</f>
        <v>-233.19790272</v>
      </c>
      <c r="L82" s="41" t="n">
        <f aca="false">L61+L73*(1-a_tax)-C69-C71-L75-L77</f>
        <v>-247.437483264</v>
      </c>
      <c r="M82" s="41" t="n">
        <f aca="false">M61+M73*(1-a_tax)-C69-C71-M75-M77</f>
        <v>-257.7749799168</v>
      </c>
    </row>
    <row r="83" customFormat="false" ht="15" hidden="false" customHeight="false" outlineLevel="0" collapsed="false">
      <c r="A83" s="9" t="s">
        <v>497</v>
      </c>
      <c r="C83" s="36" t="n">
        <f aca="false">C78+C82</f>
        <v>385.5</v>
      </c>
      <c r="D83" s="36" t="n">
        <f aca="false">D78+D82</f>
        <v>341.775</v>
      </c>
      <c r="E83" s="36" t="n">
        <f aca="false">E78+E82</f>
        <v>362.145</v>
      </c>
      <c r="F83" s="36" t="n">
        <f aca="false">F78+F82</f>
        <v>339.384</v>
      </c>
      <c r="G83" s="36" t="n">
        <f aca="false">G78+G82</f>
        <v>320.6028</v>
      </c>
      <c r="H83" s="36" t="n">
        <f aca="false">H78+H82</f>
        <v>306.95376</v>
      </c>
      <c r="I83" s="36" t="n">
        <f aca="false">I78+I82</f>
        <v>284.494512</v>
      </c>
      <c r="J83" s="36" t="n">
        <f aca="false">J78+J82</f>
        <v>264.2934144</v>
      </c>
      <c r="K83" s="36" t="n">
        <f aca="false">K78+K82</f>
        <v>246.80209728</v>
      </c>
      <c r="L83" s="36" t="n">
        <f aca="false">L78+L82</f>
        <v>232.562516736</v>
      </c>
      <c r="M83" s="36" t="n">
        <f aca="false">M78+M82</f>
        <v>222.2250200832</v>
      </c>
    </row>
    <row r="84" customFormat="false" ht="15" hidden="false" customHeight="false" outlineLevel="0" collapsed="false">
      <c r="A84" s="4" t="s">
        <v>498</v>
      </c>
      <c r="C84" s="48" t="n">
        <f aca="false">C83/C68</f>
        <v>5.92858021653543</v>
      </c>
      <c r="D84" s="48" t="n">
        <f aca="false">D83/C68</f>
        <v>5.25613619586614</v>
      </c>
      <c r="E84" s="48" t="n">
        <f aca="false">E83/C68</f>
        <v>5.56940514271654</v>
      </c>
      <c r="F84" s="48" t="n">
        <f aca="false">F83/C68</f>
        <v>5.21936515748032</v>
      </c>
      <c r="G84" s="48" t="n">
        <f aca="false">G83/C68</f>
        <v>4.93053026574803</v>
      </c>
      <c r="H84" s="48" t="n">
        <f aca="false">H83/C68</f>
        <v>4.72062253937008</v>
      </c>
      <c r="I84" s="48" t="n">
        <f aca="false">I83/C68</f>
        <v>4.37522317913386</v>
      </c>
      <c r="J84" s="48" t="n">
        <f aca="false">J83/C68</f>
        <v>4.06455177165354</v>
      </c>
      <c r="K84" s="48" t="n">
        <f aca="false">K83/C68</f>
        <v>3.79555390748031</v>
      </c>
      <c r="L84" s="48" t="n">
        <f aca="false">L83/C68</f>
        <v>3.57656429527559</v>
      </c>
      <c r="M84" s="48" t="n">
        <f aca="false">M83/C68</f>
        <v>3.41758458543307</v>
      </c>
    </row>
    <row r="85" customFormat="false" ht="15" hidden="false" customHeight="false" outlineLevel="0" collapsed="false">
      <c r="A85" s="4" t="s">
        <v>499</v>
      </c>
      <c r="C85" s="14" t="n">
        <f aca="false">C84/cf_eps-1</f>
        <v>-0.209522637795276</v>
      </c>
      <c r="D85" s="14" t="n">
        <f aca="false">D84/cf_eps-1</f>
        <v>-0.299181840551181</v>
      </c>
      <c r="E85" s="14" t="n">
        <f aca="false">E84/cf_eps-1</f>
        <v>-0.257412647637795</v>
      </c>
      <c r="F85" s="14" t="n">
        <f aca="false">F84/cf_eps-1</f>
        <v>-0.304084645669291</v>
      </c>
      <c r="G85" s="14" t="n">
        <f aca="false">G84/cf_eps-1</f>
        <v>-0.342595964566929</v>
      </c>
      <c r="H85" s="14" t="n">
        <f aca="false">H84/cf_eps-1</f>
        <v>-0.370583661417323</v>
      </c>
      <c r="I85" s="14" t="n">
        <f aca="false">I84/cf_eps-1</f>
        <v>-0.416636909448819</v>
      </c>
      <c r="J85" s="14" t="n">
        <f aca="false">J84/cf_eps-1</f>
        <v>-0.458059763779528</v>
      </c>
      <c r="K85" s="14" t="n">
        <f aca="false">K84/cf_eps-1</f>
        <v>-0.493926145669291</v>
      </c>
      <c r="L85" s="14" t="n">
        <f aca="false">L84/cf_eps-1</f>
        <v>-0.523124760629921</v>
      </c>
      <c r="M85" s="14" t="n">
        <f aca="false">M84/cf_eps-1</f>
        <v>-0.544322055275591</v>
      </c>
    </row>
    <row r="86" customFormat="false" ht="15" hidden="false" customHeight="false" outlineLevel="0" collapsed="false">
      <c r="A86" s="9" t="s">
        <v>500</v>
      </c>
      <c r="C86" s="50" t="n">
        <f aca="false">C84</f>
        <v>5.92858021653543</v>
      </c>
      <c r="D86" s="50" t="n">
        <f aca="false">(D83+D79)/C68</f>
        <v>6.31728284940945</v>
      </c>
      <c r="E86" s="50" t="n">
        <f aca="false">(E83+E79)/C68</f>
        <v>6.63055179625984</v>
      </c>
      <c r="F86" s="50" t="n">
        <f aca="false">(F83+F79)/C68</f>
        <v>6.28051181102362</v>
      </c>
      <c r="G86" s="50" t="n">
        <f aca="false">(G83+G79)/C68</f>
        <v>5.99167691929134</v>
      </c>
      <c r="H86" s="50" t="n">
        <f aca="false">(H83+H79)/C68</f>
        <v>5.78176919291339</v>
      </c>
      <c r="I86" s="50" t="n">
        <f aca="false">(I83+I79)/C68</f>
        <v>5.43636983267717</v>
      </c>
      <c r="J86" s="50" t="n">
        <f aca="false">(J83+J79)/C68</f>
        <v>5.12569842519685</v>
      </c>
      <c r="K86" s="50" t="n">
        <f aca="false">(K83+K79)/C68</f>
        <v>4.85670056102362</v>
      </c>
      <c r="L86" s="50" t="n">
        <f aca="false">(L83+L79)/C68</f>
        <v>4.6377109488189</v>
      </c>
      <c r="M86" s="50" t="n">
        <f aca="false">(M83+M79)/C68</f>
        <v>4.47873123897638</v>
      </c>
    </row>
    <row r="87" customFormat="false" ht="15" hidden="false" customHeight="false" outlineLevel="0" collapsed="false">
      <c r="A87" s="9" t="s">
        <v>501</v>
      </c>
      <c r="C87" s="18" t="n">
        <f aca="false">C85</f>
        <v>-0.209522637795276</v>
      </c>
      <c r="D87" s="18" t="n">
        <f aca="false">D86/D81-1</f>
        <v>-0.263559012090702</v>
      </c>
      <c r="E87" s="18" t="n">
        <f aca="false">E86/E81-1</f>
        <v>-0.227039499160966</v>
      </c>
      <c r="F87" s="18" t="n">
        <f aca="false">F86/F81-1</f>
        <v>-0.267845617658448</v>
      </c>
      <c r="G87" s="18" t="n">
        <f aca="false">G86/G81-1</f>
        <v>-0.301516716148186</v>
      </c>
      <c r="H87" s="18" t="n">
        <f aca="false">H86/H81-1</f>
        <v>-0.325986833613012</v>
      </c>
      <c r="I87" s="18" t="n">
        <f aca="false">I86/I81-1</f>
        <v>-0.366251968503937</v>
      </c>
      <c r="J87" s="18" t="n">
        <f aca="false">J86/J81-1</f>
        <v>-0.402468671743901</v>
      </c>
      <c r="K87" s="18" t="n">
        <f aca="false">K86/K81-1</f>
        <v>-0.433827257002711</v>
      </c>
      <c r="L87" s="18" t="n">
        <f aca="false">L86/L81-1</f>
        <v>-0.459356100684136</v>
      </c>
      <c r="M87" s="18" t="n">
        <f aca="false">M86/M81-1</f>
        <v>-0.477889254472699</v>
      </c>
    </row>
    <row r="88" customFormat="false" ht="15" hidden="false" customHeight="false" outlineLevel="0" collapsed="false">
      <c r="A88" s="9" t="s">
        <v>502</v>
      </c>
      <c r="C88" s="50" t="n">
        <f aca="false">(C83+C71)/C68</f>
        <v>5.92858021653543</v>
      </c>
      <c r="D88" s="50" t="n">
        <f aca="false">(D83+C71)/C68</f>
        <v>5.25613619586614</v>
      </c>
      <c r="E88" s="50" t="n">
        <f aca="false">(E83+C71)/C68</f>
        <v>5.56940514271654</v>
      </c>
      <c r="F88" s="50" t="n">
        <f aca="false">(F83+C71)/C68</f>
        <v>5.21936515748032</v>
      </c>
      <c r="G88" s="50" t="n">
        <f aca="false">(G83+C71)/C68</f>
        <v>4.93053026574803</v>
      </c>
      <c r="H88" s="50" t="n">
        <f aca="false">(H83+C71)/C68</f>
        <v>4.72062253937008</v>
      </c>
      <c r="I88" s="50" t="n">
        <f aca="false">(I83+C71)/C68</f>
        <v>4.37522317913386</v>
      </c>
      <c r="J88" s="50" t="n">
        <f aca="false">(J83+C71)/C68</f>
        <v>4.06455177165354</v>
      </c>
      <c r="K88" s="50" t="n">
        <f aca="false">(K83+C71)/C68</f>
        <v>3.79555390748031</v>
      </c>
      <c r="L88" s="50" t="n">
        <f aca="false">(L83+C71)/C68</f>
        <v>3.57656429527559</v>
      </c>
      <c r="M88" s="50" t="n">
        <f aca="false">(M83+C71)/C68</f>
        <v>3.41758458543307</v>
      </c>
    </row>
    <row r="89" customFormat="false" ht="15" hidden="false" customHeight="false" outlineLevel="0" collapsed="false">
      <c r="A89" s="9" t="s">
        <v>503</v>
      </c>
      <c r="C89" s="50" t="n">
        <f aca="false">(C83-C70+C71)/C68</f>
        <v>4.48680487204724</v>
      </c>
      <c r="D89" s="50" t="n">
        <f aca="false">(D83-C70+C71)/C68</f>
        <v>3.81436085137795</v>
      </c>
      <c r="E89" s="50" t="n">
        <f aca="false">(E83-C70+C71)/C68</f>
        <v>4.12762979822835</v>
      </c>
      <c r="F89" s="50" t="n">
        <f aca="false">(F83-C70+C71)/C68</f>
        <v>3.77758981299213</v>
      </c>
      <c r="G89" s="50" t="n">
        <f aca="false">(G83-C70+C71)/C68</f>
        <v>3.48875492125984</v>
      </c>
      <c r="H89" s="50" t="n">
        <f aca="false">(H83-C70+C71)/C68</f>
        <v>3.27884719488189</v>
      </c>
      <c r="I89" s="50" t="n">
        <f aca="false">(I83-C70+C71)/C68</f>
        <v>2.93344783464567</v>
      </c>
      <c r="J89" s="50" t="n">
        <f aca="false">(J83-C70+C71)/C68</f>
        <v>2.62277642716535</v>
      </c>
      <c r="K89" s="50" t="n">
        <f aca="false">(K83-C70+C71)/C68</f>
        <v>2.35377856299213</v>
      </c>
      <c r="L89" s="50" t="n">
        <f aca="false">(L83-C70+C71)/C68</f>
        <v>2.1347889507874</v>
      </c>
      <c r="M89" s="50" t="n">
        <f aca="false">(M83-C70+C71)/C68</f>
        <v>1.97580924094488</v>
      </c>
    </row>
    <row r="90" customFormat="false" ht="15" hidden="false" customHeight="false" outlineLevel="0" collapsed="false">
      <c r="A90" s="9" t="s">
        <v>504</v>
      </c>
      <c r="C90" s="50" t="n">
        <f aca="false">C78/C68</f>
        <v>7.38188976377953</v>
      </c>
      <c r="D90" s="50" t="n">
        <f aca="false">D78/C68</f>
        <v>7.38188976377953</v>
      </c>
      <c r="E90" s="50" t="n">
        <f aca="false">E78/C68</f>
        <v>7.38188976377953</v>
      </c>
      <c r="F90" s="50" t="n">
        <f aca="false">F78/C68</f>
        <v>7.38188976377953</v>
      </c>
      <c r="G90" s="50" t="n">
        <f aca="false">G78/C68</f>
        <v>7.38188976377953</v>
      </c>
      <c r="H90" s="50" t="n">
        <f aca="false">H78/C68</f>
        <v>7.38188976377953</v>
      </c>
      <c r="I90" s="50" t="n">
        <f aca="false">I78/C68</f>
        <v>7.38188976377953</v>
      </c>
      <c r="J90" s="50" t="n">
        <f aca="false">J78/C68</f>
        <v>7.38188976377953</v>
      </c>
      <c r="K90" s="50" t="n">
        <f aca="false">K78/C68</f>
        <v>7.38188976377953</v>
      </c>
      <c r="L90" s="50" t="n">
        <f aca="false">L78/C68</f>
        <v>7.38188976377953</v>
      </c>
      <c r="M90" s="50" t="n">
        <f aca="false">M78/C68</f>
        <v>7.38188976377953</v>
      </c>
    </row>
    <row r="91" customFormat="false" ht="15" hidden="false" customHeight="false" outlineLevel="0" collapsed="false">
      <c r="A91" s="9" t="s">
        <v>505</v>
      </c>
      <c r="D91" s="36" t="n">
        <f aca="false">D64+D73*(1-a_tax)-D74-IF(D51=1,C72,0)</f>
        <v>-950.975</v>
      </c>
      <c r="E91" s="36" t="n">
        <f aca="false">E64+E73*(1-a_tax)-E74-IF(E51=1,C72,0)</f>
        <v>-741.255</v>
      </c>
      <c r="F91" s="36" t="n">
        <f aca="false">F64+F73*(1-a_tax)-F74-IF(F51=1,C72,0)</f>
        <v>-730.596</v>
      </c>
      <c r="G91" s="36" t="n">
        <f aca="false">G64+G73*(1-a_tax)-G74-IF(G51=1,C72,0)</f>
        <v>-716.0232</v>
      </c>
      <c r="H91" s="36" t="n">
        <f aca="false">H64+H73*(1-a_tax)-H74-IF(H51=1,C72,0)</f>
        <v>-696.39744</v>
      </c>
      <c r="I91" s="36" t="n">
        <f aca="false">I64+I73*(1-a_tax)-I74-IF(I51=1,C72,0)</f>
        <v>-685.676928</v>
      </c>
      <c r="J91" s="36" t="n">
        <f aca="false">J64+J73*(1-a_tax)-J74-IF(J51=1,C72,0)</f>
        <v>-672.8123136</v>
      </c>
      <c r="K91" s="36" t="n">
        <f aca="false">K64+K73*(1-a_tax)-K74-IF(K51=1,C72,0)</f>
        <v>-657.37477632</v>
      </c>
      <c r="L91" s="36" t="n">
        <f aca="false">L64+L73*(1-a_tax)-L74-IF(L51=1,C72,0)</f>
        <v>-638.849731584</v>
      </c>
      <c r="M91" s="36" t="n">
        <f aca="false">M64+M73*(1-a_tax)-M74-IF(M51=1,C72,0)</f>
        <v>-616.6196779008</v>
      </c>
    </row>
    <row r="92" customFormat="false" ht="15" hidden="false" customHeight="false" outlineLevel="0" collapsed="false">
      <c r="A92" s="4" t="s">
        <v>506</v>
      </c>
      <c r="D92" s="41" t="n">
        <f aca="false">D91-C69</f>
        <v>-1045.475</v>
      </c>
      <c r="E92" s="41" t="n">
        <f aca="false">E91-C69</f>
        <v>-835.755</v>
      </c>
      <c r="F92" s="41" t="n">
        <f aca="false">F91-C69</f>
        <v>-825.096</v>
      </c>
      <c r="G92" s="41" t="n">
        <f aca="false">G91-C69</f>
        <v>-810.5232</v>
      </c>
      <c r="H92" s="41" t="n">
        <f aca="false">H91-C69</f>
        <v>-790.89744</v>
      </c>
      <c r="I92" s="41" t="n">
        <f aca="false">I91-C69</f>
        <v>-780.176928</v>
      </c>
      <c r="J92" s="41" t="n">
        <f aca="false">J91-C69</f>
        <v>-767.3123136</v>
      </c>
      <c r="K92" s="41" t="n">
        <f aca="false">K91-C69</f>
        <v>-751.87477632</v>
      </c>
      <c r="L92" s="41" t="n">
        <f aca="false">L91-C69</f>
        <v>-733.349731584</v>
      </c>
      <c r="M92" s="41" t="n">
        <f aca="false">M91-C69</f>
        <v>-711.1196779008</v>
      </c>
    </row>
    <row r="93" customFormat="false" ht="15" hidden="false" customHeight="false" outlineLevel="0" collapsed="false">
      <c r="A93" s="9" t="s">
        <v>507</v>
      </c>
      <c r="C93" s="36" t="n">
        <f aca="false">0</f>
        <v>0</v>
      </c>
      <c r="D93" s="36" t="n">
        <f aca="false">D79</f>
        <v>69</v>
      </c>
      <c r="E93" s="36" t="n">
        <f aca="false">E79</f>
        <v>69</v>
      </c>
      <c r="F93" s="36" t="n">
        <f aca="false">F79</f>
        <v>69</v>
      </c>
      <c r="G93" s="36" t="n">
        <f aca="false">G79</f>
        <v>69</v>
      </c>
      <c r="H93" s="36" t="n">
        <f aca="false">H79</f>
        <v>69</v>
      </c>
      <c r="I93" s="36" t="n">
        <f aca="false">I79</f>
        <v>69</v>
      </c>
      <c r="J93" s="36" t="n">
        <f aca="false">J79</f>
        <v>69</v>
      </c>
      <c r="K93" s="36" t="n">
        <f aca="false">K79</f>
        <v>69</v>
      </c>
      <c r="L93" s="36" t="n">
        <f aca="false">L79</f>
        <v>69</v>
      </c>
      <c r="M93" s="36" t="n">
        <f aca="false">M79</f>
        <v>69</v>
      </c>
    </row>
    <row r="94" customFormat="false" ht="15" hidden="false" customHeight="false" outlineLevel="0" collapsed="false">
      <c r="A94" s="9" t="s">
        <v>508</v>
      </c>
      <c r="D94" s="36" t="n">
        <f aca="false">D92+D93</f>
        <v>-976.475</v>
      </c>
      <c r="E94" s="36" t="n">
        <f aca="false">E92+E93</f>
        <v>-766.755</v>
      </c>
      <c r="F94" s="36" t="n">
        <f aca="false">F92+F93</f>
        <v>-756.096</v>
      </c>
      <c r="G94" s="36" t="n">
        <f aca="false">G92+G93</f>
        <v>-741.5232</v>
      </c>
      <c r="H94" s="36" t="n">
        <f aca="false">H92+H93</f>
        <v>-721.89744</v>
      </c>
      <c r="I94" s="36" t="n">
        <f aca="false">I92+I93</f>
        <v>-711.176928</v>
      </c>
      <c r="J94" s="36" t="n">
        <f aca="false">J92+J93</f>
        <v>-698.3123136</v>
      </c>
      <c r="K94" s="36" t="n">
        <f aca="false">K92+K93</f>
        <v>-682.87477632</v>
      </c>
      <c r="L94" s="36" t="n">
        <f aca="false">L92+L93</f>
        <v>-664.349731584</v>
      </c>
      <c r="M94" s="36" t="n">
        <f aca="false">M92+M93</f>
        <v>-642.1196779008</v>
      </c>
    </row>
    <row r="95" customFormat="false" ht="15" hidden="false" customHeight="false" outlineLevel="0" collapsed="false">
      <c r="A95" s="9" t="s">
        <v>509</v>
      </c>
      <c r="D95" s="36" t="n">
        <f aca="false">IF(Scenarios!$B$15=1,D94,D92)</f>
        <v>-1045.475</v>
      </c>
      <c r="E95" s="36" t="n">
        <f aca="false">IF(Scenarios!$B$15=1,E94,E92)</f>
        <v>-835.755</v>
      </c>
      <c r="F95" s="36" t="n">
        <f aca="false">IF(Scenarios!$B$15=1,F94,F92)</f>
        <v>-825.096</v>
      </c>
      <c r="G95" s="36" t="n">
        <f aca="false">IF(Scenarios!$B$15=1,G94,G92)</f>
        <v>-810.5232</v>
      </c>
      <c r="H95" s="36" t="n">
        <f aca="false">IF(Scenarios!$B$15=1,H94,H92)</f>
        <v>-790.89744</v>
      </c>
      <c r="I95" s="36" t="n">
        <f aca="false">IF(Scenarios!$B$15=1,I94,I92)</f>
        <v>-780.176928</v>
      </c>
      <c r="J95" s="36" t="n">
        <f aca="false">IF(Scenarios!$B$15=1,J94,J92)</f>
        <v>-767.3123136</v>
      </c>
      <c r="K95" s="36" t="n">
        <f aca="false">IF(Scenarios!$B$15=1,K94,K92)</f>
        <v>-751.87477632</v>
      </c>
      <c r="L95" s="36" t="n">
        <f aca="false">IF(Scenarios!$B$15=1,L94,L92)</f>
        <v>-733.349731584</v>
      </c>
      <c r="M95" s="36" t="n">
        <f aca="false">IF(Scenarios!$B$15=1,M94,M92)</f>
        <v>-711.1196779008</v>
      </c>
    </row>
    <row r="96" customFormat="false" ht="15" hidden="false" customHeight="false" outlineLevel="0" collapsed="false">
      <c r="A96" s="9" t="s">
        <v>510</v>
      </c>
      <c r="C96" s="36" t="n">
        <f aca="false">-Scenarios!$B$14</f>
        <v>-4000</v>
      </c>
      <c r="D96" s="36" t="n">
        <f aca="false">C96+D95</f>
        <v>-5045.475</v>
      </c>
      <c r="E96" s="36" t="n">
        <f aca="false">D96+E95</f>
        <v>-5881.23</v>
      </c>
      <c r="F96" s="36" t="n">
        <f aca="false">E96+F95</f>
        <v>-6706.326</v>
      </c>
      <c r="G96" s="36" t="n">
        <f aca="false">F96+G95</f>
        <v>-7516.8492</v>
      </c>
      <c r="H96" s="36" t="n">
        <f aca="false">G96+H95</f>
        <v>-8307.74664</v>
      </c>
      <c r="I96" s="36" t="n">
        <f aca="false">H96+I95</f>
        <v>-9087.923568</v>
      </c>
      <c r="J96" s="36" t="n">
        <f aca="false">I96+J95</f>
        <v>-9855.2358816</v>
      </c>
      <c r="K96" s="36" t="n">
        <f aca="false">J96+K95</f>
        <v>-10607.11065792</v>
      </c>
      <c r="L96" s="36" t="n">
        <f aca="false">K96+L95</f>
        <v>-11340.460389504</v>
      </c>
      <c r="M96" s="36" t="n">
        <f aca="false">L96+M95</f>
        <v>-12051.5800674048</v>
      </c>
    </row>
    <row r="97" customFormat="false" ht="15" hidden="false" customHeight="false" outlineLevel="0" collapsed="false">
      <c r="A97" s="9" t="s">
        <v>511</v>
      </c>
      <c r="C97" s="43" t="n">
        <f aca="false">1</f>
        <v>1</v>
      </c>
      <c r="D97" s="43" t="n">
        <f aca="false">1/(1+Scenarios!$B$13)^D51</f>
        <v>0.884955752212389</v>
      </c>
      <c r="E97" s="43" t="n">
        <f aca="false">1/(1+Scenarios!$B$13)^E51</f>
        <v>0.783146683373796</v>
      </c>
      <c r="F97" s="43" t="n">
        <f aca="false">1/(1+Scenarios!$B$13)^F51</f>
        <v>0.693050162277696</v>
      </c>
      <c r="G97" s="43" t="n">
        <f aca="false">1/(1+Scenarios!$B$13)^G51</f>
        <v>0.613318727679377</v>
      </c>
      <c r="H97" s="43" t="n">
        <f aca="false">1/(1+Scenarios!$B$13)^H51</f>
        <v>0.542759935999449</v>
      </c>
      <c r="I97" s="43" t="n">
        <f aca="false">1/(1+Scenarios!$B$13)^I51</f>
        <v>0.48031852743314</v>
      </c>
      <c r="J97" s="43" t="n">
        <f aca="false">1/(1+Scenarios!$B$13)^J51</f>
        <v>0.425060643746142</v>
      </c>
      <c r="K97" s="43" t="n">
        <f aca="false">1/(1+Scenarios!$B$13)^K51</f>
        <v>0.37615986172225</v>
      </c>
      <c r="L97" s="43" t="n">
        <f aca="false">1/(1+Scenarios!$B$13)^L51</f>
        <v>0.332884833382522</v>
      </c>
      <c r="M97" s="43" t="n">
        <f aca="false">1/(1+Scenarios!$B$13)^M51</f>
        <v>0.294588348126126</v>
      </c>
    </row>
    <row r="98" customFormat="false" ht="15" hidden="false" customHeight="false" outlineLevel="0" collapsed="false">
      <c r="A98" s="9" t="s">
        <v>512</v>
      </c>
      <c r="C98" s="46" t="n">
        <f aca="false">99</f>
        <v>99</v>
      </c>
      <c r="D98" s="46" t="n">
        <f aca="false">IF(D82&gt;=0,D51,99)</f>
        <v>99</v>
      </c>
      <c r="E98" s="46" t="n">
        <f aca="false">IF(E82&gt;=0,E51,99)</f>
        <v>99</v>
      </c>
      <c r="F98" s="46" t="n">
        <f aca="false">IF(F82&gt;=0,F51,99)</f>
        <v>99</v>
      </c>
      <c r="G98" s="46" t="n">
        <f aca="false">IF(G82&gt;=0,G51,99)</f>
        <v>99</v>
      </c>
      <c r="H98" s="46" t="n">
        <f aca="false">IF(H82&gt;=0,H51,99)</f>
        <v>99</v>
      </c>
      <c r="I98" s="46" t="n">
        <f aca="false">IF(I82&gt;=0,I51,99)</f>
        <v>99</v>
      </c>
      <c r="J98" s="46" t="n">
        <f aca="false">IF(J82&gt;=0,J51,99)</f>
        <v>99</v>
      </c>
      <c r="K98" s="46" t="n">
        <f aca="false">IF(K82&gt;=0,K51,99)</f>
        <v>99</v>
      </c>
      <c r="L98" s="46" t="n">
        <f aca="false">IF(L82&gt;=0,L51,99)</f>
        <v>99</v>
      </c>
      <c r="M98" s="46" t="n">
        <f aca="false">IF(M82&gt;=0,M51,99)</f>
        <v>99</v>
      </c>
    </row>
    <row r="99" customFormat="false" ht="15" hidden="false" customHeight="false" outlineLevel="0" collapsed="false">
      <c r="A99" s="9" t="s">
        <v>513</v>
      </c>
      <c r="C99" s="46" t="n">
        <f aca="false">99</f>
        <v>99</v>
      </c>
      <c r="D99" s="46" t="n">
        <f aca="false">IF(D82+D79&gt;=0,D51,99)</f>
        <v>99</v>
      </c>
      <c r="E99" s="46" t="n">
        <f aca="false">IF(E82+E79&gt;=0,E51,99)</f>
        <v>99</v>
      </c>
      <c r="F99" s="46" t="n">
        <f aca="false">IF(F82+F79&gt;=0,F51,99)</f>
        <v>99</v>
      </c>
      <c r="G99" s="46" t="n">
        <f aca="false">IF(G82+G79&gt;=0,G51,99)</f>
        <v>99</v>
      </c>
      <c r="H99" s="46" t="n">
        <f aca="false">IF(H82+H79&gt;=0,H51,99)</f>
        <v>99</v>
      </c>
      <c r="I99" s="46" t="n">
        <f aca="false">IF(I82+I79&gt;=0,I51,99)</f>
        <v>99</v>
      </c>
      <c r="J99" s="46" t="n">
        <f aca="false">IF(J82+J79&gt;=0,J51,99)</f>
        <v>99</v>
      </c>
      <c r="K99" s="46" t="n">
        <f aca="false">IF(K82+K79&gt;=0,K51,99)</f>
        <v>99</v>
      </c>
      <c r="L99" s="46" t="n">
        <f aca="false">IF(L82+L79&gt;=0,L51,99)</f>
        <v>99</v>
      </c>
      <c r="M99" s="46" t="n">
        <f aca="false">IF(M82+M79&gt;=0,M51,99)</f>
        <v>99</v>
      </c>
    </row>
    <row r="100" customFormat="false" ht="15" hidden="false" customHeight="false" outlineLevel="0" collapsed="false">
      <c r="A100" s="9" t="s">
        <v>514</v>
      </c>
      <c r="C100" s="46" t="n">
        <f aca="false">99</f>
        <v>99</v>
      </c>
      <c r="D100" s="46" t="n">
        <f aca="false">IF(D92&gt;=0,D51,99)</f>
        <v>99</v>
      </c>
      <c r="E100" s="46" t="n">
        <f aca="false">IF(E92&gt;=0,E51,99)</f>
        <v>99</v>
      </c>
      <c r="F100" s="46" t="n">
        <f aca="false">IF(F92&gt;=0,F51,99)</f>
        <v>99</v>
      </c>
      <c r="G100" s="46" t="n">
        <f aca="false">IF(G92&gt;=0,G51,99)</f>
        <v>99</v>
      </c>
      <c r="H100" s="46" t="n">
        <f aca="false">IF(H92&gt;=0,H51,99)</f>
        <v>99</v>
      </c>
      <c r="I100" s="46" t="n">
        <f aca="false">IF(I92&gt;=0,I51,99)</f>
        <v>99</v>
      </c>
      <c r="J100" s="46" t="n">
        <f aca="false">IF(J92&gt;=0,J51,99)</f>
        <v>99</v>
      </c>
      <c r="K100" s="46" t="n">
        <f aca="false">IF(K92&gt;=0,K51,99)</f>
        <v>99</v>
      </c>
      <c r="L100" s="46" t="n">
        <f aca="false">IF(L92&gt;=0,L51,99)</f>
        <v>99</v>
      </c>
      <c r="M100" s="46" t="n">
        <f aca="false">IF(M92&gt;=0,M51,99)</f>
        <v>99</v>
      </c>
    </row>
    <row r="101" customFormat="false" ht="15" hidden="false" customHeight="false" outlineLevel="0" collapsed="false">
      <c r="A101" s="9" t="s">
        <v>515</v>
      </c>
      <c r="C101" s="46" t="n">
        <f aca="false">99</f>
        <v>99</v>
      </c>
      <c r="D101" s="46" t="n">
        <f aca="false">IF(D94&gt;=0,D51,99)</f>
        <v>99</v>
      </c>
      <c r="E101" s="46" t="n">
        <f aca="false">IF(E94&gt;=0,E51,99)</f>
        <v>99</v>
      </c>
      <c r="F101" s="46" t="n">
        <f aca="false">IF(F94&gt;=0,F51,99)</f>
        <v>99</v>
      </c>
      <c r="G101" s="46" t="n">
        <f aca="false">IF(G94&gt;=0,G51,99)</f>
        <v>99</v>
      </c>
      <c r="H101" s="46" t="n">
        <f aca="false">IF(H94&gt;=0,H51,99)</f>
        <v>99</v>
      </c>
      <c r="I101" s="46" t="n">
        <f aca="false">IF(I94&gt;=0,I51,99)</f>
        <v>99</v>
      </c>
      <c r="J101" s="46" t="n">
        <f aca="false">IF(J94&gt;=0,J51,99)</f>
        <v>99</v>
      </c>
      <c r="K101" s="46" t="n">
        <f aca="false">IF(K94&gt;=0,K51,99)</f>
        <v>99</v>
      </c>
      <c r="L101" s="46" t="n">
        <f aca="false">IF(L94&gt;=0,L51,99)</f>
        <v>99</v>
      </c>
      <c r="M101" s="46" t="n">
        <f aca="false">IF(M94&gt;=0,M51,99)</f>
        <v>99</v>
      </c>
    </row>
    <row r="102" customFormat="false" ht="15" hidden="false" customHeight="false" outlineLevel="0" collapsed="false">
      <c r="A102" s="9" t="s">
        <v>516</v>
      </c>
      <c r="C102" s="46" t="n">
        <f aca="false">99</f>
        <v>99</v>
      </c>
      <c r="D102" s="46" t="n">
        <f aca="false">IF(D96&gt;=0,D51,99)</f>
        <v>99</v>
      </c>
      <c r="E102" s="46" t="n">
        <f aca="false">IF(E96&gt;=0,E51,99)</f>
        <v>99</v>
      </c>
      <c r="F102" s="46" t="n">
        <f aca="false">IF(F96&gt;=0,F51,99)</f>
        <v>99</v>
      </c>
      <c r="G102" s="46" t="n">
        <f aca="false">IF(G96&gt;=0,G51,99)</f>
        <v>99</v>
      </c>
      <c r="H102" s="46" t="n">
        <f aca="false">IF(H96&gt;=0,H51,99)</f>
        <v>99</v>
      </c>
      <c r="I102" s="46" t="n">
        <f aca="false">IF(I96&gt;=0,I51,99)</f>
        <v>99</v>
      </c>
      <c r="J102" s="46" t="n">
        <f aca="false">IF(J96&gt;=0,J51,99)</f>
        <v>99</v>
      </c>
      <c r="K102" s="46" t="n">
        <f aca="false">IF(K96&gt;=0,K51,99)</f>
        <v>99</v>
      </c>
      <c r="L102" s="46" t="n">
        <f aca="false">IF(L96&gt;=0,L51,99)</f>
        <v>99</v>
      </c>
      <c r="M102" s="46" t="n">
        <f aca="false">IF(M96&gt;=0,M51,99)</f>
        <v>99</v>
      </c>
    </row>
    <row r="103" customFormat="false" ht="15" hidden="false" customHeight="false" outlineLevel="0" collapsed="false">
      <c r="A103" s="4" t="s">
        <v>517</v>
      </c>
      <c r="C103" s="23" t="n">
        <f aca="false">MIN(D98:M98)</f>
        <v>99</v>
      </c>
    </row>
    <row r="104" customFormat="false" ht="15" hidden="false" customHeight="false" outlineLevel="0" collapsed="false">
      <c r="A104" s="9" t="s">
        <v>518</v>
      </c>
      <c r="C104" s="46" t="n">
        <f aca="false">MIN(D99:M99)</f>
        <v>99</v>
      </c>
    </row>
    <row r="105" customFormat="false" ht="15" hidden="false" customHeight="false" outlineLevel="0" collapsed="false">
      <c r="A105" s="4" t="s">
        <v>519</v>
      </c>
      <c r="C105" s="23" t="n">
        <f aca="false">MIN(D100:M100)</f>
        <v>99</v>
      </c>
    </row>
    <row r="106" customFormat="false" ht="15" hidden="false" customHeight="false" outlineLevel="0" collapsed="false">
      <c r="A106" s="9" t="s">
        <v>520</v>
      </c>
      <c r="C106" s="46" t="n">
        <f aca="false">MIN(D101:M101)</f>
        <v>99</v>
      </c>
    </row>
    <row r="107" customFormat="false" ht="15" hidden="false" customHeight="false" outlineLevel="0" collapsed="false">
      <c r="A107" s="9" t="s">
        <v>521</v>
      </c>
      <c r="C107" s="46" t="n">
        <f aca="false">MIN(D102:M102)</f>
        <v>99</v>
      </c>
    </row>
    <row r="108" customFormat="false" ht="15" hidden="false" customHeight="false" outlineLevel="0" collapsed="false">
      <c r="A108" s="4" t="s">
        <v>522</v>
      </c>
      <c r="C108" s="15" t="n">
        <f aca="false">M96</f>
        <v>-12051.5800674048</v>
      </c>
    </row>
    <row r="109" customFormat="false" ht="15" hidden="false" customHeight="false" outlineLevel="0" collapsed="false">
      <c r="A109" s="9" t="s">
        <v>523</v>
      </c>
      <c r="C109" s="36" t="n">
        <f aca="false">SUMPRODUCT(D64:M64,D97:M97)</f>
        <v>208.806860496414</v>
      </c>
    </row>
    <row r="110" customFormat="false" ht="15" hidden="false" customHeight="false" outlineLevel="0" collapsed="false">
      <c r="A110" s="9" t="s">
        <v>524</v>
      </c>
      <c r="C110" s="36" t="n">
        <f aca="false">M64*(1+a_tg)/(Scenarios!$B$13-a_tg)</f>
        <v>1750.616727552</v>
      </c>
    </row>
    <row r="111" customFormat="false" ht="15" hidden="false" customHeight="false" outlineLevel="0" collapsed="false">
      <c r="A111" s="9" t="s">
        <v>314</v>
      </c>
      <c r="C111" s="36" t="n">
        <f aca="false">C110*M97</f>
        <v>515.711289971507</v>
      </c>
    </row>
    <row r="112" customFormat="false" ht="15" hidden="false" customHeight="false" outlineLevel="0" collapsed="false">
      <c r="A112" s="4" t="s">
        <v>525</v>
      </c>
      <c r="C112" s="15" t="n">
        <f aca="false">C109+C111</f>
        <v>724.518150467921</v>
      </c>
    </row>
    <row r="113" customFormat="false" ht="15" hidden="false" customHeight="false" outlineLevel="0" collapsed="false">
      <c r="A113" s="9" t="s">
        <v>526</v>
      </c>
      <c r="C113" s="32" t="n">
        <f aca="false">SUMPRODUCT(D74:M74,D97:M97)-a_recovery*M76*M97</f>
        <v>4069.68260696466</v>
      </c>
    </row>
    <row r="114" customFormat="false" ht="15" hidden="false" customHeight="false" outlineLevel="0" collapsed="false">
      <c r="A114" s="9" t="s">
        <v>527</v>
      </c>
      <c r="C114" s="36" t="n">
        <f aca="false">SUMPRODUCT(D73:M73,D97:M97)*(1-a_tax)</f>
        <v>0</v>
      </c>
    </row>
    <row r="115" customFormat="false" ht="15" hidden="false" customHeight="false" outlineLevel="0" collapsed="false">
      <c r="A115" s="9" t="s">
        <v>528</v>
      </c>
      <c r="C115" s="36" t="n">
        <f aca="false">C72*D97</f>
        <v>141.592920353982</v>
      </c>
    </row>
    <row r="116" customFormat="false" ht="15" hidden="false" customHeight="false" outlineLevel="0" collapsed="false">
      <c r="A116" s="4" t="s">
        <v>529</v>
      </c>
      <c r="C116" s="20" t="n">
        <f aca="false">C112+C114-C113-C115-Scenarios!$B$14</f>
        <v>-7486.75737685072</v>
      </c>
    </row>
    <row r="117" customFormat="false" ht="15" hidden="false" customHeight="false" outlineLevel="0" collapsed="false">
      <c r="A117" s="9" t="s">
        <v>530</v>
      </c>
      <c r="C117" s="32" t="n">
        <f aca="false">C116+SUMPRODUCT(D93:M93,D97:M97)</f>
        <v>-7112.34657700998</v>
      </c>
    </row>
    <row r="118" customFormat="false" ht="15" hidden="false" customHeight="false" outlineLevel="0" collapsed="false">
      <c r="A118" s="4" t="s">
        <v>531</v>
      </c>
      <c r="C118" s="59" t="n">
        <f aca="false">Scenarios!$B$14/D54</f>
        <v>24.2424242424242</v>
      </c>
    </row>
    <row r="119" customFormat="false" ht="15" hidden="false" customHeight="false" outlineLevel="0" collapsed="false">
      <c r="A119" s="9" t="s">
        <v>532</v>
      </c>
      <c r="C119" s="17" t="n">
        <f aca="false">(Scenarios!$B$14+C113)/D54</f>
        <v>48.9071673149374</v>
      </c>
    </row>
    <row r="120" customFormat="false" ht="15" hidden="false" customHeight="false" outlineLevel="0" collapsed="false">
      <c r="A120" s="4" t="s">
        <v>533</v>
      </c>
      <c r="C120" s="15" t="n">
        <f aca="false">(C116+C113)/SUMPRODUCT(D97:M97)</f>
        <v>-629.731191574665</v>
      </c>
    </row>
    <row r="121" customFormat="false" ht="15" hidden="false" customHeight="false" outlineLevel="0" collapsed="false">
      <c r="A121" s="4" t="s">
        <v>534</v>
      </c>
      <c r="C121" s="25" t="n">
        <f aca="false">D84</f>
        <v>5.25613619586614</v>
      </c>
    </row>
    <row r="122" customFormat="false" ht="15" hidden="false" customHeight="false" outlineLevel="0" collapsed="false">
      <c r="A122" s="9" t="s">
        <v>535</v>
      </c>
      <c r="C122" s="50" t="n">
        <f aca="false">F84</f>
        <v>5.21936515748032</v>
      </c>
    </row>
    <row r="123" customFormat="false" ht="15" hidden="false" customHeight="false" outlineLevel="0" collapsed="false">
      <c r="A123" s="4" t="s">
        <v>536</v>
      </c>
      <c r="C123" s="20" t="n">
        <f aca="false">D92</f>
        <v>-1045.475</v>
      </c>
    </row>
    <row r="124" customFormat="false" ht="15" hidden="false" customHeight="false" outlineLevel="0" collapsed="false">
      <c r="A124" s="9" t="s">
        <v>537</v>
      </c>
      <c r="C124" s="32" t="n">
        <f aca="false">cf_cash-Scenarios!$B$10-C72</f>
        <v>6640</v>
      </c>
    </row>
    <row r="125" customFormat="false" ht="15" hidden="false" customHeight="false" outlineLevel="0" collapsed="false">
      <c r="A125" s="9" t="s">
        <v>538</v>
      </c>
      <c r="C125" s="32" t="n">
        <f aca="false">cf_debt+Scenarios!$B$11</f>
        <v>350</v>
      </c>
    </row>
    <row r="126" customFormat="false" ht="15" hidden="false" customHeight="false" outlineLevel="0" collapsed="false">
      <c r="A126" s="9" t="s">
        <v>539</v>
      </c>
      <c r="C126" s="34" t="n">
        <f aca="false">C125/cf_ebitda</f>
        <v>0.546875</v>
      </c>
    </row>
    <row r="127" customFormat="false" ht="15" hidden="false" customHeight="false" outlineLevel="0" collapsed="false">
      <c r="A127" s="9" t="s">
        <v>540</v>
      </c>
      <c r="C127" s="32" t="n">
        <f aca="false">C124+SUM(D95:F95)+3*cf_pat</f>
        <v>5373.674</v>
      </c>
    </row>
    <row r="129" customFormat="false" ht="15" hidden="false" customHeight="false" outlineLevel="0" collapsed="false">
      <c r="A129" s="7" t="s">
        <v>866</v>
      </c>
      <c r="B129" s="8"/>
      <c r="C129" s="8"/>
      <c r="D129" s="8"/>
      <c r="E129" s="8"/>
      <c r="F129" s="8"/>
      <c r="G129" s="8"/>
      <c r="H129" s="8"/>
      <c r="I129" s="8"/>
      <c r="J129" s="8"/>
      <c r="K129" s="8"/>
      <c r="L129" s="8"/>
      <c r="M129" s="8"/>
      <c r="N129" s="8"/>
    </row>
    <row r="130" customFormat="false" ht="15" hidden="false" customHeight="false" outlineLevel="0" collapsed="false">
      <c r="A130" s="4" t="s">
        <v>284</v>
      </c>
      <c r="C130" s="39" t="n">
        <v>0</v>
      </c>
      <c r="D130" s="39" t="n">
        <v>1</v>
      </c>
      <c r="E130" s="39" t="n">
        <v>2</v>
      </c>
      <c r="F130" s="39" t="n">
        <v>3</v>
      </c>
      <c r="G130" s="39" t="n">
        <v>4</v>
      </c>
      <c r="H130" s="39" t="n">
        <v>5</v>
      </c>
      <c r="I130" s="39" t="n">
        <v>6</v>
      </c>
      <c r="J130" s="39" t="n">
        <v>7</v>
      </c>
      <c r="K130" s="39" t="n">
        <v>8</v>
      </c>
      <c r="L130" s="39" t="n">
        <v>9</v>
      </c>
      <c r="M130" s="39" t="n">
        <v>10</v>
      </c>
    </row>
    <row r="131" customFormat="false" ht="15" hidden="false" customHeight="false" outlineLevel="0" collapsed="false">
      <c r="A131" s="9" t="s">
        <v>285</v>
      </c>
      <c r="C131" s="40" t="n">
        <f aca="false">cf_arr</f>
        <v>220</v>
      </c>
      <c r="D131" s="36" t="n">
        <f aca="false">C131*(1+Scenarios!$C$6)</f>
        <v>286</v>
      </c>
      <c r="E131" s="36" t="n">
        <f aca="false">D131*(1+Scenarios!$C$6)</f>
        <v>371.8</v>
      </c>
      <c r="F131" s="36" t="n">
        <f aca="false">E131*(1+Scenarios!$C$6)</f>
        <v>483.34</v>
      </c>
      <c r="G131" s="36" t="n">
        <f aca="false">F131*(1+Scenarios!$C$6)</f>
        <v>628.342</v>
      </c>
      <c r="H131" s="36" t="n">
        <f aca="false">G131*(1+Scenarios!$C$6)</f>
        <v>816.8446</v>
      </c>
      <c r="I131" s="36" t="n">
        <f aca="false">H131*(1+Scenarios!$C$6)</f>
        <v>1061.89798</v>
      </c>
      <c r="J131" s="36" t="n">
        <f aca="false">I131*(1+Scenarios!$C$6)</f>
        <v>1380.467374</v>
      </c>
      <c r="K131" s="36" t="n">
        <f aca="false">J131*(1+Scenarios!$C$6)</f>
        <v>1794.6075862</v>
      </c>
      <c r="L131" s="36" t="n">
        <f aca="false">K131*(1+Scenarios!$C$6)</f>
        <v>2332.98986206</v>
      </c>
      <c r="M131" s="36" t="n">
        <f aca="false">L131*(1+Scenarios!$C$6)</f>
        <v>3032.886820678</v>
      </c>
    </row>
    <row r="132" customFormat="false" ht="15" hidden="false" customHeight="false" outlineLevel="0" collapsed="false">
      <c r="A132" s="9" t="s">
        <v>286</v>
      </c>
      <c r="C132" s="18" t="n">
        <f aca="false">1</f>
        <v>1</v>
      </c>
      <c r="D132" s="18" t="n">
        <f aca="false">IF(D130&gt;=a_churn_year,1-Scenarios!$C$7,1)</f>
        <v>0.9</v>
      </c>
      <c r="E132" s="18" t="n">
        <f aca="false">IF(E130&gt;=a_churn_year,1-Scenarios!$C$7,1)</f>
        <v>0.9</v>
      </c>
      <c r="F132" s="18" t="n">
        <f aca="false">IF(F130&gt;=a_churn_year,1-Scenarios!$C$7,1)</f>
        <v>0.9</v>
      </c>
      <c r="G132" s="18" t="n">
        <f aca="false">IF(G130&gt;=a_churn_year,1-Scenarios!$C$7,1)</f>
        <v>0.9</v>
      </c>
      <c r="H132" s="18" t="n">
        <f aca="false">IF(H130&gt;=a_churn_year,1-Scenarios!$C$7,1)</f>
        <v>0.9</v>
      </c>
      <c r="I132" s="18" t="n">
        <f aca="false">IF(I130&gt;=a_churn_year,1-Scenarios!$C$7,1)</f>
        <v>0.9</v>
      </c>
      <c r="J132" s="18" t="n">
        <f aca="false">IF(J130&gt;=a_churn_year,1-Scenarios!$C$7,1)</f>
        <v>0.9</v>
      </c>
      <c r="K132" s="18" t="n">
        <f aca="false">IF(K130&gt;=a_churn_year,1-Scenarios!$C$7,1)</f>
        <v>0.9</v>
      </c>
      <c r="L132" s="18" t="n">
        <f aca="false">IF(L130&gt;=a_churn_year,1-Scenarios!$C$7,1)</f>
        <v>0.9</v>
      </c>
      <c r="M132" s="18" t="n">
        <f aca="false">IF(M130&gt;=a_churn_year,1-Scenarios!$C$7,1)</f>
        <v>0.9</v>
      </c>
    </row>
    <row r="133" customFormat="false" ht="15" hidden="false" customHeight="false" outlineLevel="0" collapsed="false">
      <c r="A133" s="4" t="s">
        <v>287</v>
      </c>
      <c r="C133" s="41" t="n">
        <f aca="false">C131*C132</f>
        <v>220</v>
      </c>
      <c r="D133" s="41" t="n">
        <f aca="false">D131*D132</f>
        <v>257.4</v>
      </c>
      <c r="E133" s="41" t="n">
        <f aca="false">E131*E132</f>
        <v>334.62</v>
      </c>
      <c r="F133" s="41" t="n">
        <f aca="false">F131*F132</f>
        <v>435.006</v>
      </c>
      <c r="G133" s="41" t="n">
        <f aca="false">G131*G132</f>
        <v>565.5078</v>
      </c>
      <c r="H133" s="41" t="n">
        <f aca="false">H131*H132</f>
        <v>735.16014</v>
      </c>
      <c r="I133" s="41" t="n">
        <f aca="false">I131*I132</f>
        <v>955.708182</v>
      </c>
      <c r="J133" s="41" t="n">
        <f aca="false">J131*J132</f>
        <v>1242.4206366</v>
      </c>
      <c r="K133" s="41" t="n">
        <f aca="false">K131*K132</f>
        <v>1615.14682758</v>
      </c>
      <c r="L133" s="41" t="n">
        <f aca="false">L131*L132</f>
        <v>2099.690875854</v>
      </c>
      <c r="M133" s="41" t="n">
        <f aca="false">M131*M132</f>
        <v>2729.5981386102</v>
      </c>
    </row>
    <row r="134" customFormat="false" ht="15" hidden="false" customHeight="false" outlineLevel="0" collapsed="false">
      <c r="A134" s="9" t="s">
        <v>288</v>
      </c>
      <c r="C134" s="18" t="n">
        <f aca="false">MIN(a_m0+a_mstep*C130,a_mcap)</f>
        <v>0</v>
      </c>
      <c r="D134" s="18" t="n">
        <f aca="false">MIN(a_m0+a_mstep*D130,a_mcap)</f>
        <v>0.05</v>
      </c>
      <c r="E134" s="18" t="n">
        <f aca="false">MIN(a_m0+a_mstep*E130,a_mcap)</f>
        <v>0.1</v>
      </c>
      <c r="F134" s="18" t="n">
        <f aca="false">MIN(a_m0+a_mstep*F130,a_mcap)</f>
        <v>0.15</v>
      </c>
      <c r="G134" s="18" t="n">
        <f aca="false">MIN(a_m0+a_mstep*G130,a_mcap)</f>
        <v>0.2</v>
      </c>
      <c r="H134" s="18" t="n">
        <f aca="false">MIN(a_m0+a_mstep*H130,a_mcap)</f>
        <v>0.25</v>
      </c>
      <c r="I134" s="18" t="n">
        <f aca="false">MIN(a_m0+a_mstep*I130,a_mcap)</f>
        <v>0.25</v>
      </c>
      <c r="J134" s="18" t="n">
        <f aca="false">MIN(a_m0+a_mstep*J130,a_mcap)</f>
        <v>0.25</v>
      </c>
      <c r="K134" s="18" t="n">
        <f aca="false">MIN(a_m0+a_mstep*K130,a_mcap)</f>
        <v>0.25</v>
      </c>
      <c r="L134" s="18" t="n">
        <f aca="false">MIN(a_m0+a_mstep*L130,a_mcap)</f>
        <v>0.25</v>
      </c>
      <c r="M134" s="18" t="n">
        <f aca="false">MIN(a_m0+a_mstep*M130,a_mcap)</f>
        <v>0.25</v>
      </c>
    </row>
    <row r="135" customFormat="false" ht="15" hidden="false" customHeight="false" outlineLevel="0" collapsed="false">
      <c r="A135" s="9" t="s">
        <v>289</v>
      </c>
      <c r="C135" s="36" t="n">
        <f aca="false">IF(C130=a_churn_year,a_sticky*(C131-C133)*(1-C134),0)</f>
        <v>0</v>
      </c>
      <c r="D135" s="36" t="n">
        <f aca="false">IF(D130=a_churn_year,a_sticky*(D131-D133)*(1-D134),0)</f>
        <v>13.585</v>
      </c>
      <c r="E135" s="36" t="n">
        <f aca="false">IF(E130=a_churn_year,a_sticky*(E131-E133)*(1-E134),0)</f>
        <v>0</v>
      </c>
      <c r="F135" s="36" t="n">
        <f aca="false">IF(F130=a_churn_year,a_sticky*(F131-F133)*(1-F134),0)</f>
        <v>0</v>
      </c>
      <c r="G135" s="36" t="n">
        <f aca="false">IF(G130=a_churn_year,a_sticky*(G131-G133)*(1-G134),0)</f>
        <v>0</v>
      </c>
      <c r="H135" s="36" t="n">
        <f aca="false">IF(H130=a_churn_year,a_sticky*(H131-H133)*(1-H134),0)</f>
        <v>0</v>
      </c>
      <c r="I135" s="36" t="n">
        <f aca="false">IF(I130=a_churn_year,a_sticky*(I131-I133)*(1-I134),0)</f>
        <v>0</v>
      </c>
      <c r="J135" s="36" t="n">
        <f aca="false">IF(J130=a_churn_year,a_sticky*(J131-J133)*(1-J134),0)</f>
        <v>0</v>
      </c>
      <c r="K135" s="36" t="n">
        <f aca="false">IF(K130=a_churn_year,a_sticky*(K131-K133)*(1-K134),0)</f>
        <v>0</v>
      </c>
      <c r="L135" s="36" t="n">
        <f aca="false">IF(L130=a_churn_year,a_sticky*(L131-L133)*(1-L134),0)</f>
        <v>0</v>
      </c>
      <c r="M135" s="36" t="n">
        <f aca="false">IF(M130=a_churn_year,a_sticky*(M131-M133)*(1-M134),0)</f>
        <v>0</v>
      </c>
    </row>
    <row r="136" customFormat="false" ht="15" hidden="false" customHeight="false" outlineLevel="0" collapsed="false">
      <c r="A136" s="4" t="s">
        <v>290</v>
      </c>
      <c r="C136" s="41" t="n">
        <f aca="false">C133*C134-C135</f>
        <v>0</v>
      </c>
      <c r="D136" s="41" t="n">
        <f aca="false">D133*D134-D135</f>
        <v>-0.71499999999998</v>
      </c>
      <c r="E136" s="41" t="n">
        <f aca="false">E133*E134-E135</f>
        <v>33.462</v>
      </c>
      <c r="F136" s="41" t="n">
        <f aca="false">F133*F134-F135</f>
        <v>65.2509</v>
      </c>
      <c r="G136" s="41" t="n">
        <f aca="false">G133*G134-G135</f>
        <v>113.10156</v>
      </c>
      <c r="H136" s="41" t="n">
        <f aca="false">H133*H134-H135</f>
        <v>183.790035</v>
      </c>
      <c r="I136" s="41" t="n">
        <f aca="false">I133*I134-I135</f>
        <v>238.9270455</v>
      </c>
      <c r="J136" s="41" t="n">
        <f aca="false">J133*J134-J135</f>
        <v>310.60515915</v>
      </c>
      <c r="K136" s="41" t="n">
        <f aca="false">K133*K134-K135</f>
        <v>403.786706895</v>
      </c>
      <c r="L136" s="41" t="n">
        <f aca="false">L133*L134-L135</f>
        <v>524.9227189635</v>
      </c>
      <c r="M136" s="41" t="n">
        <f aca="false">M133*M134-M135</f>
        <v>682.39953465255</v>
      </c>
    </row>
    <row r="137" customFormat="false" ht="15" hidden="false" customHeight="false" outlineLevel="0" collapsed="false">
      <c r="A137" s="9" t="s">
        <v>291</v>
      </c>
      <c r="C137" s="36" t="n">
        <f aca="false">C133*a_da</f>
        <v>6.6</v>
      </c>
      <c r="D137" s="36" t="n">
        <f aca="false">D133*a_da</f>
        <v>7.722</v>
      </c>
      <c r="E137" s="36" t="n">
        <f aca="false">E133*a_da</f>
        <v>10.0386</v>
      </c>
      <c r="F137" s="36" t="n">
        <f aca="false">F133*a_da</f>
        <v>13.05018</v>
      </c>
      <c r="G137" s="36" t="n">
        <f aca="false">G133*a_da</f>
        <v>16.965234</v>
      </c>
      <c r="H137" s="36" t="n">
        <f aca="false">H133*a_da</f>
        <v>22.0548042</v>
      </c>
      <c r="I137" s="36" t="n">
        <f aca="false">I133*a_da</f>
        <v>28.67124546</v>
      </c>
      <c r="J137" s="36" t="n">
        <f aca="false">J133*a_da</f>
        <v>37.272619098</v>
      </c>
      <c r="K137" s="36" t="n">
        <f aca="false">K133*a_da</f>
        <v>48.4544048274</v>
      </c>
      <c r="L137" s="36" t="n">
        <f aca="false">L133*a_da</f>
        <v>62.99072627562</v>
      </c>
      <c r="M137" s="36" t="n">
        <f aca="false">M133*a_da</f>
        <v>81.887944158306</v>
      </c>
    </row>
    <row r="138" customFormat="false" ht="15" hidden="false" customHeight="false" outlineLevel="0" collapsed="false">
      <c r="A138" s="9" t="s">
        <v>292</v>
      </c>
      <c r="C138" s="36" t="n">
        <f aca="false">C136-C137</f>
        <v>-6.6</v>
      </c>
      <c r="D138" s="36" t="n">
        <f aca="false">D136-D137</f>
        <v>-8.43699999999998</v>
      </c>
      <c r="E138" s="36" t="n">
        <f aca="false">E136-E137</f>
        <v>23.4234</v>
      </c>
      <c r="F138" s="36" t="n">
        <f aca="false">F136-F137</f>
        <v>52.20072</v>
      </c>
      <c r="G138" s="36" t="n">
        <f aca="false">G136-G137</f>
        <v>96.136326</v>
      </c>
      <c r="H138" s="36" t="n">
        <f aca="false">H136-H137</f>
        <v>161.7352308</v>
      </c>
      <c r="I138" s="36" t="n">
        <f aca="false">I136-I137</f>
        <v>210.25580004</v>
      </c>
      <c r="J138" s="36" t="n">
        <f aca="false">J136-J137</f>
        <v>273.332540052</v>
      </c>
      <c r="K138" s="36" t="n">
        <f aca="false">K136-K137</f>
        <v>355.3323020676</v>
      </c>
      <c r="L138" s="36" t="n">
        <f aca="false">L136-L137</f>
        <v>461.93199268788</v>
      </c>
      <c r="M138" s="36" t="n">
        <f aca="false">M136-M137</f>
        <v>600.511590494244</v>
      </c>
    </row>
    <row r="139" customFormat="false" ht="15" hidden="false" customHeight="false" outlineLevel="0" collapsed="false">
      <c r="A139" s="9" t="s">
        <v>293</v>
      </c>
      <c r="C139" s="36" t="n">
        <f aca="false">MAX(0,C138)*a_tax</f>
        <v>0</v>
      </c>
      <c r="D139" s="36" t="n">
        <f aca="false">MAX(0,D138)*a_tax</f>
        <v>0</v>
      </c>
      <c r="E139" s="36" t="n">
        <f aca="false">MAX(0,E138)*a_tax</f>
        <v>5.85585</v>
      </c>
      <c r="F139" s="36" t="n">
        <f aca="false">MAX(0,F138)*a_tax</f>
        <v>13.05018</v>
      </c>
      <c r="G139" s="36" t="n">
        <f aca="false">MAX(0,G138)*a_tax</f>
        <v>24.0340815</v>
      </c>
      <c r="H139" s="36" t="n">
        <f aca="false">MAX(0,H138)*a_tax</f>
        <v>40.4338077</v>
      </c>
      <c r="I139" s="36" t="n">
        <f aca="false">MAX(0,I138)*a_tax</f>
        <v>52.56395001</v>
      </c>
      <c r="J139" s="36" t="n">
        <f aca="false">MAX(0,J138)*a_tax</f>
        <v>68.333135013</v>
      </c>
      <c r="K139" s="36" t="n">
        <f aca="false">MAX(0,K138)*a_tax</f>
        <v>88.8330755169</v>
      </c>
      <c r="L139" s="36" t="n">
        <f aca="false">MAX(0,L138)*a_tax</f>
        <v>115.48299817197</v>
      </c>
      <c r="M139" s="36" t="n">
        <f aca="false">MAX(0,M138)*a_tax</f>
        <v>150.127897623561</v>
      </c>
    </row>
    <row r="140" customFormat="false" ht="15" hidden="false" customHeight="false" outlineLevel="0" collapsed="false">
      <c r="A140" s="4" t="s">
        <v>294</v>
      </c>
      <c r="C140" s="42" t="n">
        <f aca="false">cf_lim_pat</f>
        <v>0</v>
      </c>
      <c r="D140" s="41" t="n">
        <f aca="false">D138-D139</f>
        <v>-8.43699999999998</v>
      </c>
      <c r="E140" s="41" t="n">
        <f aca="false">E138-E139</f>
        <v>17.56755</v>
      </c>
      <c r="F140" s="41" t="n">
        <f aca="false">F138-F139</f>
        <v>39.15054</v>
      </c>
      <c r="G140" s="41" t="n">
        <f aca="false">G138-G139</f>
        <v>72.1022445</v>
      </c>
      <c r="H140" s="41" t="n">
        <f aca="false">H138-H139</f>
        <v>121.3014231</v>
      </c>
      <c r="I140" s="41" t="n">
        <f aca="false">I138-I139</f>
        <v>157.69185003</v>
      </c>
      <c r="J140" s="41" t="n">
        <f aca="false">J138-J139</f>
        <v>204.999405039</v>
      </c>
      <c r="K140" s="41" t="n">
        <f aca="false">K138-K139</f>
        <v>266.4992265507</v>
      </c>
      <c r="L140" s="41" t="n">
        <f aca="false">L138-L139</f>
        <v>346.44899451591</v>
      </c>
      <c r="M140" s="41" t="n">
        <f aca="false">M138-M139</f>
        <v>450.383692870683</v>
      </c>
    </row>
    <row r="141" customFormat="false" ht="15" hidden="false" customHeight="false" outlineLevel="0" collapsed="false">
      <c r="A141" s="9" t="s">
        <v>295</v>
      </c>
      <c r="C141" s="36" t="n">
        <f aca="false">C133*a_capex</f>
        <v>6.6</v>
      </c>
      <c r="D141" s="36" t="n">
        <f aca="false">D133*a_capex</f>
        <v>7.722</v>
      </c>
      <c r="E141" s="36" t="n">
        <f aca="false">E133*a_capex</f>
        <v>10.0386</v>
      </c>
      <c r="F141" s="36" t="n">
        <f aca="false">F133*a_capex</f>
        <v>13.05018</v>
      </c>
      <c r="G141" s="36" t="n">
        <f aca="false">G133*a_capex</f>
        <v>16.965234</v>
      </c>
      <c r="H141" s="36" t="n">
        <f aca="false">H133*a_capex</f>
        <v>22.0548042</v>
      </c>
      <c r="I141" s="36" t="n">
        <f aca="false">I133*a_capex</f>
        <v>28.67124546</v>
      </c>
      <c r="J141" s="36" t="n">
        <f aca="false">J133*a_capex</f>
        <v>37.272619098</v>
      </c>
      <c r="K141" s="36" t="n">
        <f aca="false">K133*a_capex</f>
        <v>48.4544048274</v>
      </c>
      <c r="L141" s="36" t="n">
        <f aca="false">L133*a_capex</f>
        <v>62.99072627562</v>
      </c>
      <c r="M141" s="36" t="n">
        <f aca="false">M133*a_capex</f>
        <v>81.887944158306</v>
      </c>
    </row>
    <row r="142" customFormat="false" ht="15" hidden="false" customHeight="false" outlineLevel="0" collapsed="false">
      <c r="A142" s="9" t="s">
        <v>296</v>
      </c>
      <c r="C142" s="36" t="n">
        <f aca="false">0</f>
        <v>0</v>
      </c>
      <c r="D142" s="36" t="n">
        <f aca="false">a_wc*(D133-C133)</f>
        <v>1.87</v>
      </c>
      <c r="E142" s="36" t="n">
        <f aca="false">a_wc*(E133-D133)</f>
        <v>3.861</v>
      </c>
      <c r="F142" s="36" t="n">
        <f aca="false">a_wc*(F133-E133)</f>
        <v>5.0193</v>
      </c>
      <c r="G142" s="36" t="n">
        <f aca="false">a_wc*(G133-F133)</f>
        <v>6.52509</v>
      </c>
      <c r="H142" s="36" t="n">
        <f aca="false">a_wc*(H133-G133)</f>
        <v>8.48261700000001</v>
      </c>
      <c r="I142" s="36" t="n">
        <f aca="false">a_wc*(I133-H133)</f>
        <v>11.0274021</v>
      </c>
      <c r="J142" s="36" t="n">
        <f aca="false">a_wc*(J133-I133)</f>
        <v>14.33562273</v>
      </c>
      <c r="K142" s="36" t="n">
        <f aca="false">a_wc*(K133-J133)</f>
        <v>18.636309549</v>
      </c>
      <c r="L142" s="36" t="n">
        <f aca="false">a_wc*(L133-K133)</f>
        <v>24.2272024137</v>
      </c>
      <c r="M142" s="36" t="n">
        <f aca="false">a_wc*(M133-L133)</f>
        <v>31.49536313781</v>
      </c>
    </row>
    <row r="143" customFormat="false" ht="15" hidden="false" customHeight="false" outlineLevel="0" collapsed="false">
      <c r="A143" s="4" t="s">
        <v>297</v>
      </c>
      <c r="C143" s="36" t="n">
        <f aca="false">0</f>
        <v>0</v>
      </c>
      <c r="D143" s="41" t="n">
        <f aca="false">D140+D137-D141-D142</f>
        <v>-10.307</v>
      </c>
      <c r="E143" s="41" t="n">
        <f aca="false">E140+E137-E141-E142</f>
        <v>13.70655</v>
      </c>
      <c r="F143" s="41" t="n">
        <f aca="false">F140+F137-F141-F142</f>
        <v>34.13124</v>
      </c>
      <c r="G143" s="41" t="n">
        <f aca="false">G140+G137-G141-G142</f>
        <v>65.5771545</v>
      </c>
      <c r="H143" s="41" t="n">
        <f aca="false">H140+H137-H141-H142</f>
        <v>112.8188061</v>
      </c>
      <c r="I143" s="41" t="n">
        <f aca="false">I140+I137-I141-I142</f>
        <v>146.66444793</v>
      </c>
      <c r="J143" s="41" t="n">
        <f aca="false">J140+J137-J141-J142</f>
        <v>190.663782309</v>
      </c>
      <c r="K143" s="41" t="n">
        <f aca="false">K140+K137-K141-K142</f>
        <v>247.8629170017</v>
      </c>
      <c r="L143" s="41" t="n">
        <f aca="false">L140+L137-L141-L142</f>
        <v>322.22179210221</v>
      </c>
      <c r="M143" s="41" t="n">
        <f aca="false">M140+M137-M141-M142</f>
        <v>418.888329732873</v>
      </c>
    </row>
    <row r="145" customFormat="false" ht="15" hidden="false" customHeight="false" outlineLevel="0" collapsed="false">
      <c r="A145" s="7" t="s">
        <v>867</v>
      </c>
      <c r="B145" s="8"/>
      <c r="C145" s="8"/>
      <c r="D145" s="8"/>
      <c r="E145" s="8"/>
      <c r="F145" s="8"/>
      <c r="G145" s="8"/>
      <c r="H145" s="8"/>
      <c r="I145" s="8"/>
      <c r="J145" s="8"/>
      <c r="K145" s="8"/>
      <c r="L145" s="8"/>
      <c r="M145" s="8"/>
      <c r="N145" s="8"/>
    </row>
    <row r="146" customFormat="false" ht="15" hidden="false" customHeight="false" outlineLevel="0" collapsed="false">
      <c r="A146" s="9" t="s">
        <v>482</v>
      </c>
      <c r="C146" s="35" t="n">
        <f aca="false">Scenarios!$C$12/(c_price*(1-a_issue_disc))</f>
        <v>1.024</v>
      </c>
    </row>
    <row r="147" customFormat="false" ht="15" hidden="false" customHeight="false" outlineLevel="0" collapsed="false">
      <c r="A147" s="9" t="s">
        <v>449</v>
      </c>
      <c r="C147" s="35" t="n">
        <f aca="false">cf_shares+C146</f>
        <v>65.024</v>
      </c>
    </row>
    <row r="148" customFormat="false" ht="15" hidden="false" customHeight="false" outlineLevel="0" collapsed="false">
      <c r="A148" s="9" t="s">
        <v>483</v>
      </c>
      <c r="C148" s="36" t="n">
        <f aca="false">Scenarios!$C$10*a_yield*(1-a_tax)+Scenarios!$C$11*a_kd*(1-a_tax)</f>
        <v>94.5</v>
      </c>
    </row>
    <row r="149" customFormat="false" ht="15" hidden="false" customHeight="false" outlineLevel="0" collapsed="false">
      <c r="A149" s="9" t="s">
        <v>484</v>
      </c>
      <c r="C149" s="36" t="n">
        <f aca="false">Scenarios!$C$14*a_ppa_share/a_ppa_life*(1-a_tax)</f>
        <v>93.75</v>
      </c>
    </row>
    <row r="150" customFormat="false" ht="15" hidden="false" customHeight="false" outlineLevel="0" collapsed="false">
      <c r="A150" s="9" t="s">
        <v>485</v>
      </c>
      <c r="C150" s="36" t="n">
        <f aca="false">a_ppa_on*C149</f>
        <v>0</v>
      </c>
    </row>
    <row r="151" customFormat="false" ht="15" hidden="false" customHeight="false" outlineLevel="0" collapsed="false">
      <c r="A151" s="9" t="s">
        <v>486</v>
      </c>
      <c r="C151" s="36" t="n">
        <f aca="false">Scenarios!$C$14*a_fees_pct+a_integ_full</f>
        <v>160</v>
      </c>
    </row>
    <row r="152" customFormat="false" ht="15" hidden="false" customHeight="false" outlineLevel="0" collapsed="false">
      <c r="A152" s="9" t="s">
        <v>487</v>
      </c>
      <c r="C152" s="36" t="n">
        <f aca="false">0</f>
        <v>0</v>
      </c>
      <c r="D152" s="36" t="n">
        <f aca="false">a_syn_on*(a_syn_partner_rev_y3+a_syn_xsell_y3)*a_mcap*IF(D130=1,a_syn_ramp1,IF(D130=2,a_syn_ramp2,1))+a_syn_on*IF(D130&gt;=2,a_syn_cost,0)</f>
        <v>0</v>
      </c>
      <c r="E152" s="36" t="n">
        <f aca="false">a_syn_on*(a_syn_partner_rev_y3+a_syn_xsell_y3)*a_mcap*IF(E130=1,a_syn_ramp1,IF(E130=2,a_syn_ramp2,1))+a_syn_on*IF(E130&gt;=2,a_syn_cost,0)</f>
        <v>0</v>
      </c>
      <c r="F152" s="36" t="n">
        <f aca="false">a_syn_on*(a_syn_partner_rev_y3+a_syn_xsell_y3)*a_mcap*IF(F130=1,a_syn_ramp1,IF(F130=2,a_syn_ramp2,1))+a_syn_on*IF(F130&gt;=2,a_syn_cost,0)</f>
        <v>0</v>
      </c>
      <c r="G152" s="36" t="n">
        <f aca="false">a_syn_on*(a_syn_partner_rev_y3+a_syn_xsell_y3)*a_mcap*IF(G130=1,a_syn_ramp1,IF(G130=2,a_syn_ramp2,1))+a_syn_on*IF(G130&gt;=2,a_syn_cost,0)</f>
        <v>0</v>
      </c>
      <c r="H152" s="36" t="n">
        <f aca="false">a_syn_on*(a_syn_partner_rev_y3+a_syn_xsell_y3)*a_mcap*IF(H130=1,a_syn_ramp1,IF(H130=2,a_syn_ramp2,1))+a_syn_on*IF(H130&gt;=2,a_syn_cost,0)</f>
        <v>0</v>
      </c>
      <c r="I152" s="36" t="n">
        <f aca="false">a_syn_on*(a_syn_partner_rev_y3+a_syn_xsell_y3)*a_mcap*IF(I130=1,a_syn_ramp1,IF(I130=2,a_syn_ramp2,1))+a_syn_on*IF(I130&gt;=2,a_syn_cost,0)</f>
        <v>0</v>
      </c>
      <c r="J152" s="36" t="n">
        <f aca="false">a_syn_on*(a_syn_partner_rev_y3+a_syn_xsell_y3)*a_mcap*IF(J130=1,a_syn_ramp1,IF(J130=2,a_syn_ramp2,1))+a_syn_on*IF(J130&gt;=2,a_syn_cost,0)</f>
        <v>0</v>
      </c>
      <c r="K152" s="36" t="n">
        <f aca="false">a_syn_on*(a_syn_partner_rev_y3+a_syn_xsell_y3)*a_mcap*IF(K130=1,a_syn_ramp1,IF(K130=2,a_syn_ramp2,1))+a_syn_on*IF(K130&gt;=2,a_syn_cost,0)</f>
        <v>0</v>
      </c>
      <c r="L152" s="36" t="n">
        <f aca="false">a_syn_on*(a_syn_partner_rev_y3+a_syn_xsell_y3)*a_mcap*IF(L130=1,a_syn_ramp1,IF(L130=2,a_syn_ramp2,1))+a_syn_on*IF(L130&gt;=2,a_syn_cost,0)</f>
        <v>0</v>
      </c>
      <c r="M152" s="36" t="n">
        <f aca="false">a_syn_on*(a_syn_partner_rev_y3+a_syn_xsell_y3)*a_mcap*IF(M130=1,a_syn_ramp1,IF(M130=2,a_syn_ramp2,1))+a_syn_on*IF(M130&gt;=2,a_syn_cost,0)</f>
        <v>0</v>
      </c>
    </row>
    <row r="153" customFormat="false" ht="15" hidden="false" customHeight="false" outlineLevel="0" collapsed="false">
      <c r="A153" s="9" t="s">
        <v>488</v>
      </c>
      <c r="C153" s="36" t="n">
        <f aca="false">0</f>
        <v>0</v>
      </c>
      <c r="D153" s="36" t="n">
        <f aca="false">CHOOSE(Scenarios!$C$9,Scenarios!$C$8,Scenarios!$C$8*D133/cf_arr,Scenarios!$C$8*(1-a_tax))</f>
        <v>500</v>
      </c>
      <c r="E153" s="36" t="n">
        <f aca="false">CHOOSE(Scenarios!$C$9,Scenarios!$C$8,Scenarios!$C$8*E133/cf_arr,Scenarios!$C$8*(1-a_tax))</f>
        <v>500</v>
      </c>
      <c r="F153" s="36" t="n">
        <f aca="false">CHOOSE(Scenarios!$C$9,Scenarios!$C$8,Scenarios!$C$8*F133/cf_arr,Scenarios!$C$8*(1-a_tax))</f>
        <v>500</v>
      </c>
      <c r="G153" s="36" t="n">
        <f aca="false">CHOOSE(Scenarios!$C$9,Scenarios!$C$8,Scenarios!$C$8*G133/cf_arr,Scenarios!$C$8*(1-a_tax))</f>
        <v>500</v>
      </c>
      <c r="H153" s="36" t="n">
        <f aca="false">CHOOSE(Scenarios!$C$9,Scenarios!$C$8,Scenarios!$C$8*H133/cf_arr,Scenarios!$C$8*(1-a_tax))</f>
        <v>500</v>
      </c>
      <c r="I153" s="36" t="n">
        <f aca="false">CHOOSE(Scenarios!$C$9,Scenarios!$C$8,Scenarios!$C$8*I133/cf_arr,Scenarios!$C$8*(1-a_tax))</f>
        <v>500</v>
      </c>
      <c r="J153" s="36" t="n">
        <f aca="false">CHOOSE(Scenarios!$C$9,Scenarios!$C$8,Scenarios!$C$8*J133/cf_arr,Scenarios!$C$8*(1-a_tax))</f>
        <v>500</v>
      </c>
      <c r="K153" s="36" t="n">
        <f aca="false">CHOOSE(Scenarios!$C$9,Scenarios!$C$8,Scenarios!$C$8*K133/cf_arr,Scenarios!$C$8*(1-a_tax))</f>
        <v>500</v>
      </c>
      <c r="L153" s="36" t="n">
        <f aca="false">CHOOSE(Scenarios!$C$9,Scenarios!$C$8,Scenarios!$C$8*L133/cf_arr,Scenarios!$C$8*(1-a_tax))</f>
        <v>500</v>
      </c>
      <c r="M153" s="36" t="n">
        <f aca="false">CHOOSE(Scenarios!$C$9,Scenarios!$C$8,Scenarios!$C$8*M133/cf_arr,Scenarios!$C$8*(1-a_tax))</f>
        <v>500</v>
      </c>
    </row>
    <row r="154" customFormat="false" ht="15" hidden="false" customHeight="false" outlineLevel="0" collapsed="false">
      <c r="A154" s="9" t="s">
        <v>489</v>
      </c>
      <c r="C154" s="36" t="n">
        <f aca="false">0</f>
        <v>0</v>
      </c>
      <c r="D154" s="36" t="n">
        <f aca="false">IF(Scenarios!$C$9=3,Scenarios!$C$8*(1-a_tax),0)</f>
        <v>0</v>
      </c>
      <c r="E154" s="36" t="n">
        <f aca="false">IF(Scenarios!$C$9=3,Scenarios!$C$8*(1-a_tax),0)</f>
        <v>0</v>
      </c>
      <c r="F154" s="36" t="n">
        <f aca="false">IF(Scenarios!$C$9=3,Scenarios!$C$8*(1-a_tax),0)</f>
        <v>0</v>
      </c>
      <c r="G154" s="36" t="n">
        <f aca="false">IF(Scenarios!$C$9=3,Scenarios!$C$8*(1-a_tax),0)</f>
        <v>0</v>
      </c>
      <c r="H154" s="36" t="n">
        <f aca="false">IF(Scenarios!$C$9=3,Scenarios!$C$8*(1-a_tax),0)</f>
        <v>0</v>
      </c>
      <c r="I154" s="36" t="n">
        <f aca="false">IF(Scenarios!$C$9=3,Scenarios!$C$8*(1-a_tax),0)</f>
        <v>0</v>
      </c>
      <c r="J154" s="36" t="n">
        <f aca="false">IF(Scenarios!$C$9=3,Scenarios!$C$8*(1-a_tax),0)</f>
        <v>0</v>
      </c>
      <c r="K154" s="36" t="n">
        <f aca="false">IF(Scenarios!$C$9=3,Scenarios!$C$8*(1-a_tax),0)</f>
        <v>0</v>
      </c>
      <c r="L154" s="36" t="n">
        <f aca="false">IF(Scenarios!$C$9=3,Scenarios!$C$8*(1-a_tax),0)</f>
        <v>0</v>
      </c>
      <c r="M154" s="36" t="n">
        <f aca="false">IF(Scenarios!$C$9=3,Scenarios!$C$8*(1-a_tax),0)</f>
        <v>0</v>
      </c>
    </row>
    <row r="155" customFormat="false" ht="15" hidden="false" customHeight="false" outlineLevel="0" collapsed="false">
      <c r="A155" s="9" t="s">
        <v>490</v>
      </c>
      <c r="C155" s="36" t="n">
        <f aca="false">0</f>
        <v>0</v>
      </c>
      <c r="D155" s="36" t="n">
        <f aca="false">IF(Scenarios!$C$9=3,0,C155+D153)</f>
        <v>500</v>
      </c>
      <c r="E155" s="36" t="n">
        <f aca="false">IF(Scenarios!$C$9=3,0,D155+E153)</f>
        <v>1000</v>
      </c>
      <c r="F155" s="36" t="n">
        <f aca="false">IF(Scenarios!$C$9=3,0,E155+F153)</f>
        <v>1500</v>
      </c>
      <c r="G155" s="36" t="n">
        <f aca="false">IF(Scenarios!$C$9=3,0,F155+G153)</f>
        <v>2000</v>
      </c>
      <c r="H155" s="36" t="n">
        <f aca="false">IF(Scenarios!$C$9=3,0,G155+H153)</f>
        <v>2500</v>
      </c>
      <c r="I155" s="36" t="n">
        <f aca="false">IF(Scenarios!$C$9=3,0,H155+I153)</f>
        <v>3000</v>
      </c>
      <c r="J155" s="36" t="n">
        <f aca="false">IF(Scenarios!$C$9=3,0,I155+J153)</f>
        <v>3500</v>
      </c>
      <c r="K155" s="36" t="n">
        <f aca="false">IF(Scenarios!$C$9=3,0,J155+K153)</f>
        <v>4000</v>
      </c>
      <c r="L155" s="36" t="n">
        <f aca="false">IF(Scenarios!$C$9=3,0,K155+L153)</f>
        <v>4500</v>
      </c>
      <c r="M155" s="36" t="n">
        <f aca="false">IF(Scenarios!$C$9=3,0,L155+M153)</f>
        <v>5000</v>
      </c>
    </row>
    <row r="156" customFormat="false" ht="15" hidden="false" customHeight="false" outlineLevel="0" collapsed="false">
      <c r="A156" s="9" t="s">
        <v>491</v>
      </c>
      <c r="C156" s="36" t="n">
        <f aca="false">0</f>
        <v>0</v>
      </c>
      <c r="D156" s="36" t="n">
        <f aca="false">C155*a_yield*(1-a_tax)</f>
        <v>0</v>
      </c>
      <c r="E156" s="36" t="n">
        <f aca="false">D155*a_yield*(1-a_tax)</f>
        <v>22.5</v>
      </c>
      <c r="F156" s="36" t="n">
        <f aca="false">E155*a_yield*(1-a_tax)</f>
        <v>45</v>
      </c>
      <c r="G156" s="36" t="n">
        <f aca="false">F155*a_yield*(1-a_tax)</f>
        <v>67.5</v>
      </c>
      <c r="H156" s="36" t="n">
        <f aca="false">G155*a_yield*(1-a_tax)</f>
        <v>90</v>
      </c>
      <c r="I156" s="36" t="n">
        <f aca="false">H155*a_yield*(1-a_tax)</f>
        <v>112.5</v>
      </c>
      <c r="J156" s="36" t="n">
        <f aca="false">I155*a_yield*(1-a_tax)</f>
        <v>135</v>
      </c>
      <c r="K156" s="36" t="n">
        <f aca="false">J155*a_yield*(1-a_tax)</f>
        <v>157.5</v>
      </c>
      <c r="L156" s="36" t="n">
        <f aca="false">K155*a_yield*(1-a_tax)</f>
        <v>180</v>
      </c>
      <c r="M156" s="36" t="n">
        <f aca="false">L155*a_yield*(1-a_tax)</f>
        <v>202.5</v>
      </c>
    </row>
    <row r="157" customFormat="false" ht="15" hidden="false" customHeight="false" outlineLevel="0" collapsed="false">
      <c r="A157" s="9" t="s">
        <v>492</v>
      </c>
      <c r="C157" s="36" t="n">
        <f aca="false">cf_pat</f>
        <v>480</v>
      </c>
      <c r="D157" s="36" t="n">
        <f aca="false">cf_pat*(1+a_pat_growth)^D130</f>
        <v>480</v>
      </c>
      <c r="E157" s="36" t="n">
        <f aca="false">cf_pat*(1+a_pat_growth)^E130</f>
        <v>480</v>
      </c>
      <c r="F157" s="36" t="n">
        <f aca="false">cf_pat*(1+a_pat_growth)^F130</f>
        <v>480</v>
      </c>
      <c r="G157" s="36" t="n">
        <f aca="false">cf_pat*(1+a_pat_growth)^G130</f>
        <v>480</v>
      </c>
      <c r="H157" s="36" t="n">
        <f aca="false">cf_pat*(1+a_pat_growth)^H130</f>
        <v>480</v>
      </c>
      <c r="I157" s="36" t="n">
        <f aca="false">cf_pat*(1+a_pat_growth)^I130</f>
        <v>480</v>
      </c>
      <c r="J157" s="36" t="n">
        <f aca="false">cf_pat*(1+a_pat_growth)^J130</f>
        <v>480</v>
      </c>
      <c r="K157" s="36" t="n">
        <f aca="false">cf_pat*(1+a_pat_growth)^K130</f>
        <v>480</v>
      </c>
      <c r="L157" s="36" t="n">
        <f aca="false">cf_pat*(1+a_pat_growth)^L130</f>
        <v>480</v>
      </c>
      <c r="M157" s="36" t="n">
        <f aca="false">cf_pat*(1+a_pat_growth)^M130</f>
        <v>480</v>
      </c>
    </row>
    <row r="158" customFormat="false" ht="15" hidden="false" customHeight="false" outlineLevel="0" collapsed="false">
      <c r="A158" s="9" t="s">
        <v>493</v>
      </c>
      <c r="C158" s="36" t="n">
        <f aca="false">0</f>
        <v>0</v>
      </c>
      <c r="D158" s="36" t="n">
        <f aca="false">cf_mdr*a_mdr_flow*(1-a_tax)</f>
        <v>69</v>
      </c>
      <c r="E158" s="36" t="n">
        <f aca="false">cf_mdr*a_mdr_flow*(1-a_tax)</f>
        <v>69</v>
      </c>
      <c r="F158" s="36" t="n">
        <f aca="false">cf_mdr*a_mdr_flow*(1-a_tax)</f>
        <v>69</v>
      </c>
      <c r="G158" s="36" t="n">
        <f aca="false">cf_mdr*a_mdr_flow*(1-a_tax)</f>
        <v>69</v>
      </c>
      <c r="H158" s="36" t="n">
        <f aca="false">cf_mdr*a_mdr_flow*(1-a_tax)</f>
        <v>69</v>
      </c>
      <c r="I158" s="36" t="n">
        <f aca="false">cf_mdr*a_mdr_flow*(1-a_tax)</f>
        <v>69</v>
      </c>
      <c r="J158" s="36" t="n">
        <f aca="false">cf_mdr*a_mdr_flow*(1-a_tax)</f>
        <v>69</v>
      </c>
      <c r="K158" s="36" t="n">
        <f aca="false">cf_mdr*a_mdr_flow*(1-a_tax)</f>
        <v>69</v>
      </c>
      <c r="L158" s="36" t="n">
        <f aca="false">cf_mdr*a_mdr_flow*(1-a_tax)</f>
        <v>69</v>
      </c>
      <c r="M158" s="36" t="n">
        <f aca="false">cf_mdr*a_mdr_flow*(1-a_tax)</f>
        <v>69</v>
      </c>
    </row>
    <row r="159" customFormat="false" ht="15" hidden="false" customHeight="false" outlineLevel="0" collapsed="false">
      <c r="A159" s="9" t="s">
        <v>494</v>
      </c>
      <c r="C159" s="50" t="n">
        <f aca="false">cf_eps</f>
        <v>7.5</v>
      </c>
      <c r="D159" s="50" t="n">
        <f aca="false">D157/cf_shares</f>
        <v>7.5</v>
      </c>
      <c r="E159" s="50" t="n">
        <f aca="false">E157/cf_shares</f>
        <v>7.5</v>
      </c>
      <c r="F159" s="50" t="n">
        <f aca="false">F157/cf_shares</f>
        <v>7.5</v>
      </c>
      <c r="G159" s="50" t="n">
        <f aca="false">G157/cf_shares</f>
        <v>7.5</v>
      </c>
      <c r="H159" s="50" t="n">
        <f aca="false">H157/cf_shares</f>
        <v>7.5</v>
      </c>
      <c r="I159" s="50" t="n">
        <f aca="false">I157/cf_shares</f>
        <v>7.5</v>
      </c>
      <c r="J159" s="50" t="n">
        <f aca="false">J157/cf_shares</f>
        <v>7.5</v>
      </c>
      <c r="K159" s="50" t="n">
        <f aca="false">K157/cf_shares</f>
        <v>7.5</v>
      </c>
      <c r="L159" s="50" t="n">
        <f aca="false">L157/cf_shares</f>
        <v>7.5</v>
      </c>
      <c r="M159" s="50" t="n">
        <f aca="false">M157/cf_shares</f>
        <v>7.5</v>
      </c>
    </row>
    <row r="160" customFormat="false" ht="15" hidden="false" customHeight="false" outlineLevel="0" collapsed="false">
      <c r="A160" s="9" t="s">
        <v>495</v>
      </c>
      <c r="C160" s="50" t="n">
        <f aca="false">cf_eps</f>
        <v>7.5</v>
      </c>
      <c r="D160" s="50" t="n">
        <f aca="false">(D157+D158)/cf_shares</f>
        <v>8.578125</v>
      </c>
      <c r="E160" s="50" t="n">
        <f aca="false">(E157+E158)/cf_shares</f>
        <v>8.578125</v>
      </c>
      <c r="F160" s="50" t="n">
        <f aca="false">(F157+F158)/cf_shares</f>
        <v>8.578125</v>
      </c>
      <c r="G160" s="50" t="n">
        <f aca="false">(G157+G158)/cf_shares</f>
        <v>8.578125</v>
      </c>
      <c r="H160" s="50" t="n">
        <f aca="false">(H157+H158)/cf_shares</f>
        <v>8.578125</v>
      </c>
      <c r="I160" s="50" t="n">
        <f aca="false">(I157+I158)/cf_shares</f>
        <v>8.578125</v>
      </c>
      <c r="J160" s="50" t="n">
        <f aca="false">(J157+J158)/cf_shares</f>
        <v>8.578125</v>
      </c>
      <c r="K160" s="50" t="n">
        <f aca="false">(K157+K158)/cf_shares</f>
        <v>8.578125</v>
      </c>
      <c r="L160" s="50" t="n">
        <f aca="false">(L157+L158)/cf_shares</f>
        <v>8.578125</v>
      </c>
      <c r="M160" s="50" t="n">
        <f aca="false">(M157+M158)/cf_shares</f>
        <v>8.578125</v>
      </c>
    </row>
    <row r="161" customFormat="false" ht="15" hidden="false" customHeight="false" outlineLevel="0" collapsed="false">
      <c r="A161" s="4" t="s">
        <v>496</v>
      </c>
      <c r="C161" s="41" t="n">
        <f aca="false">-C148-C150</f>
        <v>-94.5</v>
      </c>
      <c r="D161" s="41" t="n">
        <f aca="false">D140+D152*(1-a_tax)-C148-C150-D154-D156</f>
        <v>-102.937</v>
      </c>
      <c r="E161" s="41" t="n">
        <f aca="false">E140+E152*(1-a_tax)-C148-C150-E154-E156</f>
        <v>-99.43245</v>
      </c>
      <c r="F161" s="41" t="n">
        <f aca="false">F140+F152*(1-a_tax)-C148-C150-F154-F156</f>
        <v>-100.34946</v>
      </c>
      <c r="G161" s="41" t="n">
        <f aca="false">G140+G152*(1-a_tax)-C148-C150-G154-G156</f>
        <v>-89.8977555</v>
      </c>
      <c r="H161" s="41" t="n">
        <f aca="false">H140+H152*(1-a_tax)-C148-C150-H154-H156</f>
        <v>-63.1985769</v>
      </c>
      <c r="I161" s="41" t="n">
        <f aca="false">I140+I152*(1-a_tax)-C148-C150-I154-I156</f>
        <v>-49.30814997</v>
      </c>
      <c r="J161" s="41" t="n">
        <f aca="false">J140+J152*(1-a_tax)-C148-C150-J154-J156</f>
        <v>-24.5005949609999</v>
      </c>
      <c r="K161" s="41" t="n">
        <f aca="false">K140+K152*(1-a_tax)-C148-C150-K154-K156</f>
        <v>14.4992265507001</v>
      </c>
      <c r="L161" s="41" t="n">
        <f aca="false">L140+L152*(1-a_tax)-C148-C150-L154-L156</f>
        <v>71.9489945159101</v>
      </c>
      <c r="M161" s="41" t="n">
        <f aca="false">M140+M152*(1-a_tax)-C148-C150-M154-M156</f>
        <v>153.383692870683</v>
      </c>
    </row>
    <row r="162" customFormat="false" ht="15" hidden="false" customHeight="false" outlineLevel="0" collapsed="false">
      <c r="A162" s="9" t="s">
        <v>497</v>
      </c>
      <c r="C162" s="36" t="n">
        <f aca="false">C157+C161</f>
        <v>385.5</v>
      </c>
      <c r="D162" s="36" t="n">
        <f aca="false">D157+D161</f>
        <v>377.063</v>
      </c>
      <c r="E162" s="36" t="n">
        <f aca="false">E157+E161</f>
        <v>380.56755</v>
      </c>
      <c r="F162" s="36" t="n">
        <f aca="false">F157+F161</f>
        <v>379.65054</v>
      </c>
      <c r="G162" s="36" t="n">
        <f aca="false">G157+G161</f>
        <v>390.1022445</v>
      </c>
      <c r="H162" s="36" t="n">
        <f aca="false">H157+H161</f>
        <v>416.8014231</v>
      </c>
      <c r="I162" s="36" t="n">
        <f aca="false">I157+I161</f>
        <v>430.69185003</v>
      </c>
      <c r="J162" s="36" t="n">
        <f aca="false">J157+J161</f>
        <v>455.499405039</v>
      </c>
      <c r="K162" s="36" t="n">
        <f aca="false">K157+K161</f>
        <v>494.4992265507</v>
      </c>
      <c r="L162" s="36" t="n">
        <f aca="false">L157+L161</f>
        <v>551.94899451591</v>
      </c>
      <c r="M162" s="36" t="n">
        <f aca="false">M157+M161</f>
        <v>633.383692870683</v>
      </c>
    </row>
    <row r="163" customFormat="false" ht="15" hidden="false" customHeight="false" outlineLevel="0" collapsed="false">
      <c r="A163" s="4" t="s">
        <v>498</v>
      </c>
      <c r="C163" s="48" t="n">
        <f aca="false">C162/C147</f>
        <v>5.92858021653543</v>
      </c>
      <c r="D163" s="48" t="n">
        <f aca="false">D162/C147</f>
        <v>5.798828125</v>
      </c>
      <c r="E163" s="48" t="n">
        <f aca="false">E162/C147</f>
        <v>5.85272437869095</v>
      </c>
      <c r="F163" s="48" t="n">
        <f aca="false">F162/C147</f>
        <v>5.83862173966535</v>
      </c>
      <c r="G163" s="48" t="n">
        <f aca="false">G162/C147</f>
        <v>5.99935784479577</v>
      </c>
      <c r="H163" s="48" t="n">
        <f aca="false">H162/C147</f>
        <v>6.40996283064715</v>
      </c>
      <c r="I163" s="48" t="n">
        <f aca="false">I162/C147</f>
        <v>6.62358283141609</v>
      </c>
      <c r="J163" s="48" t="n">
        <f aca="false">J162/C147</f>
        <v>7.00509665721887</v>
      </c>
      <c r="K163" s="48" t="n">
        <f aca="false">K162/C147</f>
        <v>7.60487245556564</v>
      </c>
      <c r="L163" s="48" t="n">
        <f aca="false">L162/C147</f>
        <v>8.48838881821958</v>
      </c>
      <c r="M163" s="48" t="n">
        <f aca="false">M162/C147</f>
        <v>9.74076791447286</v>
      </c>
    </row>
    <row r="164" customFormat="false" ht="15" hidden="false" customHeight="false" outlineLevel="0" collapsed="false">
      <c r="A164" s="4" t="s">
        <v>499</v>
      </c>
      <c r="C164" s="14" t="n">
        <f aca="false">C163/cf_eps-1</f>
        <v>-0.209522637795276</v>
      </c>
      <c r="D164" s="14" t="n">
        <f aca="false">D163/cf_eps-1</f>
        <v>-0.226822916666667</v>
      </c>
      <c r="E164" s="14" t="n">
        <f aca="false">E163/cf_eps-1</f>
        <v>-0.219636749507874</v>
      </c>
      <c r="F164" s="14" t="n">
        <f aca="false">F163/cf_eps-1</f>
        <v>-0.221517101377953</v>
      </c>
      <c r="G164" s="14" t="n">
        <f aca="false">G163/cf_eps-1</f>
        <v>-0.200085620693898</v>
      </c>
      <c r="H164" s="14" t="n">
        <f aca="false">H163/cf_eps-1</f>
        <v>-0.145338289247047</v>
      </c>
      <c r="I164" s="14" t="n">
        <f aca="false">I163/cf_eps-1</f>
        <v>-0.116855622477854</v>
      </c>
      <c r="J164" s="14" t="n">
        <f aca="false">J163/cf_eps-1</f>
        <v>-0.0659871123708168</v>
      </c>
      <c r="K164" s="14" t="n">
        <f aca="false">K163/cf_eps-1</f>
        <v>0.0139829940754186</v>
      </c>
      <c r="L164" s="14" t="n">
        <f aca="false">L163/cf_eps-1</f>
        <v>0.131785175762611</v>
      </c>
      <c r="M164" s="14" t="n">
        <f aca="false">M163/cf_eps-1</f>
        <v>0.298769055263048</v>
      </c>
    </row>
    <row r="165" customFormat="false" ht="15" hidden="false" customHeight="false" outlineLevel="0" collapsed="false">
      <c r="A165" s="9" t="s">
        <v>500</v>
      </c>
      <c r="C165" s="50" t="n">
        <f aca="false">C163</f>
        <v>5.92858021653543</v>
      </c>
      <c r="D165" s="50" t="n">
        <f aca="false">(D162+D158)/C147</f>
        <v>6.85997477854331</v>
      </c>
      <c r="E165" s="50" t="n">
        <f aca="false">(E162+E158)/C147</f>
        <v>6.91387103223425</v>
      </c>
      <c r="F165" s="50" t="n">
        <f aca="false">(F162+F158)/C147</f>
        <v>6.89976839320866</v>
      </c>
      <c r="G165" s="50" t="n">
        <f aca="false">(G162+G158)/C147</f>
        <v>7.06050449833908</v>
      </c>
      <c r="H165" s="50" t="n">
        <f aca="false">(H162+H158)/C147</f>
        <v>7.47110948419045</v>
      </c>
      <c r="I165" s="50" t="n">
        <f aca="false">(I162+I158)/C147</f>
        <v>7.6847294849594</v>
      </c>
      <c r="J165" s="50" t="n">
        <f aca="false">(J162+J158)/C147</f>
        <v>8.06624331076218</v>
      </c>
      <c r="K165" s="50" t="n">
        <f aca="false">(K162+K158)/C147</f>
        <v>8.66601910910895</v>
      </c>
      <c r="L165" s="50" t="n">
        <f aca="false">(L162+L158)/C147</f>
        <v>9.54953547176289</v>
      </c>
      <c r="M165" s="50" t="n">
        <f aca="false">(M162+M158)/C147</f>
        <v>10.8019145680162</v>
      </c>
    </row>
    <row r="166" customFormat="false" ht="15" hidden="false" customHeight="false" outlineLevel="0" collapsed="false">
      <c r="A166" s="9" t="s">
        <v>501</v>
      </c>
      <c r="C166" s="18" t="n">
        <f aca="false">C164</f>
        <v>-0.209522637795276</v>
      </c>
      <c r="D166" s="18" t="n">
        <f aca="false">D165/D160-1</f>
        <v>-0.200294379186208</v>
      </c>
      <c r="E166" s="18" t="n">
        <f aca="false">E165/E160-1</f>
        <v>-0.19401139150639</v>
      </c>
      <c r="F166" s="18" t="n">
        <f aca="false">F165/F160-1</f>
        <v>-0.195655414999355</v>
      </c>
      <c r="G166" s="18" t="n">
        <f aca="false">G165/G160-1</f>
        <v>-0.176917508390345</v>
      </c>
      <c r="H166" s="18" t="n">
        <f aca="false">H165/H160-1</f>
        <v>-0.129050989092552</v>
      </c>
      <c r="I166" s="18" t="n">
        <f aca="false">I165/I160-1</f>
        <v>-0.104148111042984</v>
      </c>
      <c r="J166" s="18" t="n">
        <f aca="false">J165/J160-1</f>
        <v>-0.0596729109493998</v>
      </c>
      <c r="K166" s="18" t="n">
        <f aca="false">K165/K160-1</f>
        <v>0.0102463078014072</v>
      </c>
      <c r="L166" s="18" t="n">
        <f aca="false">L165/L160-1</f>
        <v>0.113242750806603</v>
      </c>
      <c r="M166" s="18" t="n">
        <f aca="false">M165/M160-1</f>
        <v>0.259239585342504</v>
      </c>
    </row>
    <row r="167" customFormat="false" ht="15" hidden="false" customHeight="false" outlineLevel="0" collapsed="false">
      <c r="A167" s="9" t="s">
        <v>502</v>
      </c>
      <c r="C167" s="50" t="n">
        <f aca="false">(C162+C150)/C147</f>
        <v>5.92858021653543</v>
      </c>
      <c r="D167" s="50" t="n">
        <f aca="false">(D162+C150)/C147</f>
        <v>5.798828125</v>
      </c>
      <c r="E167" s="50" t="n">
        <f aca="false">(E162+C150)/C147</f>
        <v>5.85272437869095</v>
      </c>
      <c r="F167" s="50" t="n">
        <f aca="false">(F162+C150)/C147</f>
        <v>5.83862173966535</v>
      </c>
      <c r="G167" s="50" t="n">
        <f aca="false">(G162+C150)/C147</f>
        <v>5.99935784479577</v>
      </c>
      <c r="H167" s="50" t="n">
        <f aca="false">(H162+C150)/C147</f>
        <v>6.40996283064715</v>
      </c>
      <c r="I167" s="50" t="n">
        <f aca="false">(I162+C150)/C147</f>
        <v>6.62358283141609</v>
      </c>
      <c r="J167" s="50" t="n">
        <f aca="false">(J162+C150)/C147</f>
        <v>7.00509665721887</v>
      </c>
      <c r="K167" s="50" t="n">
        <f aca="false">(K162+C150)/C147</f>
        <v>7.60487245556564</v>
      </c>
      <c r="L167" s="50" t="n">
        <f aca="false">(L162+C150)/C147</f>
        <v>8.48838881821958</v>
      </c>
      <c r="M167" s="50" t="n">
        <f aca="false">(M162+C150)/C147</f>
        <v>9.74076791447286</v>
      </c>
    </row>
    <row r="168" customFormat="false" ht="15" hidden="false" customHeight="false" outlineLevel="0" collapsed="false">
      <c r="A168" s="9" t="s">
        <v>503</v>
      </c>
      <c r="C168" s="50" t="n">
        <f aca="false">(C162-C149+C150)/C147</f>
        <v>4.48680487204724</v>
      </c>
      <c r="D168" s="50" t="n">
        <f aca="false">(D162-C149+C150)/C147</f>
        <v>4.35705278051181</v>
      </c>
      <c r="E168" s="50" t="n">
        <f aca="false">(E162-C149+C150)/C147</f>
        <v>4.41094903420276</v>
      </c>
      <c r="F168" s="50" t="n">
        <f aca="false">(F162-C149+C150)/C147</f>
        <v>4.39684639517717</v>
      </c>
      <c r="G168" s="50" t="n">
        <f aca="false">(G162-C149+C150)/C147</f>
        <v>4.55758250030758</v>
      </c>
      <c r="H168" s="50" t="n">
        <f aca="false">(H162-C149+C150)/C147</f>
        <v>4.96818748615896</v>
      </c>
      <c r="I168" s="50" t="n">
        <f aca="false">(I162-C149+C150)/C147</f>
        <v>5.1818074869279</v>
      </c>
      <c r="J168" s="50" t="n">
        <f aca="false">(J162-C149+C150)/C147</f>
        <v>5.56332131273069</v>
      </c>
      <c r="K168" s="50" t="n">
        <f aca="false">(K162-C149+C150)/C147</f>
        <v>6.16309711107745</v>
      </c>
      <c r="L168" s="50" t="n">
        <f aca="false">(L162-C149+C150)/C147</f>
        <v>7.04661347373139</v>
      </c>
      <c r="M168" s="50" t="n">
        <f aca="false">(M162-C149+C150)/C147</f>
        <v>8.29899256998467</v>
      </c>
    </row>
    <row r="169" customFormat="false" ht="15" hidden="false" customHeight="false" outlineLevel="0" collapsed="false">
      <c r="A169" s="9" t="s">
        <v>504</v>
      </c>
      <c r="C169" s="50" t="n">
        <f aca="false">C157/C147</f>
        <v>7.38188976377953</v>
      </c>
      <c r="D169" s="50" t="n">
        <f aca="false">D157/C147</f>
        <v>7.38188976377953</v>
      </c>
      <c r="E169" s="50" t="n">
        <f aca="false">E157/C147</f>
        <v>7.38188976377953</v>
      </c>
      <c r="F169" s="50" t="n">
        <f aca="false">F157/C147</f>
        <v>7.38188976377953</v>
      </c>
      <c r="G169" s="50" t="n">
        <f aca="false">G157/C147</f>
        <v>7.38188976377953</v>
      </c>
      <c r="H169" s="50" t="n">
        <f aca="false">H157/C147</f>
        <v>7.38188976377953</v>
      </c>
      <c r="I169" s="50" t="n">
        <f aca="false">I157/C147</f>
        <v>7.38188976377953</v>
      </c>
      <c r="J169" s="50" t="n">
        <f aca="false">J157/C147</f>
        <v>7.38188976377953</v>
      </c>
      <c r="K169" s="50" t="n">
        <f aca="false">K157/C147</f>
        <v>7.38188976377953</v>
      </c>
      <c r="L169" s="50" t="n">
        <f aca="false">L157/C147</f>
        <v>7.38188976377953</v>
      </c>
      <c r="M169" s="50" t="n">
        <f aca="false">M157/C147</f>
        <v>7.38188976377953</v>
      </c>
    </row>
    <row r="170" customFormat="false" ht="15" hidden="false" customHeight="false" outlineLevel="0" collapsed="false">
      <c r="A170" s="9" t="s">
        <v>505</v>
      </c>
      <c r="D170" s="36" t="n">
        <f aca="false">D143+D152*(1-a_tax)-D153-IF(D130=1,C151,0)</f>
        <v>-670.307</v>
      </c>
      <c r="E170" s="36" t="n">
        <f aca="false">E143+E152*(1-a_tax)-E153-IF(E130=1,C151,0)</f>
        <v>-486.29345</v>
      </c>
      <c r="F170" s="36" t="n">
        <f aca="false">F143+F152*(1-a_tax)-F153-IF(F130=1,C151,0)</f>
        <v>-465.86876</v>
      </c>
      <c r="G170" s="36" t="n">
        <f aca="false">G143+G152*(1-a_tax)-G153-IF(G130=1,C151,0)</f>
        <v>-434.4228455</v>
      </c>
      <c r="H170" s="36" t="n">
        <f aca="false">H143+H152*(1-a_tax)-H153-IF(H130=1,C151,0)</f>
        <v>-387.1811939</v>
      </c>
      <c r="I170" s="36" t="n">
        <f aca="false">I143+I152*(1-a_tax)-I153-IF(I130=1,C151,0)</f>
        <v>-353.33555207</v>
      </c>
      <c r="J170" s="36" t="n">
        <f aca="false">J143+J152*(1-a_tax)-J153-IF(J130=1,C151,0)</f>
        <v>-309.336217691</v>
      </c>
      <c r="K170" s="36" t="n">
        <f aca="false">K143+K152*(1-a_tax)-K153-IF(K130=1,C151,0)</f>
        <v>-252.1370829983</v>
      </c>
      <c r="L170" s="36" t="n">
        <f aca="false">L143+L152*(1-a_tax)-L153-IF(L130=1,C151,0)</f>
        <v>-177.77820789779</v>
      </c>
      <c r="M170" s="36" t="n">
        <f aca="false">M143+M152*(1-a_tax)-M153-IF(M130=1,C151,0)</f>
        <v>-81.1116702671268</v>
      </c>
    </row>
    <row r="171" customFormat="false" ht="15" hidden="false" customHeight="false" outlineLevel="0" collapsed="false">
      <c r="A171" s="4" t="s">
        <v>506</v>
      </c>
      <c r="D171" s="41" t="n">
        <f aca="false">D170-C148</f>
        <v>-764.807</v>
      </c>
      <c r="E171" s="41" t="n">
        <f aca="false">E170-C148</f>
        <v>-580.79345</v>
      </c>
      <c r="F171" s="41" t="n">
        <f aca="false">F170-C148</f>
        <v>-560.36876</v>
      </c>
      <c r="G171" s="41" t="n">
        <f aca="false">G170-C148</f>
        <v>-528.9228455</v>
      </c>
      <c r="H171" s="41" t="n">
        <f aca="false">H170-C148</f>
        <v>-481.6811939</v>
      </c>
      <c r="I171" s="41" t="n">
        <f aca="false">I170-C148</f>
        <v>-447.83555207</v>
      </c>
      <c r="J171" s="41" t="n">
        <f aca="false">J170-C148</f>
        <v>-403.836217691</v>
      </c>
      <c r="K171" s="41" t="n">
        <f aca="false">K170-C148</f>
        <v>-346.6370829983</v>
      </c>
      <c r="L171" s="41" t="n">
        <f aca="false">L170-C148</f>
        <v>-272.27820789779</v>
      </c>
      <c r="M171" s="41" t="n">
        <f aca="false">M170-C148</f>
        <v>-175.611670267127</v>
      </c>
    </row>
    <row r="172" customFormat="false" ht="15" hidden="false" customHeight="false" outlineLevel="0" collapsed="false">
      <c r="A172" s="9" t="s">
        <v>507</v>
      </c>
      <c r="C172" s="36" t="n">
        <f aca="false">0</f>
        <v>0</v>
      </c>
      <c r="D172" s="36" t="n">
        <f aca="false">D158</f>
        <v>69</v>
      </c>
      <c r="E172" s="36" t="n">
        <f aca="false">E158</f>
        <v>69</v>
      </c>
      <c r="F172" s="36" t="n">
        <f aca="false">F158</f>
        <v>69</v>
      </c>
      <c r="G172" s="36" t="n">
        <f aca="false">G158</f>
        <v>69</v>
      </c>
      <c r="H172" s="36" t="n">
        <f aca="false">H158</f>
        <v>69</v>
      </c>
      <c r="I172" s="36" t="n">
        <f aca="false">I158</f>
        <v>69</v>
      </c>
      <c r="J172" s="36" t="n">
        <f aca="false">J158</f>
        <v>69</v>
      </c>
      <c r="K172" s="36" t="n">
        <f aca="false">K158</f>
        <v>69</v>
      </c>
      <c r="L172" s="36" t="n">
        <f aca="false">L158</f>
        <v>69</v>
      </c>
      <c r="M172" s="36" t="n">
        <f aca="false">M158</f>
        <v>69</v>
      </c>
    </row>
    <row r="173" customFormat="false" ht="15" hidden="false" customHeight="false" outlineLevel="0" collapsed="false">
      <c r="A173" s="9" t="s">
        <v>508</v>
      </c>
      <c r="D173" s="36" t="n">
        <f aca="false">D171+D172</f>
        <v>-695.807</v>
      </c>
      <c r="E173" s="36" t="n">
        <f aca="false">E171+E172</f>
        <v>-511.79345</v>
      </c>
      <c r="F173" s="36" t="n">
        <f aca="false">F171+F172</f>
        <v>-491.36876</v>
      </c>
      <c r="G173" s="36" t="n">
        <f aca="false">G171+G172</f>
        <v>-459.9228455</v>
      </c>
      <c r="H173" s="36" t="n">
        <f aca="false">H171+H172</f>
        <v>-412.6811939</v>
      </c>
      <c r="I173" s="36" t="n">
        <f aca="false">I171+I172</f>
        <v>-378.83555207</v>
      </c>
      <c r="J173" s="36" t="n">
        <f aca="false">J171+J172</f>
        <v>-334.836217691</v>
      </c>
      <c r="K173" s="36" t="n">
        <f aca="false">K171+K172</f>
        <v>-277.6370829983</v>
      </c>
      <c r="L173" s="36" t="n">
        <f aca="false">L171+L172</f>
        <v>-203.27820789779</v>
      </c>
      <c r="M173" s="36" t="n">
        <f aca="false">M171+M172</f>
        <v>-106.611670267127</v>
      </c>
    </row>
    <row r="174" customFormat="false" ht="15" hidden="false" customHeight="false" outlineLevel="0" collapsed="false">
      <c r="A174" s="9" t="s">
        <v>509</v>
      </c>
      <c r="D174" s="36" t="n">
        <f aca="false">IF(Scenarios!$C$15=1,D173,D171)</f>
        <v>-764.807</v>
      </c>
      <c r="E174" s="36" t="n">
        <f aca="false">IF(Scenarios!$C$15=1,E173,E171)</f>
        <v>-580.79345</v>
      </c>
      <c r="F174" s="36" t="n">
        <f aca="false">IF(Scenarios!$C$15=1,F173,F171)</f>
        <v>-560.36876</v>
      </c>
      <c r="G174" s="36" t="n">
        <f aca="false">IF(Scenarios!$C$15=1,G173,G171)</f>
        <v>-528.9228455</v>
      </c>
      <c r="H174" s="36" t="n">
        <f aca="false">IF(Scenarios!$C$15=1,H173,H171)</f>
        <v>-481.6811939</v>
      </c>
      <c r="I174" s="36" t="n">
        <f aca="false">IF(Scenarios!$C$15=1,I173,I171)</f>
        <v>-447.83555207</v>
      </c>
      <c r="J174" s="36" t="n">
        <f aca="false">IF(Scenarios!$C$15=1,J173,J171)</f>
        <v>-403.836217691</v>
      </c>
      <c r="K174" s="36" t="n">
        <f aca="false">IF(Scenarios!$C$15=1,K173,K171)</f>
        <v>-346.6370829983</v>
      </c>
      <c r="L174" s="36" t="n">
        <f aca="false">IF(Scenarios!$C$15=1,L173,L171)</f>
        <v>-272.27820789779</v>
      </c>
      <c r="M174" s="36" t="n">
        <f aca="false">IF(Scenarios!$C$15=1,M173,M171)</f>
        <v>-175.611670267127</v>
      </c>
    </row>
    <row r="175" customFormat="false" ht="15" hidden="false" customHeight="false" outlineLevel="0" collapsed="false">
      <c r="A175" s="9" t="s">
        <v>510</v>
      </c>
      <c r="C175" s="36" t="n">
        <f aca="false">-Scenarios!$C$14</f>
        <v>-4000</v>
      </c>
      <c r="D175" s="36" t="n">
        <f aca="false">C175+D174</f>
        <v>-4764.807</v>
      </c>
      <c r="E175" s="36" t="n">
        <f aca="false">D175+E174</f>
        <v>-5345.60045</v>
      </c>
      <c r="F175" s="36" t="n">
        <f aca="false">E175+F174</f>
        <v>-5905.96921</v>
      </c>
      <c r="G175" s="36" t="n">
        <f aca="false">F175+G174</f>
        <v>-6434.8920555</v>
      </c>
      <c r="H175" s="36" t="n">
        <f aca="false">G175+H174</f>
        <v>-6916.5732494</v>
      </c>
      <c r="I175" s="36" t="n">
        <f aca="false">H175+I174</f>
        <v>-7364.40880147</v>
      </c>
      <c r="J175" s="36" t="n">
        <f aca="false">I175+J174</f>
        <v>-7768.245019161</v>
      </c>
      <c r="K175" s="36" t="n">
        <f aca="false">J175+K174</f>
        <v>-8114.8821021593</v>
      </c>
      <c r="L175" s="36" t="n">
        <f aca="false">K175+L174</f>
        <v>-8387.16031005709</v>
      </c>
      <c r="M175" s="36" t="n">
        <f aca="false">L175+M174</f>
        <v>-8562.77198032422</v>
      </c>
    </row>
    <row r="176" customFormat="false" ht="15" hidden="false" customHeight="false" outlineLevel="0" collapsed="false">
      <c r="A176" s="9" t="s">
        <v>511</v>
      </c>
      <c r="C176" s="43" t="n">
        <f aca="false">1</f>
        <v>1</v>
      </c>
      <c r="D176" s="43" t="n">
        <f aca="false">1/(1+Scenarios!$C$13)^D130</f>
        <v>0.892857142857143</v>
      </c>
      <c r="E176" s="43" t="n">
        <f aca="false">1/(1+Scenarios!$C$13)^E130</f>
        <v>0.79719387755102</v>
      </c>
      <c r="F176" s="43" t="n">
        <f aca="false">1/(1+Scenarios!$C$13)^F130</f>
        <v>0.711780247813411</v>
      </c>
      <c r="G176" s="43" t="n">
        <f aca="false">1/(1+Scenarios!$C$13)^G130</f>
        <v>0.635518078404831</v>
      </c>
      <c r="H176" s="43" t="n">
        <f aca="false">1/(1+Scenarios!$C$13)^H130</f>
        <v>0.567426855718599</v>
      </c>
      <c r="I176" s="43" t="n">
        <f aca="false">1/(1+Scenarios!$C$13)^I130</f>
        <v>0.506631121177321</v>
      </c>
      <c r="J176" s="43" t="n">
        <f aca="false">1/(1+Scenarios!$C$13)^J130</f>
        <v>0.452349215336893</v>
      </c>
      <c r="K176" s="43" t="n">
        <f aca="false">1/(1+Scenarios!$C$13)^K130</f>
        <v>0.403883227979369</v>
      </c>
      <c r="L176" s="43" t="n">
        <f aca="false">1/(1+Scenarios!$C$13)^L130</f>
        <v>0.360610024981579</v>
      </c>
      <c r="M176" s="43" t="n">
        <f aca="false">1/(1+Scenarios!$C$13)^M130</f>
        <v>0.321973236590696</v>
      </c>
    </row>
    <row r="177" customFormat="false" ht="15" hidden="false" customHeight="false" outlineLevel="0" collapsed="false">
      <c r="A177" s="9" t="s">
        <v>512</v>
      </c>
      <c r="C177" s="46" t="n">
        <f aca="false">99</f>
        <v>99</v>
      </c>
      <c r="D177" s="46" t="n">
        <f aca="false">IF(D161&gt;=0,D130,99)</f>
        <v>99</v>
      </c>
      <c r="E177" s="46" t="n">
        <f aca="false">IF(E161&gt;=0,E130,99)</f>
        <v>99</v>
      </c>
      <c r="F177" s="46" t="n">
        <f aca="false">IF(F161&gt;=0,F130,99)</f>
        <v>99</v>
      </c>
      <c r="G177" s="46" t="n">
        <f aca="false">IF(G161&gt;=0,G130,99)</f>
        <v>99</v>
      </c>
      <c r="H177" s="46" t="n">
        <f aca="false">IF(H161&gt;=0,H130,99)</f>
        <v>99</v>
      </c>
      <c r="I177" s="46" t="n">
        <f aca="false">IF(I161&gt;=0,I130,99)</f>
        <v>99</v>
      </c>
      <c r="J177" s="46" t="n">
        <f aca="false">IF(J161&gt;=0,J130,99)</f>
        <v>99</v>
      </c>
      <c r="K177" s="46" t="n">
        <f aca="false">IF(K161&gt;=0,K130,99)</f>
        <v>8</v>
      </c>
      <c r="L177" s="46" t="n">
        <f aca="false">IF(L161&gt;=0,L130,99)</f>
        <v>9</v>
      </c>
      <c r="M177" s="46" t="n">
        <f aca="false">IF(M161&gt;=0,M130,99)</f>
        <v>10</v>
      </c>
    </row>
    <row r="178" customFormat="false" ht="15" hidden="false" customHeight="false" outlineLevel="0" collapsed="false">
      <c r="A178" s="9" t="s">
        <v>513</v>
      </c>
      <c r="C178" s="46" t="n">
        <f aca="false">99</f>
        <v>99</v>
      </c>
      <c r="D178" s="46" t="n">
        <f aca="false">IF(D161+D158&gt;=0,D130,99)</f>
        <v>99</v>
      </c>
      <c r="E178" s="46" t="n">
        <f aca="false">IF(E161+E158&gt;=0,E130,99)</f>
        <v>99</v>
      </c>
      <c r="F178" s="46" t="n">
        <f aca="false">IF(F161+F158&gt;=0,F130,99)</f>
        <v>99</v>
      </c>
      <c r="G178" s="46" t="n">
        <f aca="false">IF(G161+G158&gt;=0,G130,99)</f>
        <v>99</v>
      </c>
      <c r="H178" s="46" t="n">
        <f aca="false">IF(H161+H158&gt;=0,H130,99)</f>
        <v>5</v>
      </c>
      <c r="I178" s="46" t="n">
        <f aca="false">IF(I161+I158&gt;=0,I130,99)</f>
        <v>6</v>
      </c>
      <c r="J178" s="46" t="n">
        <f aca="false">IF(J161+J158&gt;=0,J130,99)</f>
        <v>7</v>
      </c>
      <c r="K178" s="46" t="n">
        <f aca="false">IF(K161+K158&gt;=0,K130,99)</f>
        <v>8</v>
      </c>
      <c r="L178" s="46" t="n">
        <f aca="false">IF(L161+L158&gt;=0,L130,99)</f>
        <v>9</v>
      </c>
      <c r="M178" s="46" t="n">
        <f aca="false">IF(M161+M158&gt;=0,M130,99)</f>
        <v>10</v>
      </c>
    </row>
    <row r="179" customFormat="false" ht="15" hidden="false" customHeight="false" outlineLevel="0" collapsed="false">
      <c r="A179" s="9" t="s">
        <v>514</v>
      </c>
      <c r="C179" s="46" t="n">
        <f aca="false">99</f>
        <v>99</v>
      </c>
      <c r="D179" s="46" t="n">
        <f aca="false">IF(D171&gt;=0,D130,99)</f>
        <v>99</v>
      </c>
      <c r="E179" s="46" t="n">
        <f aca="false">IF(E171&gt;=0,E130,99)</f>
        <v>99</v>
      </c>
      <c r="F179" s="46" t="n">
        <f aca="false">IF(F171&gt;=0,F130,99)</f>
        <v>99</v>
      </c>
      <c r="G179" s="46" t="n">
        <f aca="false">IF(G171&gt;=0,G130,99)</f>
        <v>99</v>
      </c>
      <c r="H179" s="46" t="n">
        <f aca="false">IF(H171&gt;=0,H130,99)</f>
        <v>99</v>
      </c>
      <c r="I179" s="46" t="n">
        <f aca="false">IF(I171&gt;=0,I130,99)</f>
        <v>99</v>
      </c>
      <c r="J179" s="46" t="n">
        <f aca="false">IF(J171&gt;=0,J130,99)</f>
        <v>99</v>
      </c>
      <c r="K179" s="46" t="n">
        <f aca="false">IF(K171&gt;=0,K130,99)</f>
        <v>99</v>
      </c>
      <c r="L179" s="46" t="n">
        <f aca="false">IF(L171&gt;=0,L130,99)</f>
        <v>99</v>
      </c>
      <c r="M179" s="46" t="n">
        <f aca="false">IF(M171&gt;=0,M130,99)</f>
        <v>99</v>
      </c>
    </row>
    <row r="180" customFormat="false" ht="15" hidden="false" customHeight="false" outlineLevel="0" collapsed="false">
      <c r="A180" s="9" t="s">
        <v>515</v>
      </c>
      <c r="C180" s="46" t="n">
        <f aca="false">99</f>
        <v>99</v>
      </c>
      <c r="D180" s="46" t="n">
        <f aca="false">IF(D173&gt;=0,D130,99)</f>
        <v>99</v>
      </c>
      <c r="E180" s="46" t="n">
        <f aca="false">IF(E173&gt;=0,E130,99)</f>
        <v>99</v>
      </c>
      <c r="F180" s="46" t="n">
        <f aca="false">IF(F173&gt;=0,F130,99)</f>
        <v>99</v>
      </c>
      <c r="G180" s="46" t="n">
        <f aca="false">IF(G173&gt;=0,G130,99)</f>
        <v>99</v>
      </c>
      <c r="H180" s="46" t="n">
        <f aca="false">IF(H173&gt;=0,H130,99)</f>
        <v>99</v>
      </c>
      <c r="I180" s="46" t="n">
        <f aca="false">IF(I173&gt;=0,I130,99)</f>
        <v>99</v>
      </c>
      <c r="J180" s="46" t="n">
        <f aca="false">IF(J173&gt;=0,J130,99)</f>
        <v>99</v>
      </c>
      <c r="K180" s="46" t="n">
        <f aca="false">IF(K173&gt;=0,K130,99)</f>
        <v>99</v>
      </c>
      <c r="L180" s="46" t="n">
        <f aca="false">IF(L173&gt;=0,L130,99)</f>
        <v>99</v>
      </c>
      <c r="M180" s="46" t="n">
        <f aca="false">IF(M173&gt;=0,M130,99)</f>
        <v>99</v>
      </c>
    </row>
    <row r="181" customFormat="false" ht="15" hidden="false" customHeight="false" outlineLevel="0" collapsed="false">
      <c r="A181" s="9" t="s">
        <v>516</v>
      </c>
      <c r="C181" s="46" t="n">
        <f aca="false">99</f>
        <v>99</v>
      </c>
      <c r="D181" s="46" t="n">
        <f aca="false">IF(D175&gt;=0,D130,99)</f>
        <v>99</v>
      </c>
      <c r="E181" s="46" t="n">
        <f aca="false">IF(E175&gt;=0,E130,99)</f>
        <v>99</v>
      </c>
      <c r="F181" s="46" t="n">
        <f aca="false">IF(F175&gt;=0,F130,99)</f>
        <v>99</v>
      </c>
      <c r="G181" s="46" t="n">
        <f aca="false">IF(G175&gt;=0,G130,99)</f>
        <v>99</v>
      </c>
      <c r="H181" s="46" t="n">
        <f aca="false">IF(H175&gt;=0,H130,99)</f>
        <v>99</v>
      </c>
      <c r="I181" s="46" t="n">
        <f aca="false">IF(I175&gt;=0,I130,99)</f>
        <v>99</v>
      </c>
      <c r="J181" s="46" t="n">
        <f aca="false">IF(J175&gt;=0,J130,99)</f>
        <v>99</v>
      </c>
      <c r="K181" s="46" t="n">
        <f aca="false">IF(K175&gt;=0,K130,99)</f>
        <v>99</v>
      </c>
      <c r="L181" s="46" t="n">
        <f aca="false">IF(L175&gt;=0,L130,99)</f>
        <v>99</v>
      </c>
      <c r="M181" s="46" t="n">
        <f aca="false">IF(M175&gt;=0,M130,99)</f>
        <v>99</v>
      </c>
    </row>
    <row r="182" customFormat="false" ht="15" hidden="false" customHeight="false" outlineLevel="0" collapsed="false">
      <c r="A182" s="4" t="s">
        <v>517</v>
      </c>
      <c r="C182" s="23" t="n">
        <f aca="false">MIN(D177:M177)</f>
        <v>8</v>
      </c>
    </row>
    <row r="183" customFormat="false" ht="15" hidden="false" customHeight="false" outlineLevel="0" collapsed="false">
      <c r="A183" s="9" t="s">
        <v>518</v>
      </c>
      <c r="C183" s="46" t="n">
        <f aca="false">MIN(D178:M178)</f>
        <v>5</v>
      </c>
    </row>
    <row r="184" customFormat="false" ht="15" hidden="false" customHeight="false" outlineLevel="0" collapsed="false">
      <c r="A184" s="4" t="s">
        <v>519</v>
      </c>
      <c r="C184" s="23" t="n">
        <f aca="false">MIN(D179:M179)</f>
        <v>99</v>
      </c>
    </row>
    <row r="185" customFormat="false" ht="15" hidden="false" customHeight="false" outlineLevel="0" collapsed="false">
      <c r="A185" s="9" t="s">
        <v>520</v>
      </c>
      <c r="C185" s="46" t="n">
        <f aca="false">MIN(D180:M180)</f>
        <v>99</v>
      </c>
    </row>
    <row r="186" customFormat="false" ht="15" hidden="false" customHeight="false" outlineLevel="0" collapsed="false">
      <c r="A186" s="9" t="s">
        <v>521</v>
      </c>
      <c r="C186" s="46" t="n">
        <f aca="false">MIN(D181:M181)</f>
        <v>99</v>
      </c>
    </row>
    <row r="187" customFormat="false" ht="15" hidden="false" customHeight="false" outlineLevel="0" collapsed="false">
      <c r="A187" s="4" t="s">
        <v>522</v>
      </c>
      <c r="C187" s="15" t="n">
        <f aca="false">M175</f>
        <v>-8562.77198032422</v>
      </c>
    </row>
    <row r="188" customFormat="false" ht="15" hidden="false" customHeight="false" outlineLevel="0" collapsed="false">
      <c r="A188" s="9" t="s">
        <v>523</v>
      </c>
      <c r="C188" s="36" t="n">
        <f aca="false">SUMPRODUCT(D143:M143,D176:M176)</f>
        <v>643.436230083693</v>
      </c>
    </row>
    <row r="189" customFormat="false" ht="15" hidden="false" customHeight="false" outlineLevel="0" collapsed="false">
      <c r="A189" s="9" t="s">
        <v>524</v>
      </c>
      <c r="C189" s="36" t="n">
        <f aca="false">M143*(1+a_tg)/(Scenarios!$C$13-a_tg)</f>
        <v>6283.3249459931</v>
      </c>
    </row>
    <row r="190" customFormat="false" ht="15" hidden="false" customHeight="false" outlineLevel="0" collapsed="false">
      <c r="A190" s="9" t="s">
        <v>314</v>
      </c>
      <c r="C190" s="36" t="n">
        <f aca="false">C189*M176</f>
        <v>2023.06246941246</v>
      </c>
    </row>
    <row r="191" customFormat="false" ht="15" hidden="false" customHeight="false" outlineLevel="0" collapsed="false">
      <c r="A191" s="4" t="s">
        <v>525</v>
      </c>
      <c r="C191" s="15" t="n">
        <f aca="false">C188+C190</f>
        <v>2666.49869949615</v>
      </c>
    </row>
    <row r="192" customFormat="false" ht="15" hidden="false" customHeight="false" outlineLevel="0" collapsed="false">
      <c r="A192" s="9" t="s">
        <v>526</v>
      </c>
      <c r="C192" s="32" t="n">
        <f aca="false">SUMPRODUCT(D153:M153,D176:M176)-a_recovery*M155*M176</f>
        <v>2825.11151420543</v>
      </c>
    </row>
    <row r="193" customFormat="false" ht="15" hidden="false" customHeight="false" outlineLevel="0" collapsed="false">
      <c r="A193" s="9" t="s">
        <v>527</v>
      </c>
      <c r="C193" s="36" t="n">
        <f aca="false">SUMPRODUCT(D152:M152,D176:M176)*(1-a_tax)</f>
        <v>0</v>
      </c>
    </row>
    <row r="194" customFormat="false" ht="15" hidden="false" customHeight="false" outlineLevel="0" collapsed="false">
      <c r="A194" s="9" t="s">
        <v>528</v>
      </c>
      <c r="C194" s="36" t="n">
        <f aca="false">C151*D176</f>
        <v>142.857142857143</v>
      </c>
    </row>
    <row r="195" customFormat="false" ht="15" hidden="false" customHeight="false" outlineLevel="0" collapsed="false">
      <c r="A195" s="4" t="s">
        <v>529</v>
      </c>
      <c r="C195" s="20" t="n">
        <f aca="false">C191+C193-C192-C194-Scenarios!$C$14</f>
        <v>-4301.46995756642</v>
      </c>
    </row>
    <row r="196" customFormat="false" ht="15" hidden="false" customHeight="false" outlineLevel="0" collapsed="false">
      <c r="A196" s="9" t="s">
        <v>530</v>
      </c>
      <c r="C196" s="32" t="n">
        <f aca="false">C195+SUMPRODUCT(D172:M172,D176:M176)</f>
        <v>-3911.60456860607</v>
      </c>
    </row>
    <row r="197" customFormat="false" ht="15" hidden="false" customHeight="false" outlineLevel="0" collapsed="false">
      <c r="A197" s="4" t="s">
        <v>531</v>
      </c>
      <c r="C197" s="59" t="n">
        <f aca="false">Scenarios!$C$14/D133</f>
        <v>15.5400155400155</v>
      </c>
    </row>
    <row r="198" customFormat="false" ht="15" hidden="false" customHeight="false" outlineLevel="0" collapsed="false">
      <c r="A198" s="9" t="s">
        <v>532</v>
      </c>
      <c r="C198" s="17" t="n">
        <f aca="false">(Scenarios!$C$14+C192)/D133</f>
        <v>26.5155847482728</v>
      </c>
    </row>
    <row r="199" customFormat="false" ht="15" hidden="false" customHeight="false" outlineLevel="0" collapsed="false">
      <c r="A199" s="4" t="s">
        <v>533</v>
      </c>
      <c r="C199" s="15" t="n">
        <f aca="false">(C195+C192)/SUMPRODUCT(D176:M176)</f>
        <v>-261.292065098574</v>
      </c>
    </row>
    <row r="200" customFormat="false" ht="15" hidden="false" customHeight="false" outlineLevel="0" collapsed="false">
      <c r="A200" s="4" t="s">
        <v>534</v>
      </c>
      <c r="C200" s="25" t="n">
        <f aca="false">D163</f>
        <v>5.798828125</v>
      </c>
    </row>
    <row r="201" customFormat="false" ht="15" hidden="false" customHeight="false" outlineLevel="0" collapsed="false">
      <c r="A201" s="9" t="s">
        <v>535</v>
      </c>
      <c r="C201" s="50" t="n">
        <f aca="false">F163</f>
        <v>5.83862173966535</v>
      </c>
    </row>
    <row r="202" customFormat="false" ht="15" hidden="false" customHeight="false" outlineLevel="0" collapsed="false">
      <c r="A202" s="4" t="s">
        <v>536</v>
      </c>
      <c r="C202" s="20" t="n">
        <f aca="false">D171</f>
        <v>-764.807</v>
      </c>
    </row>
    <row r="203" customFormat="false" ht="15" hidden="false" customHeight="false" outlineLevel="0" collapsed="false">
      <c r="A203" s="9" t="s">
        <v>537</v>
      </c>
      <c r="C203" s="32" t="n">
        <f aca="false">cf_cash-Scenarios!$C$10-C151</f>
        <v>6640</v>
      </c>
    </row>
    <row r="204" customFormat="false" ht="15" hidden="false" customHeight="false" outlineLevel="0" collapsed="false">
      <c r="A204" s="9" t="s">
        <v>538</v>
      </c>
      <c r="C204" s="32" t="n">
        <f aca="false">cf_debt+Scenarios!$C$11</f>
        <v>350</v>
      </c>
    </row>
    <row r="205" customFormat="false" ht="15" hidden="false" customHeight="false" outlineLevel="0" collapsed="false">
      <c r="A205" s="9" t="s">
        <v>539</v>
      </c>
      <c r="C205" s="34" t="n">
        <f aca="false">C204/cf_ebitda</f>
        <v>0.546875</v>
      </c>
    </row>
    <row r="206" customFormat="false" ht="15" hidden="false" customHeight="false" outlineLevel="0" collapsed="false">
      <c r="A206" s="9" t="s">
        <v>540</v>
      </c>
      <c r="C206" s="32" t="n">
        <f aca="false">C203+SUM(D174:F174)+3*cf_pat</f>
        <v>6174.03079</v>
      </c>
    </row>
    <row r="208" customFormat="false" ht="15" hidden="false" customHeight="false" outlineLevel="0" collapsed="false">
      <c r="A208" s="7" t="s">
        <v>868</v>
      </c>
      <c r="B208" s="8"/>
      <c r="C208" s="8"/>
      <c r="D208" s="8"/>
      <c r="E208" s="8"/>
      <c r="F208" s="8"/>
      <c r="G208" s="8"/>
      <c r="H208" s="8"/>
      <c r="I208" s="8"/>
      <c r="J208" s="8"/>
      <c r="K208" s="8"/>
      <c r="L208" s="8"/>
      <c r="M208" s="8"/>
      <c r="N208" s="8"/>
    </row>
    <row r="209" customFormat="false" ht="15" hidden="false" customHeight="false" outlineLevel="0" collapsed="false">
      <c r="A209" s="4" t="s">
        <v>284</v>
      </c>
      <c r="C209" s="39" t="n">
        <v>0</v>
      </c>
      <c r="D209" s="39" t="n">
        <v>1</v>
      </c>
      <c r="E209" s="39" t="n">
        <v>2</v>
      </c>
      <c r="F209" s="39" t="n">
        <v>3</v>
      </c>
      <c r="G209" s="39" t="n">
        <v>4</v>
      </c>
      <c r="H209" s="39" t="n">
        <v>5</v>
      </c>
      <c r="I209" s="39" t="n">
        <v>6</v>
      </c>
      <c r="J209" s="39" t="n">
        <v>7</v>
      </c>
      <c r="K209" s="39" t="n">
        <v>8</v>
      </c>
      <c r="L209" s="39" t="n">
        <v>9</v>
      </c>
      <c r="M209" s="39" t="n">
        <v>10</v>
      </c>
    </row>
    <row r="210" customFormat="false" ht="15" hidden="false" customHeight="false" outlineLevel="0" collapsed="false">
      <c r="A210" s="9" t="s">
        <v>285</v>
      </c>
      <c r="C210" s="40" t="n">
        <f aca="false">cf_arr</f>
        <v>220</v>
      </c>
      <c r="D210" s="36" t="n">
        <f aca="false">C210*(1+Scenarios!$D$6)</f>
        <v>264</v>
      </c>
      <c r="E210" s="36" t="n">
        <f aca="false">D210*(1+Scenarios!$D$6)</f>
        <v>316.8</v>
      </c>
      <c r="F210" s="36" t="n">
        <f aca="false">E210*(1+Scenarios!$D$6)</f>
        <v>380.16</v>
      </c>
      <c r="G210" s="36" t="n">
        <f aca="false">F210*(1+Scenarios!$D$6)</f>
        <v>456.192</v>
      </c>
      <c r="H210" s="36" t="n">
        <f aca="false">G210*(1+Scenarios!$D$6)</f>
        <v>547.4304</v>
      </c>
      <c r="I210" s="36" t="n">
        <f aca="false">H210*(1+Scenarios!$D$6)</f>
        <v>656.91648</v>
      </c>
      <c r="J210" s="36" t="n">
        <f aca="false">I210*(1+Scenarios!$D$6)</f>
        <v>788.299776</v>
      </c>
      <c r="K210" s="36" t="n">
        <f aca="false">J210*(1+Scenarios!$D$6)</f>
        <v>945.9597312</v>
      </c>
      <c r="L210" s="36" t="n">
        <f aca="false">K210*(1+Scenarios!$D$6)</f>
        <v>1135.15167744</v>
      </c>
      <c r="M210" s="36" t="n">
        <f aca="false">L210*(1+Scenarios!$D$6)</f>
        <v>1362.182012928</v>
      </c>
    </row>
    <row r="211" customFormat="false" ht="15" hidden="false" customHeight="false" outlineLevel="0" collapsed="false">
      <c r="A211" s="9" t="s">
        <v>286</v>
      </c>
      <c r="C211" s="18" t="n">
        <f aca="false">1</f>
        <v>1</v>
      </c>
      <c r="D211" s="18" t="n">
        <f aca="false">IF(D209&gt;=a_churn_year,1-Scenarios!$D$7,1)</f>
        <v>0.7</v>
      </c>
      <c r="E211" s="18" t="n">
        <f aca="false">IF(E209&gt;=a_churn_year,1-Scenarios!$D$7,1)</f>
        <v>0.7</v>
      </c>
      <c r="F211" s="18" t="n">
        <f aca="false">IF(F209&gt;=a_churn_year,1-Scenarios!$D$7,1)</f>
        <v>0.7</v>
      </c>
      <c r="G211" s="18" t="n">
        <f aca="false">IF(G209&gt;=a_churn_year,1-Scenarios!$D$7,1)</f>
        <v>0.7</v>
      </c>
      <c r="H211" s="18" t="n">
        <f aca="false">IF(H209&gt;=a_churn_year,1-Scenarios!$D$7,1)</f>
        <v>0.7</v>
      </c>
      <c r="I211" s="18" t="n">
        <f aca="false">IF(I209&gt;=a_churn_year,1-Scenarios!$D$7,1)</f>
        <v>0.7</v>
      </c>
      <c r="J211" s="18" t="n">
        <f aca="false">IF(J209&gt;=a_churn_year,1-Scenarios!$D$7,1)</f>
        <v>0.7</v>
      </c>
      <c r="K211" s="18" t="n">
        <f aca="false">IF(K209&gt;=a_churn_year,1-Scenarios!$D$7,1)</f>
        <v>0.7</v>
      </c>
      <c r="L211" s="18" t="n">
        <f aca="false">IF(L209&gt;=a_churn_year,1-Scenarios!$D$7,1)</f>
        <v>0.7</v>
      </c>
      <c r="M211" s="18" t="n">
        <f aca="false">IF(M209&gt;=a_churn_year,1-Scenarios!$D$7,1)</f>
        <v>0.7</v>
      </c>
    </row>
    <row r="212" customFormat="false" ht="15" hidden="false" customHeight="false" outlineLevel="0" collapsed="false">
      <c r="A212" s="4" t="s">
        <v>287</v>
      </c>
      <c r="C212" s="41" t="n">
        <f aca="false">C210*C211</f>
        <v>220</v>
      </c>
      <c r="D212" s="41" t="n">
        <f aca="false">D210*D211</f>
        <v>184.8</v>
      </c>
      <c r="E212" s="41" t="n">
        <f aca="false">E210*E211</f>
        <v>221.76</v>
      </c>
      <c r="F212" s="41" t="n">
        <f aca="false">F210*F211</f>
        <v>266.112</v>
      </c>
      <c r="G212" s="41" t="n">
        <f aca="false">G210*G211</f>
        <v>319.3344</v>
      </c>
      <c r="H212" s="41" t="n">
        <f aca="false">H210*H211</f>
        <v>383.20128</v>
      </c>
      <c r="I212" s="41" t="n">
        <f aca="false">I210*I211</f>
        <v>459.841536</v>
      </c>
      <c r="J212" s="41" t="n">
        <f aca="false">J210*J211</f>
        <v>551.8098432</v>
      </c>
      <c r="K212" s="41" t="n">
        <f aca="false">K210*K211</f>
        <v>662.17181184</v>
      </c>
      <c r="L212" s="41" t="n">
        <f aca="false">L210*L211</f>
        <v>794.606174208</v>
      </c>
      <c r="M212" s="41" t="n">
        <f aca="false">M210*M211</f>
        <v>953.5274090496</v>
      </c>
    </row>
    <row r="213" customFormat="false" ht="15" hidden="false" customHeight="false" outlineLevel="0" collapsed="false">
      <c r="A213" s="9" t="s">
        <v>288</v>
      </c>
      <c r="C213" s="18" t="n">
        <f aca="false">MIN(a_m0+a_mstep*C209,a_mcap)</f>
        <v>0</v>
      </c>
      <c r="D213" s="18" t="n">
        <f aca="false">MIN(a_m0+a_mstep*D209,a_mcap)</f>
        <v>0.05</v>
      </c>
      <c r="E213" s="18" t="n">
        <f aca="false">MIN(a_m0+a_mstep*E209,a_mcap)</f>
        <v>0.1</v>
      </c>
      <c r="F213" s="18" t="n">
        <f aca="false">MIN(a_m0+a_mstep*F209,a_mcap)</f>
        <v>0.15</v>
      </c>
      <c r="G213" s="18" t="n">
        <f aca="false">MIN(a_m0+a_mstep*G209,a_mcap)</f>
        <v>0.2</v>
      </c>
      <c r="H213" s="18" t="n">
        <f aca="false">MIN(a_m0+a_mstep*H209,a_mcap)</f>
        <v>0.25</v>
      </c>
      <c r="I213" s="18" t="n">
        <f aca="false">MIN(a_m0+a_mstep*I209,a_mcap)</f>
        <v>0.25</v>
      </c>
      <c r="J213" s="18" t="n">
        <f aca="false">MIN(a_m0+a_mstep*J209,a_mcap)</f>
        <v>0.25</v>
      </c>
      <c r="K213" s="18" t="n">
        <f aca="false">MIN(a_m0+a_mstep*K209,a_mcap)</f>
        <v>0.25</v>
      </c>
      <c r="L213" s="18" t="n">
        <f aca="false">MIN(a_m0+a_mstep*L209,a_mcap)</f>
        <v>0.25</v>
      </c>
      <c r="M213" s="18" t="n">
        <f aca="false">MIN(a_m0+a_mstep*M209,a_mcap)</f>
        <v>0.25</v>
      </c>
    </row>
    <row r="214" customFormat="false" ht="15" hidden="false" customHeight="false" outlineLevel="0" collapsed="false">
      <c r="A214" s="9" t="s">
        <v>289</v>
      </c>
      <c r="C214" s="36" t="n">
        <f aca="false">IF(C209=a_churn_year,a_sticky*(C210-C212)*(1-C213),0)</f>
        <v>0</v>
      </c>
      <c r="D214" s="36" t="n">
        <f aca="false">IF(D209=a_churn_year,a_sticky*(D210-D212)*(1-D213),0)</f>
        <v>37.62</v>
      </c>
      <c r="E214" s="36" t="n">
        <f aca="false">IF(E209=a_churn_year,a_sticky*(E210-E212)*(1-E213),0)</f>
        <v>0</v>
      </c>
      <c r="F214" s="36" t="n">
        <f aca="false">IF(F209=a_churn_year,a_sticky*(F210-F212)*(1-F213),0)</f>
        <v>0</v>
      </c>
      <c r="G214" s="36" t="n">
        <f aca="false">IF(G209=a_churn_year,a_sticky*(G210-G212)*(1-G213),0)</f>
        <v>0</v>
      </c>
      <c r="H214" s="36" t="n">
        <f aca="false">IF(H209=a_churn_year,a_sticky*(H210-H212)*(1-H213),0)</f>
        <v>0</v>
      </c>
      <c r="I214" s="36" t="n">
        <f aca="false">IF(I209=a_churn_year,a_sticky*(I210-I212)*(1-I213),0)</f>
        <v>0</v>
      </c>
      <c r="J214" s="36" t="n">
        <f aca="false">IF(J209=a_churn_year,a_sticky*(J210-J212)*(1-J213),0)</f>
        <v>0</v>
      </c>
      <c r="K214" s="36" t="n">
        <f aca="false">IF(K209=a_churn_year,a_sticky*(K210-K212)*(1-K213),0)</f>
        <v>0</v>
      </c>
      <c r="L214" s="36" t="n">
        <f aca="false">IF(L209=a_churn_year,a_sticky*(L210-L212)*(1-L213),0)</f>
        <v>0</v>
      </c>
      <c r="M214" s="36" t="n">
        <f aca="false">IF(M209=a_churn_year,a_sticky*(M210-M212)*(1-M213),0)</f>
        <v>0</v>
      </c>
    </row>
    <row r="215" customFormat="false" ht="15" hidden="false" customHeight="false" outlineLevel="0" collapsed="false">
      <c r="A215" s="4" t="s">
        <v>290</v>
      </c>
      <c r="C215" s="41" t="n">
        <f aca="false">C212*C213-C214</f>
        <v>0</v>
      </c>
      <c r="D215" s="41" t="n">
        <f aca="false">D212*D213-D214</f>
        <v>-28.38</v>
      </c>
      <c r="E215" s="41" t="n">
        <f aca="false">E212*E213-E214</f>
        <v>22.176</v>
      </c>
      <c r="F215" s="41" t="n">
        <f aca="false">F212*F213-F214</f>
        <v>39.9168</v>
      </c>
      <c r="G215" s="41" t="n">
        <f aca="false">G212*G213-G214</f>
        <v>63.86688</v>
      </c>
      <c r="H215" s="41" t="n">
        <f aca="false">H212*H213-H214</f>
        <v>95.80032</v>
      </c>
      <c r="I215" s="41" t="n">
        <f aca="false">I212*I213-I214</f>
        <v>114.960384</v>
      </c>
      <c r="J215" s="41" t="n">
        <f aca="false">J212*J213-J214</f>
        <v>137.9524608</v>
      </c>
      <c r="K215" s="41" t="n">
        <f aca="false">K212*K213-K214</f>
        <v>165.54295296</v>
      </c>
      <c r="L215" s="41" t="n">
        <f aca="false">L212*L213-L214</f>
        <v>198.651543552</v>
      </c>
      <c r="M215" s="41" t="n">
        <f aca="false">M212*M213-M214</f>
        <v>238.3818522624</v>
      </c>
    </row>
    <row r="216" customFormat="false" ht="15" hidden="false" customHeight="false" outlineLevel="0" collapsed="false">
      <c r="A216" s="9" t="s">
        <v>291</v>
      </c>
      <c r="C216" s="36" t="n">
        <f aca="false">C212*a_da</f>
        <v>6.6</v>
      </c>
      <c r="D216" s="36" t="n">
        <f aca="false">D212*a_da</f>
        <v>5.544</v>
      </c>
      <c r="E216" s="36" t="n">
        <f aca="false">E212*a_da</f>
        <v>6.6528</v>
      </c>
      <c r="F216" s="36" t="n">
        <f aca="false">F212*a_da</f>
        <v>7.98336</v>
      </c>
      <c r="G216" s="36" t="n">
        <f aca="false">G212*a_da</f>
        <v>9.580032</v>
      </c>
      <c r="H216" s="36" t="n">
        <f aca="false">H212*a_da</f>
        <v>11.4960384</v>
      </c>
      <c r="I216" s="36" t="n">
        <f aca="false">I212*a_da</f>
        <v>13.79524608</v>
      </c>
      <c r="J216" s="36" t="n">
        <f aca="false">J212*a_da</f>
        <v>16.554295296</v>
      </c>
      <c r="K216" s="36" t="n">
        <f aca="false">K212*a_da</f>
        <v>19.8651543552</v>
      </c>
      <c r="L216" s="36" t="n">
        <f aca="false">L212*a_da</f>
        <v>23.83818522624</v>
      </c>
      <c r="M216" s="36" t="n">
        <f aca="false">M212*a_da</f>
        <v>28.605822271488</v>
      </c>
    </row>
    <row r="217" customFormat="false" ht="15" hidden="false" customHeight="false" outlineLevel="0" collapsed="false">
      <c r="A217" s="9" t="s">
        <v>292</v>
      </c>
      <c r="C217" s="36" t="n">
        <f aca="false">C215-C216</f>
        <v>-6.6</v>
      </c>
      <c r="D217" s="36" t="n">
        <f aca="false">D215-D216</f>
        <v>-33.924</v>
      </c>
      <c r="E217" s="36" t="n">
        <f aca="false">E215-E216</f>
        <v>15.5232</v>
      </c>
      <c r="F217" s="36" t="n">
        <f aca="false">F215-F216</f>
        <v>31.93344</v>
      </c>
      <c r="G217" s="36" t="n">
        <f aca="false">G215-G216</f>
        <v>54.286848</v>
      </c>
      <c r="H217" s="36" t="n">
        <f aca="false">H215-H216</f>
        <v>84.3042816</v>
      </c>
      <c r="I217" s="36" t="n">
        <f aca="false">I215-I216</f>
        <v>101.16513792</v>
      </c>
      <c r="J217" s="36" t="n">
        <f aca="false">J215-J216</f>
        <v>121.398165504</v>
      </c>
      <c r="K217" s="36" t="n">
        <f aca="false">K215-K216</f>
        <v>145.6777986048</v>
      </c>
      <c r="L217" s="36" t="n">
        <f aca="false">L215-L216</f>
        <v>174.81335832576</v>
      </c>
      <c r="M217" s="36" t="n">
        <f aca="false">M215-M216</f>
        <v>209.776029990912</v>
      </c>
    </row>
    <row r="218" customFormat="false" ht="15" hidden="false" customHeight="false" outlineLevel="0" collapsed="false">
      <c r="A218" s="9" t="s">
        <v>293</v>
      </c>
      <c r="C218" s="36" t="n">
        <f aca="false">MAX(0,C217)*a_tax</f>
        <v>0</v>
      </c>
      <c r="D218" s="36" t="n">
        <f aca="false">MAX(0,D217)*a_tax</f>
        <v>0</v>
      </c>
      <c r="E218" s="36" t="n">
        <f aca="false">MAX(0,E217)*a_tax</f>
        <v>3.8808</v>
      </c>
      <c r="F218" s="36" t="n">
        <f aca="false">MAX(0,F217)*a_tax</f>
        <v>7.98336</v>
      </c>
      <c r="G218" s="36" t="n">
        <f aca="false">MAX(0,G217)*a_tax</f>
        <v>13.571712</v>
      </c>
      <c r="H218" s="36" t="n">
        <f aca="false">MAX(0,H217)*a_tax</f>
        <v>21.0760704</v>
      </c>
      <c r="I218" s="36" t="n">
        <f aca="false">MAX(0,I217)*a_tax</f>
        <v>25.29128448</v>
      </c>
      <c r="J218" s="36" t="n">
        <f aca="false">MAX(0,J217)*a_tax</f>
        <v>30.349541376</v>
      </c>
      <c r="K218" s="36" t="n">
        <f aca="false">MAX(0,K217)*a_tax</f>
        <v>36.4194496512</v>
      </c>
      <c r="L218" s="36" t="n">
        <f aca="false">MAX(0,L217)*a_tax</f>
        <v>43.70333958144</v>
      </c>
      <c r="M218" s="36" t="n">
        <f aca="false">MAX(0,M217)*a_tax</f>
        <v>52.444007497728</v>
      </c>
    </row>
    <row r="219" customFormat="false" ht="15" hidden="false" customHeight="false" outlineLevel="0" collapsed="false">
      <c r="A219" s="4" t="s">
        <v>294</v>
      </c>
      <c r="C219" s="42" t="n">
        <f aca="false">cf_lim_pat</f>
        <v>0</v>
      </c>
      <c r="D219" s="41" t="n">
        <f aca="false">D217-D218</f>
        <v>-33.924</v>
      </c>
      <c r="E219" s="41" t="n">
        <f aca="false">E217-E218</f>
        <v>11.6424</v>
      </c>
      <c r="F219" s="41" t="n">
        <f aca="false">F217-F218</f>
        <v>23.95008</v>
      </c>
      <c r="G219" s="41" t="n">
        <f aca="false">G217-G218</f>
        <v>40.715136</v>
      </c>
      <c r="H219" s="41" t="n">
        <f aca="false">H217-H218</f>
        <v>63.2282112</v>
      </c>
      <c r="I219" s="41" t="n">
        <f aca="false">I217-I218</f>
        <v>75.87385344</v>
      </c>
      <c r="J219" s="41" t="n">
        <f aca="false">J217-J218</f>
        <v>91.048624128</v>
      </c>
      <c r="K219" s="41" t="n">
        <f aca="false">K217-K218</f>
        <v>109.2583489536</v>
      </c>
      <c r="L219" s="41" t="n">
        <f aca="false">L217-L218</f>
        <v>131.11001874432</v>
      </c>
      <c r="M219" s="41" t="n">
        <f aca="false">M217-M218</f>
        <v>157.332022493184</v>
      </c>
    </row>
    <row r="220" customFormat="false" ht="15" hidden="false" customHeight="false" outlineLevel="0" collapsed="false">
      <c r="A220" s="9" t="s">
        <v>295</v>
      </c>
      <c r="C220" s="36" t="n">
        <f aca="false">C212*a_capex</f>
        <v>6.6</v>
      </c>
      <c r="D220" s="36" t="n">
        <f aca="false">D212*a_capex</f>
        <v>5.544</v>
      </c>
      <c r="E220" s="36" t="n">
        <f aca="false">E212*a_capex</f>
        <v>6.6528</v>
      </c>
      <c r="F220" s="36" t="n">
        <f aca="false">F212*a_capex</f>
        <v>7.98336</v>
      </c>
      <c r="G220" s="36" t="n">
        <f aca="false">G212*a_capex</f>
        <v>9.580032</v>
      </c>
      <c r="H220" s="36" t="n">
        <f aca="false">H212*a_capex</f>
        <v>11.4960384</v>
      </c>
      <c r="I220" s="36" t="n">
        <f aca="false">I212*a_capex</f>
        <v>13.79524608</v>
      </c>
      <c r="J220" s="36" t="n">
        <f aca="false">J212*a_capex</f>
        <v>16.554295296</v>
      </c>
      <c r="K220" s="36" t="n">
        <f aca="false">K212*a_capex</f>
        <v>19.8651543552</v>
      </c>
      <c r="L220" s="36" t="n">
        <f aca="false">L212*a_capex</f>
        <v>23.83818522624</v>
      </c>
      <c r="M220" s="36" t="n">
        <f aca="false">M212*a_capex</f>
        <v>28.605822271488</v>
      </c>
    </row>
    <row r="221" customFormat="false" ht="15" hidden="false" customHeight="false" outlineLevel="0" collapsed="false">
      <c r="A221" s="9" t="s">
        <v>296</v>
      </c>
      <c r="C221" s="36" t="n">
        <f aca="false">0</f>
        <v>0</v>
      </c>
      <c r="D221" s="36" t="n">
        <f aca="false">a_wc*(D212-C212)</f>
        <v>-1.76</v>
      </c>
      <c r="E221" s="36" t="n">
        <f aca="false">a_wc*(E212-D212)</f>
        <v>1.848</v>
      </c>
      <c r="F221" s="36" t="n">
        <f aca="false">a_wc*(F212-E212)</f>
        <v>2.2176</v>
      </c>
      <c r="G221" s="36" t="n">
        <f aca="false">a_wc*(G212-F212)</f>
        <v>2.66112</v>
      </c>
      <c r="H221" s="36" t="n">
        <f aca="false">a_wc*(H212-G212)</f>
        <v>3.193344</v>
      </c>
      <c r="I221" s="36" t="n">
        <f aca="false">a_wc*(I212-H212)</f>
        <v>3.8320128</v>
      </c>
      <c r="J221" s="36" t="n">
        <f aca="false">a_wc*(J212-I212)</f>
        <v>4.59841536</v>
      </c>
      <c r="K221" s="36" t="n">
        <f aca="false">a_wc*(K212-J212)</f>
        <v>5.51809843199999</v>
      </c>
      <c r="L221" s="36" t="n">
        <f aca="false">a_wc*(L212-K212)</f>
        <v>6.6217181184</v>
      </c>
      <c r="M221" s="36" t="n">
        <f aca="false">a_wc*(M212-L212)</f>
        <v>7.94606174208</v>
      </c>
    </row>
    <row r="222" customFormat="false" ht="15" hidden="false" customHeight="false" outlineLevel="0" collapsed="false">
      <c r="A222" s="4" t="s">
        <v>297</v>
      </c>
      <c r="C222" s="36" t="n">
        <f aca="false">0</f>
        <v>0</v>
      </c>
      <c r="D222" s="41" t="n">
        <f aca="false">D219+D216-D220-D221</f>
        <v>-32.164</v>
      </c>
      <c r="E222" s="41" t="n">
        <f aca="false">E219+E216-E220-E221</f>
        <v>9.7944</v>
      </c>
      <c r="F222" s="41" t="n">
        <f aca="false">F219+F216-F220-F221</f>
        <v>21.73248</v>
      </c>
      <c r="G222" s="41" t="n">
        <f aca="false">G219+G216-G220-G221</f>
        <v>38.054016</v>
      </c>
      <c r="H222" s="41" t="n">
        <f aca="false">H219+H216-H220-H221</f>
        <v>60.0348672</v>
      </c>
      <c r="I222" s="41" t="n">
        <f aca="false">I219+I216-I220-I221</f>
        <v>72.04184064</v>
      </c>
      <c r="J222" s="41" t="n">
        <f aca="false">J219+J216-J220-J221</f>
        <v>86.450208768</v>
      </c>
      <c r="K222" s="41" t="n">
        <f aca="false">K219+K216-K220-K221</f>
        <v>103.7402505216</v>
      </c>
      <c r="L222" s="41" t="n">
        <f aca="false">L219+L216-L220-L221</f>
        <v>124.48830062592</v>
      </c>
      <c r="M222" s="41" t="n">
        <f aca="false">M219+M216-M220-M221</f>
        <v>149.385960751104</v>
      </c>
    </row>
    <row r="224" customFormat="false" ht="15" hidden="false" customHeight="false" outlineLevel="0" collapsed="false">
      <c r="A224" s="7" t="s">
        <v>869</v>
      </c>
      <c r="B224" s="8"/>
      <c r="C224" s="8"/>
      <c r="D224" s="8"/>
      <c r="E224" s="8"/>
      <c r="F224" s="8"/>
      <c r="G224" s="8"/>
      <c r="H224" s="8"/>
      <c r="I224" s="8"/>
      <c r="J224" s="8"/>
      <c r="K224" s="8"/>
      <c r="L224" s="8"/>
      <c r="M224" s="8"/>
      <c r="N224" s="8"/>
    </row>
    <row r="225" customFormat="false" ht="15" hidden="false" customHeight="false" outlineLevel="0" collapsed="false">
      <c r="A225" s="9" t="s">
        <v>482</v>
      </c>
      <c r="C225" s="35" t="n">
        <f aca="false">Scenarios!$D$12/(c_price*(1-a_issue_disc))</f>
        <v>1.024</v>
      </c>
    </row>
    <row r="226" customFormat="false" ht="15" hidden="false" customHeight="false" outlineLevel="0" collapsed="false">
      <c r="A226" s="9" t="s">
        <v>449</v>
      </c>
      <c r="C226" s="35" t="n">
        <f aca="false">cf_shares+C225</f>
        <v>65.024</v>
      </c>
    </row>
    <row r="227" customFormat="false" ht="15" hidden="false" customHeight="false" outlineLevel="0" collapsed="false">
      <c r="A227" s="9" t="s">
        <v>483</v>
      </c>
      <c r="C227" s="36" t="n">
        <f aca="false">Scenarios!$D$10*a_yield*(1-a_tax)+Scenarios!$D$11*a_kd*(1-a_tax)</f>
        <v>94.5</v>
      </c>
    </row>
    <row r="228" customFormat="false" ht="15" hidden="false" customHeight="false" outlineLevel="0" collapsed="false">
      <c r="A228" s="9" t="s">
        <v>484</v>
      </c>
      <c r="C228" s="36" t="n">
        <f aca="false">Scenarios!$D$14*a_ppa_share/a_ppa_life*(1-a_tax)</f>
        <v>93.75</v>
      </c>
    </row>
    <row r="229" customFormat="false" ht="15" hidden="false" customHeight="false" outlineLevel="0" collapsed="false">
      <c r="A229" s="9" t="s">
        <v>485</v>
      </c>
      <c r="C229" s="36" t="n">
        <f aca="false">a_ppa_on*C228</f>
        <v>0</v>
      </c>
    </row>
    <row r="230" customFormat="false" ht="15" hidden="false" customHeight="false" outlineLevel="0" collapsed="false">
      <c r="A230" s="9" t="s">
        <v>486</v>
      </c>
      <c r="C230" s="36" t="n">
        <f aca="false">Scenarios!$D$14*a_fees_pct+a_integ_full</f>
        <v>160</v>
      </c>
    </row>
    <row r="231" customFormat="false" ht="15" hidden="false" customHeight="false" outlineLevel="0" collapsed="false">
      <c r="A231" s="9" t="s">
        <v>487</v>
      </c>
      <c r="C231" s="36" t="n">
        <f aca="false">0</f>
        <v>0</v>
      </c>
      <c r="D231" s="36" t="n">
        <f aca="false">a_syn_on*(a_syn_partner_rev_y3+a_syn_xsell_y3)*a_mcap*IF(D209=1,a_syn_ramp1,IF(D209=2,a_syn_ramp2,1))+a_syn_on*IF(D209&gt;=2,a_syn_cost,0)</f>
        <v>0</v>
      </c>
      <c r="E231" s="36" t="n">
        <f aca="false">a_syn_on*(a_syn_partner_rev_y3+a_syn_xsell_y3)*a_mcap*IF(E209=1,a_syn_ramp1,IF(E209=2,a_syn_ramp2,1))+a_syn_on*IF(E209&gt;=2,a_syn_cost,0)</f>
        <v>0</v>
      </c>
      <c r="F231" s="36" t="n">
        <f aca="false">a_syn_on*(a_syn_partner_rev_y3+a_syn_xsell_y3)*a_mcap*IF(F209=1,a_syn_ramp1,IF(F209=2,a_syn_ramp2,1))+a_syn_on*IF(F209&gt;=2,a_syn_cost,0)</f>
        <v>0</v>
      </c>
      <c r="G231" s="36" t="n">
        <f aca="false">a_syn_on*(a_syn_partner_rev_y3+a_syn_xsell_y3)*a_mcap*IF(G209=1,a_syn_ramp1,IF(G209=2,a_syn_ramp2,1))+a_syn_on*IF(G209&gt;=2,a_syn_cost,0)</f>
        <v>0</v>
      </c>
      <c r="H231" s="36" t="n">
        <f aca="false">a_syn_on*(a_syn_partner_rev_y3+a_syn_xsell_y3)*a_mcap*IF(H209=1,a_syn_ramp1,IF(H209=2,a_syn_ramp2,1))+a_syn_on*IF(H209&gt;=2,a_syn_cost,0)</f>
        <v>0</v>
      </c>
      <c r="I231" s="36" t="n">
        <f aca="false">a_syn_on*(a_syn_partner_rev_y3+a_syn_xsell_y3)*a_mcap*IF(I209=1,a_syn_ramp1,IF(I209=2,a_syn_ramp2,1))+a_syn_on*IF(I209&gt;=2,a_syn_cost,0)</f>
        <v>0</v>
      </c>
      <c r="J231" s="36" t="n">
        <f aca="false">a_syn_on*(a_syn_partner_rev_y3+a_syn_xsell_y3)*a_mcap*IF(J209=1,a_syn_ramp1,IF(J209=2,a_syn_ramp2,1))+a_syn_on*IF(J209&gt;=2,a_syn_cost,0)</f>
        <v>0</v>
      </c>
      <c r="K231" s="36" t="n">
        <f aca="false">a_syn_on*(a_syn_partner_rev_y3+a_syn_xsell_y3)*a_mcap*IF(K209=1,a_syn_ramp1,IF(K209=2,a_syn_ramp2,1))+a_syn_on*IF(K209&gt;=2,a_syn_cost,0)</f>
        <v>0</v>
      </c>
      <c r="L231" s="36" t="n">
        <f aca="false">a_syn_on*(a_syn_partner_rev_y3+a_syn_xsell_y3)*a_mcap*IF(L209=1,a_syn_ramp1,IF(L209=2,a_syn_ramp2,1))+a_syn_on*IF(L209&gt;=2,a_syn_cost,0)</f>
        <v>0</v>
      </c>
      <c r="M231" s="36" t="n">
        <f aca="false">a_syn_on*(a_syn_partner_rev_y3+a_syn_xsell_y3)*a_mcap*IF(M209=1,a_syn_ramp1,IF(M209=2,a_syn_ramp2,1))+a_syn_on*IF(M209&gt;=2,a_syn_cost,0)</f>
        <v>0</v>
      </c>
    </row>
    <row r="232" customFormat="false" ht="15" hidden="false" customHeight="false" outlineLevel="0" collapsed="false">
      <c r="A232" s="9" t="s">
        <v>488</v>
      </c>
      <c r="C232" s="36" t="n">
        <f aca="false">0</f>
        <v>0</v>
      </c>
      <c r="D232" s="36" t="n">
        <f aca="false">CHOOSE(Scenarios!$D$9,Scenarios!$D$8,Scenarios!$D$8*D212/cf_arr,Scenarios!$D$8*(1-a_tax))</f>
        <v>750</v>
      </c>
      <c r="E232" s="36" t="n">
        <f aca="false">CHOOSE(Scenarios!$D$9,Scenarios!$D$8,Scenarios!$D$8*E212/cf_arr,Scenarios!$D$8*(1-a_tax))</f>
        <v>750</v>
      </c>
      <c r="F232" s="36" t="n">
        <f aca="false">CHOOSE(Scenarios!$D$9,Scenarios!$D$8,Scenarios!$D$8*F212/cf_arr,Scenarios!$D$8*(1-a_tax))</f>
        <v>750</v>
      </c>
      <c r="G232" s="36" t="n">
        <f aca="false">CHOOSE(Scenarios!$D$9,Scenarios!$D$8,Scenarios!$D$8*G212/cf_arr,Scenarios!$D$8*(1-a_tax))</f>
        <v>750</v>
      </c>
      <c r="H232" s="36" t="n">
        <f aca="false">CHOOSE(Scenarios!$D$9,Scenarios!$D$8,Scenarios!$D$8*H212/cf_arr,Scenarios!$D$8*(1-a_tax))</f>
        <v>750</v>
      </c>
      <c r="I232" s="36" t="n">
        <f aca="false">CHOOSE(Scenarios!$D$9,Scenarios!$D$8,Scenarios!$D$8*I212/cf_arr,Scenarios!$D$8*(1-a_tax))</f>
        <v>750</v>
      </c>
      <c r="J232" s="36" t="n">
        <f aca="false">CHOOSE(Scenarios!$D$9,Scenarios!$D$8,Scenarios!$D$8*J212/cf_arr,Scenarios!$D$8*(1-a_tax))</f>
        <v>750</v>
      </c>
      <c r="K232" s="36" t="n">
        <f aca="false">CHOOSE(Scenarios!$D$9,Scenarios!$D$8,Scenarios!$D$8*K212/cf_arr,Scenarios!$D$8*(1-a_tax))</f>
        <v>750</v>
      </c>
      <c r="L232" s="36" t="n">
        <f aca="false">CHOOSE(Scenarios!$D$9,Scenarios!$D$8,Scenarios!$D$8*L212/cf_arr,Scenarios!$D$8*(1-a_tax))</f>
        <v>750</v>
      </c>
      <c r="M232" s="36" t="n">
        <f aca="false">CHOOSE(Scenarios!$D$9,Scenarios!$D$8,Scenarios!$D$8*M212/cf_arr,Scenarios!$D$8*(1-a_tax))</f>
        <v>750</v>
      </c>
    </row>
    <row r="233" customFormat="false" ht="15" hidden="false" customHeight="false" outlineLevel="0" collapsed="false">
      <c r="A233" s="9" t="s">
        <v>489</v>
      </c>
      <c r="C233" s="36" t="n">
        <f aca="false">0</f>
        <v>0</v>
      </c>
      <c r="D233" s="36" t="n">
        <f aca="false">IF(Scenarios!$D$9=3,Scenarios!$D$8*(1-a_tax),0)</f>
        <v>0</v>
      </c>
      <c r="E233" s="36" t="n">
        <f aca="false">IF(Scenarios!$D$9=3,Scenarios!$D$8*(1-a_tax),0)</f>
        <v>0</v>
      </c>
      <c r="F233" s="36" t="n">
        <f aca="false">IF(Scenarios!$D$9=3,Scenarios!$D$8*(1-a_tax),0)</f>
        <v>0</v>
      </c>
      <c r="G233" s="36" t="n">
        <f aca="false">IF(Scenarios!$D$9=3,Scenarios!$D$8*(1-a_tax),0)</f>
        <v>0</v>
      </c>
      <c r="H233" s="36" t="n">
        <f aca="false">IF(Scenarios!$D$9=3,Scenarios!$D$8*(1-a_tax),0)</f>
        <v>0</v>
      </c>
      <c r="I233" s="36" t="n">
        <f aca="false">IF(Scenarios!$D$9=3,Scenarios!$D$8*(1-a_tax),0)</f>
        <v>0</v>
      </c>
      <c r="J233" s="36" t="n">
        <f aca="false">IF(Scenarios!$D$9=3,Scenarios!$D$8*(1-a_tax),0)</f>
        <v>0</v>
      </c>
      <c r="K233" s="36" t="n">
        <f aca="false">IF(Scenarios!$D$9=3,Scenarios!$D$8*(1-a_tax),0)</f>
        <v>0</v>
      </c>
      <c r="L233" s="36" t="n">
        <f aca="false">IF(Scenarios!$D$9=3,Scenarios!$D$8*(1-a_tax),0)</f>
        <v>0</v>
      </c>
      <c r="M233" s="36" t="n">
        <f aca="false">IF(Scenarios!$D$9=3,Scenarios!$D$8*(1-a_tax),0)</f>
        <v>0</v>
      </c>
    </row>
    <row r="234" customFormat="false" ht="15" hidden="false" customHeight="false" outlineLevel="0" collapsed="false">
      <c r="A234" s="9" t="s">
        <v>490</v>
      </c>
      <c r="C234" s="36" t="n">
        <f aca="false">0</f>
        <v>0</v>
      </c>
      <c r="D234" s="36" t="n">
        <f aca="false">IF(Scenarios!$D$9=3,0,C234+D232)</f>
        <v>750</v>
      </c>
      <c r="E234" s="36" t="n">
        <f aca="false">IF(Scenarios!$D$9=3,0,D234+E232)</f>
        <v>1500</v>
      </c>
      <c r="F234" s="36" t="n">
        <f aca="false">IF(Scenarios!$D$9=3,0,E234+F232)</f>
        <v>2250</v>
      </c>
      <c r="G234" s="36" t="n">
        <f aca="false">IF(Scenarios!$D$9=3,0,F234+G232)</f>
        <v>3000</v>
      </c>
      <c r="H234" s="36" t="n">
        <f aca="false">IF(Scenarios!$D$9=3,0,G234+H232)</f>
        <v>3750</v>
      </c>
      <c r="I234" s="36" t="n">
        <f aca="false">IF(Scenarios!$D$9=3,0,H234+I232)</f>
        <v>4500</v>
      </c>
      <c r="J234" s="36" t="n">
        <f aca="false">IF(Scenarios!$D$9=3,0,I234+J232)</f>
        <v>5250</v>
      </c>
      <c r="K234" s="36" t="n">
        <f aca="false">IF(Scenarios!$D$9=3,0,J234+K232)</f>
        <v>6000</v>
      </c>
      <c r="L234" s="36" t="n">
        <f aca="false">IF(Scenarios!$D$9=3,0,K234+L232)</f>
        <v>6750</v>
      </c>
      <c r="M234" s="36" t="n">
        <f aca="false">IF(Scenarios!$D$9=3,0,L234+M232)</f>
        <v>7500</v>
      </c>
    </row>
    <row r="235" customFormat="false" ht="15" hidden="false" customHeight="false" outlineLevel="0" collapsed="false">
      <c r="A235" s="9" t="s">
        <v>491</v>
      </c>
      <c r="C235" s="36" t="n">
        <f aca="false">0</f>
        <v>0</v>
      </c>
      <c r="D235" s="36" t="n">
        <f aca="false">C234*a_yield*(1-a_tax)</f>
        <v>0</v>
      </c>
      <c r="E235" s="36" t="n">
        <f aca="false">D234*a_yield*(1-a_tax)</f>
        <v>33.75</v>
      </c>
      <c r="F235" s="36" t="n">
        <f aca="false">E234*a_yield*(1-a_tax)</f>
        <v>67.5</v>
      </c>
      <c r="G235" s="36" t="n">
        <f aca="false">F234*a_yield*(1-a_tax)</f>
        <v>101.25</v>
      </c>
      <c r="H235" s="36" t="n">
        <f aca="false">G234*a_yield*(1-a_tax)</f>
        <v>135</v>
      </c>
      <c r="I235" s="36" t="n">
        <f aca="false">H234*a_yield*(1-a_tax)</f>
        <v>168.75</v>
      </c>
      <c r="J235" s="36" t="n">
        <f aca="false">I234*a_yield*(1-a_tax)</f>
        <v>202.5</v>
      </c>
      <c r="K235" s="36" t="n">
        <f aca="false">J234*a_yield*(1-a_tax)</f>
        <v>236.25</v>
      </c>
      <c r="L235" s="36" t="n">
        <f aca="false">K234*a_yield*(1-a_tax)</f>
        <v>270</v>
      </c>
      <c r="M235" s="36" t="n">
        <f aca="false">L234*a_yield*(1-a_tax)</f>
        <v>303.75</v>
      </c>
    </row>
    <row r="236" customFormat="false" ht="15" hidden="false" customHeight="false" outlineLevel="0" collapsed="false">
      <c r="A236" s="9" t="s">
        <v>492</v>
      </c>
      <c r="C236" s="36" t="n">
        <f aca="false">cf_pat</f>
        <v>480</v>
      </c>
      <c r="D236" s="36" t="n">
        <f aca="false">cf_pat*(1+a_pat_growth)^D209</f>
        <v>480</v>
      </c>
      <c r="E236" s="36" t="n">
        <f aca="false">cf_pat*(1+a_pat_growth)^E209</f>
        <v>480</v>
      </c>
      <c r="F236" s="36" t="n">
        <f aca="false">cf_pat*(1+a_pat_growth)^F209</f>
        <v>480</v>
      </c>
      <c r="G236" s="36" t="n">
        <f aca="false">cf_pat*(1+a_pat_growth)^G209</f>
        <v>480</v>
      </c>
      <c r="H236" s="36" t="n">
        <f aca="false">cf_pat*(1+a_pat_growth)^H209</f>
        <v>480</v>
      </c>
      <c r="I236" s="36" t="n">
        <f aca="false">cf_pat*(1+a_pat_growth)^I209</f>
        <v>480</v>
      </c>
      <c r="J236" s="36" t="n">
        <f aca="false">cf_pat*(1+a_pat_growth)^J209</f>
        <v>480</v>
      </c>
      <c r="K236" s="36" t="n">
        <f aca="false">cf_pat*(1+a_pat_growth)^K209</f>
        <v>480</v>
      </c>
      <c r="L236" s="36" t="n">
        <f aca="false">cf_pat*(1+a_pat_growth)^L209</f>
        <v>480</v>
      </c>
      <c r="M236" s="36" t="n">
        <f aca="false">cf_pat*(1+a_pat_growth)^M209</f>
        <v>480</v>
      </c>
    </row>
    <row r="237" customFormat="false" ht="15" hidden="false" customHeight="false" outlineLevel="0" collapsed="false">
      <c r="A237" s="9" t="s">
        <v>493</v>
      </c>
      <c r="C237" s="36" t="n">
        <f aca="false">0</f>
        <v>0</v>
      </c>
      <c r="D237" s="36" t="n">
        <f aca="false">cf_mdr*a_mdr_flow*(1-a_tax)</f>
        <v>69</v>
      </c>
      <c r="E237" s="36" t="n">
        <f aca="false">cf_mdr*a_mdr_flow*(1-a_tax)</f>
        <v>69</v>
      </c>
      <c r="F237" s="36" t="n">
        <f aca="false">cf_mdr*a_mdr_flow*(1-a_tax)</f>
        <v>69</v>
      </c>
      <c r="G237" s="36" t="n">
        <f aca="false">cf_mdr*a_mdr_flow*(1-a_tax)</f>
        <v>69</v>
      </c>
      <c r="H237" s="36" t="n">
        <f aca="false">cf_mdr*a_mdr_flow*(1-a_tax)</f>
        <v>69</v>
      </c>
      <c r="I237" s="36" t="n">
        <f aca="false">cf_mdr*a_mdr_flow*(1-a_tax)</f>
        <v>69</v>
      </c>
      <c r="J237" s="36" t="n">
        <f aca="false">cf_mdr*a_mdr_flow*(1-a_tax)</f>
        <v>69</v>
      </c>
      <c r="K237" s="36" t="n">
        <f aca="false">cf_mdr*a_mdr_flow*(1-a_tax)</f>
        <v>69</v>
      </c>
      <c r="L237" s="36" t="n">
        <f aca="false">cf_mdr*a_mdr_flow*(1-a_tax)</f>
        <v>69</v>
      </c>
      <c r="M237" s="36" t="n">
        <f aca="false">cf_mdr*a_mdr_flow*(1-a_tax)</f>
        <v>69</v>
      </c>
    </row>
    <row r="238" customFormat="false" ht="15" hidden="false" customHeight="false" outlineLevel="0" collapsed="false">
      <c r="A238" s="9" t="s">
        <v>494</v>
      </c>
      <c r="C238" s="50" t="n">
        <f aca="false">cf_eps</f>
        <v>7.5</v>
      </c>
      <c r="D238" s="50" t="n">
        <f aca="false">D236/cf_shares</f>
        <v>7.5</v>
      </c>
      <c r="E238" s="50" t="n">
        <f aca="false">E236/cf_shares</f>
        <v>7.5</v>
      </c>
      <c r="F238" s="50" t="n">
        <f aca="false">F236/cf_shares</f>
        <v>7.5</v>
      </c>
      <c r="G238" s="50" t="n">
        <f aca="false">G236/cf_shares</f>
        <v>7.5</v>
      </c>
      <c r="H238" s="50" t="n">
        <f aca="false">H236/cf_shares</f>
        <v>7.5</v>
      </c>
      <c r="I238" s="50" t="n">
        <f aca="false">I236/cf_shares</f>
        <v>7.5</v>
      </c>
      <c r="J238" s="50" t="n">
        <f aca="false">J236/cf_shares</f>
        <v>7.5</v>
      </c>
      <c r="K238" s="50" t="n">
        <f aca="false">K236/cf_shares</f>
        <v>7.5</v>
      </c>
      <c r="L238" s="50" t="n">
        <f aca="false">L236/cf_shares</f>
        <v>7.5</v>
      </c>
      <c r="M238" s="50" t="n">
        <f aca="false">M236/cf_shares</f>
        <v>7.5</v>
      </c>
    </row>
    <row r="239" customFormat="false" ht="15" hidden="false" customHeight="false" outlineLevel="0" collapsed="false">
      <c r="A239" s="9" t="s">
        <v>495</v>
      </c>
      <c r="C239" s="50" t="n">
        <f aca="false">cf_eps</f>
        <v>7.5</v>
      </c>
      <c r="D239" s="50" t="n">
        <f aca="false">(D236+D237)/cf_shares</f>
        <v>8.578125</v>
      </c>
      <c r="E239" s="50" t="n">
        <f aca="false">(E236+E237)/cf_shares</f>
        <v>8.578125</v>
      </c>
      <c r="F239" s="50" t="n">
        <f aca="false">(F236+F237)/cf_shares</f>
        <v>8.578125</v>
      </c>
      <c r="G239" s="50" t="n">
        <f aca="false">(G236+G237)/cf_shares</f>
        <v>8.578125</v>
      </c>
      <c r="H239" s="50" t="n">
        <f aca="false">(H236+H237)/cf_shares</f>
        <v>8.578125</v>
      </c>
      <c r="I239" s="50" t="n">
        <f aca="false">(I236+I237)/cf_shares</f>
        <v>8.578125</v>
      </c>
      <c r="J239" s="50" t="n">
        <f aca="false">(J236+J237)/cf_shares</f>
        <v>8.578125</v>
      </c>
      <c r="K239" s="50" t="n">
        <f aca="false">(K236+K237)/cf_shares</f>
        <v>8.578125</v>
      </c>
      <c r="L239" s="50" t="n">
        <f aca="false">(L236+L237)/cf_shares</f>
        <v>8.578125</v>
      </c>
      <c r="M239" s="50" t="n">
        <f aca="false">(M236+M237)/cf_shares</f>
        <v>8.578125</v>
      </c>
    </row>
    <row r="240" customFormat="false" ht="15" hidden="false" customHeight="false" outlineLevel="0" collapsed="false">
      <c r="A240" s="4" t="s">
        <v>496</v>
      </c>
      <c r="C240" s="41" t="n">
        <f aca="false">-C227-C229</f>
        <v>-94.5</v>
      </c>
      <c r="D240" s="41" t="n">
        <f aca="false">D219+D231*(1-a_tax)-C227-C229-D233-D235</f>
        <v>-128.424</v>
      </c>
      <c r="E240" s="41" t="n">
        <f aca="false">E219+E231*(1-a_tax)-C227-C229-E233-E235</f>
        <v>-116.6076</v>
      </c>
      <c r="F240" s="41" t="n">
        <f aca="false">F219+F231*(1-a_tax)-C227-C229-F233-F235</f>
        <v>-138.04992</v>
      </c>
      <c r="G240" s="41" t="n">
        <f aca="false">G219+G231*(1-a_tax)-C227-C229-G233-G235</f>
        <v>-155.034864</v>
      </c>
      <c r="H240" s="41" t="n">
        <f aca="false">H219+H231*(1-a_tax)-C227-C229-H233-H235</f>
        <v>-166.2717888</v>
      </c>
      <c r="I240" s="41" t="n">
        <f aca="false">I219+I231*(1-a_tax)-C227-C229-I233-I235</f>
        <v>-187.37614656</v>
      </c>
      <c r="J240" s="41" t="n">
        <f aca="false">J219+J231*(1-a_tax)-C227-C229-J233-J235</f>
        <v>-205.951375872</v>
      </c>
      <c r="K240" s="41" t="n">
        <f aca="false">K219+K231*(1-a_tax)-C227-C229-K233-K235</f>
        <v>-221.4916510464</v>
      </c>
      <c r="L240" s="41" t="n">
        <f aca="false">L219+L231*(1-a_tax)-C227-C229-L233-L235</f>
        <v>-233.38998125568</v>
      </c>
      <c r="M240" s="41" t="n">
        <f aca="false">M219+M231*(1-a_tax)-C227-C229-M233-M235</f>
        <v>-240.917977506816</v>
      </c>
    </row>
    <row r="241" customFormat="false" ht="15" hidden="false" customHeight="false" outlineLevel="0" collapsed="false">
      <c r="A241" s="9" t="s">
        <v>497</v>
      </c>
      <c r="C241" s="36" t="n">
        <f aca="false">C236+C240</f>
        <v>385.5</v>
      </c>
      <c r="D241" s="36" t="n">
        <f aca="false">D236+D240</f>
        <v>351.576</v>
      </c>
      <c r="E241" s="36" t="n">
        <f aca="false">E236+E240</f>
        <v>363.3924</v>
      </c>
      <c r="F241" s="36" t="n">
        <f aca="false">F236+F240</f>
        <v>341.95008</v>
      </c>
      <c r="G241" s="36" t="n">
        <f aca="false">G236+G240</f>
        <v>324.965136</v>
      </c>
      <c r="H241" s="36" t="n">
        <f aca="false">H236+H240</f>
        <v>313.7282112</v>
      </c>
      <c r="I241" s="36" t="n">
        <f aca="false">I236+I240</f>
        <v>292.62385344</v>
      </c>
      <c r="J241" s="36" t="n">
        <f aca="false">J236+J240</f>
        <v>274.048624128</v>
      </c>
      <c r="K241" s="36" t="n">
        <f aca="false">K236+K240</f>
        <v>258.5083489536</v>
      </c>
      <c r="L241" s="36" t="n">
        <f aca="false">L236+L240</f>
        <v>246.61001874432</v>
      </c>
      <c r="M241" s="36" t="n">
        <f aca="false">M236+M240</f>
        <v>239.082022493184</v>
      </c>
    </row>
    <row r="242" customFormat="false" ht="15" hidden="false" customHeight="false" outlineLevel="0" collapsed="false">
      <c r="A242" s="4" t="s">
        <v>498</v>
      </c>
      <c r="C242" s="48" t="n">
        <f aca="false">C241/C226</f>
        <v>5.92858021653543</v>
      </c>
      <c r="D242" s="48" t="n">
        <f aca="false">D241/C226</f>
        <v>5.40686515748032</v>
      </c>
      <c r="E242" s="48" t="n">
        <f aca="false">E241/C226</f>
        <v>5.58858882874016</v>
      </c>
      <c r="F242" s="48" t="n">
        <f aca="false">F241/C226</f>
        <v>5.25882874015748</v>
      </c>
      <c r="G242" s="48" t="n">
        <f aca="false">G241/C226</f>
        <v>4.99761835629921</v>
      </c>
      <c r="H242" s="48" t="n">
        <f aca="false">H241/C226</f>
        <v>4.82480639763779</v>
      </c>
      <c r="I242" s="48" t="n">
        <f aca="false">I241/C226</f>
        <v>4.50024380905512</v>
      </c>
      <c r="J242" s="48" t="n">
        <f aca="false">J241/C226</f>
        <v>4.21457652755906</v>
      </c>
      <c r="K242" s="48" t="n">
        <f aca="false">K241/C226</f>
        <v>3.97558361456693</v>
      </c>
      <c r="L242" s="48" t="n">
        <f aca="false">L241/C226</f>
        <v>3.79259994377953</v>
      </c>
      <c r="M242" s="48" t="n">
        <f aca="false">M241/C226</f>
        <v>3.67682736363779</v>
      </c>
    </row>
    <row r="243" customFormat="false" ht="15" hidden="false" customHeight="false" outlineLevel="0" collapsed="false">
      <c r="A243" s="4" t="s">
        <v>499</v>
      </c>
      <c r="C243" s="14" t="n">
        <f aca="false">C242/cf_eps-1</f>
        <v>-0.209522637795276</v>
      </c>
      <c r="D243" s="14" t="n">
        <f aca="false">D242/cf_eps-1</f>
        <v>-0.279084645669291</v>
      </c>
      <c r="E243" s="14" t="n">
        <f aca="false">E242/cf_eps-1</f>
        <v>-0.254854822834646</v>
      </c>
      <c r="F243" s="14" t="n">
        <f aca="false">F242/cf_eps-1</f>
        <v>-0.298822834645669</v>
      </c>
      <c r="G243" s="14" t="n">
        <f aca="false">G242/cf_eps-1</f>
        <v>-0.333650885826772</v>
      </c>
      <c r="H243" s="14" t="n">
        <f aca="false">H242/cf_eps-1</f>
        <v>-0.356692480314961</v>
      </c>
      <c r="I243" s="14" t="n">
        <f aca="false">I242/cf_eps-1</f>
        <v>-0.399967492125984</v>
      </c>
      <c r="J243" s="14" t="n">
        <f aca="false">J242/cf_eps-1</f>
        <v>-0.438056462992126</v>
      </c>
      <c r="K243" s="14" t="n">
        <f aca="false">K242/cf_eps-1</f>
        <v>-0.46992218472441</v>
      </c>
      <c r="L243" s="14" t="n">
        <f aca="false">L242/cf_eps-1</f>
        <v>-0.494320007496063</v>
      </c>
      <c r="M243" s="14" t="n">
        <f aca="false">M242/cf_eps-1</f>
        <v>-0.509756351514961</v>
      </c>
    </row>
    <row r="244" customFormat="false" ht="15" hidden="false" customHeight="false" outlineLevel="0" collapsed="false">
      <c r="A244" s="9" t="s">
        <v>500</v>
      </c>
      <c r="C244" s="50" t="n">
        <f aca="false">C242</f>
        <v>5.92858021653543</v>
      </c>
      <c r="D244" s="50" t="n">
        <f aca="false">(D241+D237)/C226</f>
        <v>6.46801181102362</v>
      </c>
      <c r="E244" s="50" t="n">
        <f aca="false">(E241+E237)/C226</f>
        <v>6.64973548228346</v>
      </c>
      <c r="F244" s="50" t="n">
        <f aca="false">(F241+F237)/C226</f>
        <v>6.31997539370079</v>
      </c>
      <c r="G244" s="50" t="n">
        <f aca="false">(G241+G237)/C226</f>
        <v>6.05876500984252</v>
      </c>
      <c r="H244" s="50" t="n">
        <f aca="false">(H241+H237)/C226</f>
        <v>5.8859530511811</v>
      </c>
      <c r="I244" s="50" t="n">
        <f aca="false">(I241+I237)/C226</f>
        <v>5.56139046259843</v>
      </c>
      <c r="J244" s="50" t="n">
        <f aca="false">(J241+J237)/C226</f>
        <v>5.27572318110236</v>
      </c>
      <c r="K244" s="50" t="n">
        <f aca="false">(K241+K237)/C226</f>
        <v>5.03673026811024</v>
      </c>
      <c r="L244" s="50" t="n">
        <f aca="false">(L241+L237)/C226</f>
        <v>4.85374659732283</v>
      </c>
      <c r="M244" s="50" t="n">
        <f aca="false">(M241+M237)/C226</f>
        <v>4.7379740171811</v>
      </c>
    </row>
    <row r="245" customFormat="false" ht="15" hidden="false" customHeight="false" outlineLevel="0" collapsed="false">
      <c r="A245" s="9" t="s">
        <v>501</v>
      </c>
      <c r="C245" s="18" t="n">
        <f aca="false">C243</f>
        <v>-0.209522637795276</v>
      </c>
      <c r="D245" s="18" t="n">
        <f aca="false">D244/D239-1</f>
        <v>-0.245987694161181</v>
      </c>
      <c r="E245" s="18" t="n">
        <f aca="false">E244/E239-1</f>
        <v>-0.224803149606299</v>
      </c>
      <c r="F245" s="18" t="n">
        <f aca="false">F244/F239-1</f>
        <v>-0.263245127145992</v>
      </c>
      <c r="G245" s="18" t="n">
        <f aca="false">G244/G239-1</f>
        <v>-0.293695882277011</v>
      </c>
      <c r="H245" s="18" t="n">
        <f aca="false">H244/H239-1</f>
        <v>-0.313841538660127</v>
      </c>
      <c r="I245" s="18" t="n">
        <f aca="false">I244/I239-1</f>
        <v>-0.351677614560475</v>
      </c>
      <c r="J245" s="18" t="n">
        <f aca="false">J244/J239-1</f>
        <v>-0.384979447011746</v>
      </c>
      <c r="K245" s="18" t="n">
        <f aca="false">K244/K239-1</f>
        <v>-0.412840187324126</v>
      </c>
      <c r="L245" s="18" t="n">
        <f aca="false">L244/L239-1</f>
        <v>-0.434171617069834</v>
      </c>
      <c r="M245" s="18" t="n">
        <f aca="false">M244/M239-1</f>
        <v>-0.447667874135536</v>
      </c>
    </row>
    <row r="246" customFormat="false" ht="15" hidden="false" customHeight="false" outlineLevel="0" collapsed="false">
      <c r="A246" s="9" t="s">
        <v>502</v>
      </c>
      <c r="C246" s="50" t="n">
        <f aca="false">(C241+C229)/C226</f>
        <v>5.92858021653543</v>
      </c>
      <c r="D246" s="50" t="n">
        <f aca="false">(D241+C229)/C226</f>
        <v>5.40686515748032</v>
      </c>
      <c r="E246" s="50" t="n">
        <f aca="false">(E241+C229)/C226</f>
        <v>5.58858882874016</v>
      </c>
      <c r="F246" s="50" t="n">
        <f aca="false">(F241+C229)/C226</f>
        <v>5.25882874015748</v>
      </c>
      <c r="G246" s="50" t="n">
        <f aca="false">(G241+C229)/C226</f>
        <v>4.99761835629921</v>
      </c>
      <c r="H246" s="50" t="n">
        <f aca="false">(H241+C229)/C226</f>
        <v>4.82480639763779</v>
      </c>
      <c r="I246" s="50" t="n">
        <f aca="false">(I241+C229)/C226</f>
        <v>4.50024380905512</v>
      </c>
      <c r="J246" s="50" t="n">
        <f aca="false">(J241+C229)/C226</f>
        <v>4.21457652755906</v>
      </c>
      <c r="K246" s="50" t="n">
        <f aca="false">(K241+C229)/C226</f>
        <v>3.97558361456693</v>
      </c>
      <c r="L246" s="50" t="n">
        <f aca="false">(L241+C229)/C226</f>
        <v>3.79259994377953</v>
      </c>
      <c r="M246" s="50" t="n">
        <f aca="false">(M241+C229)/C226</f>
        <v>3.67682736363779</v>
      </c>
    </row>
    <row r="247" customFormat="false" ht="15" hidden="false" customHeight="false" outlineLevel="0" collapsed="false">
      <c r="A247" s="9" t="s">
        <v>503</v>
      </c>
      <c r="C247" s="50" t="n">
        <f aca="false">(C241-C228+C229)/C226</f>
        <v>4.48680487204724</v>
      </c>
      <c r="D247" s="50" t="n">
        <f aca="false">(D241-C228+C229)/C226</f>
        <v>3.96508981299213</v>
      </c>
      <c r="E247" s="50" t="n">
        <f aca="false">(E241-C228+C229)/C226</f>
        <v>4.14681348425197</v>
      </c>
      <c r="F247" s="50" t="n">
        <f aca="false">(F241-C228+C229)/C226</f>
        <v>3.81705339566929</v>
      </c>
      <c r="G247" s="50" t="n">
        <f aca="false">(G241-C228+C229)/C226</f>
        <v>3.55584301181102</v>
      </c>
      <c r="H247" s="50" t="n">
        <f aca="false">(H241-C228+C229)/C226</f>
        <v>3.38303105314961</v>
      </c>
      <c r="I247" s="50" t="n">
        <f aca="false">(I241-C228+C229)/C226</f>
        <v>3.05846846456693</v>
      </c>
      <c r="J247" s="50" t="n">
        <f aca="false">(J241-C228+C229)/C226</f>
        <v>2.77280118307087</v>
      </c>
      <c r="K247" s="50" t="n">
        <f aca="false">(K241-C228+C229)/C226</f>
        <v>2.53380827007874</v>
      </c>
      <c r="L247" s="50" t="n">
        <f aca="false">(L241-C228+C229)/C226</f>
        <v>2.35082459929134</v>
      </c>
      <c r="M247" s="50" t="n">
        <f aca="false">(M241-C228+C229)/C226</f>
        <v>2.23505201914961</v>
      </c>
    </row>
    <row r="248" customFormat="false" ht="15" hidden="false" customHeight="false" outlineLevel="0" collapsed="false">
      <c r="A248" s="9" t="s">
        <v>504</v>
      </c>
      <c r="C248" s="50" t="n">
        <f aca="false">C236/C226</f>
        <v>7.38188976377953</v>
      </c>
      <c r="D248" s="50" t="n">
        <f aca="false">D236/C226</f>
        <v>7.38188976377953</v>
      </c>
      <c r="E248" s="50" t="n">
        <f aca="false">E236/C226</f>
        <v>7.38188976377953</v>
      </c>
      <c r="F248" s="50" t="n">
        <f aca="false">F236/C226</f>
        <v>7.38188976377953</v>
      </c>
      <c r="G248" s="50" t="n">
        <f aca="false">G236/C226</f>
        <v>7.38188976377953</v>
      </c>
      <c r="H248" s="50" t="n">
        <f aca="false">H236/C226</f>
        <v>7.38188976377953</v>
      </c>
      <c r="I248" s="50" t="n">
        <f aca="false">I236/C226</f>
        <v>7.38188976377953</v>
      </c>
      <c r="J248" s="50" t="n">
        <f aca="false">J236/C226</f>
        <v>7.38188976377953</v>
      </c>
      <c r="K248" s="50" t="n">
        <f aca="false">K236/C226</f>
        <v>7.38188976377953</v>
      </c>
      <c r="L248" s="50" t="n">
        <f aca="false">L236/C226</f>
        <v>7.38188976377953</v>
      </c>
      <c r="M248" s="50" t="n">
        <f aca="false">M236/C226</f>
        <v>7.38188976377953</v>
      </c>
    </row>
    <row r="249" customFormat="false" ht="15" hidden="false" customHeight="false" outlineLevel="0" collapsed="false">
      <c r="A249" s="9" t="s">
        <v>505</v>
      </c>
      <c r="D249" s="36" t="n">
        <f aca="false">D222+D231*(1-a_tax)-D232-IF(D209=1,C230,0)</f>
        <v>-942.164</v>
      </c>
      <c r="E249" s="36" t="n">
        <f aca="false">E222+E231*(1-a_tax)-E232-IF(E209=1,C230,0)</f>
        <v>-740.2056</v>
      </c>
      <c r="F249" s="36" t="n">
        <f aca="false">F222+F231*(1-a_tax)-F232-IF(F209=1,C230,0)</f>
        <v>-728.26752</v>
      </c>
      <c r="G249" s="36" t="n">
        <f aca="false">G222+G231*(1-a_tax)-G232-IF(G209=1,C230,0)</f>
        <v>-711.945984</v>
      </c>
      <c r="H249" s="36" t="n">
        <f aca="false">H222+H231*(1-a_tax)-H232-IF(H209=1,C230,0)</f>
        <v>-689.9651328</v>
      </c>
      <c r="I249" s="36" t="n">
        <f aca="false">I222+I231*(1-a_tax)-I232-IF(I209=1,C230,0)</f>
        <v>-677.95815936</v>
      </c>
      <c r="J249" s="36" t="n">
        <f aca="false">J222+J231*(1-a_tax)-J232-IF(J209=1,C230,0)</f>
        <v>-663.549791232</v>
      </c>
      <c r="K249" s="36" t="n">
        <f aca="false">K222+K231*(1-a_tax)-K232-IF(K209=1,C230,0)</f>
        <v>-646.2597494784</v>
      </c>
      <c r="L249" s="36" t="n">
        <f aca="false">L222+L231*(1-a_tax)-L232-IF(L209=1,C230,0)</f>
        <v>-625.51169937408</v>
      </c>
      <c r="M249" s="36" t="n">
        <f aca="false">M222+M231*(1-a_tax)-M232-IF(M209=1,C230,0)</f>
        <v>-600.614039248896</v>
      </c>
    </row>
    <row r="250" customFormat="false" ht="15" hidden="false" customHeight="false" outlineLevel="0" collapsed="false">
      <c r="A250" s="4" t="s">
        <v>506</v>
      </c>
      <c r="D250" s="41" t="n">
        <f aca="false">D249-C227</f>
        <v>-1036.664</v>
      </c>
      <c r="E250" s="41" t="n">
        <f aca="false">E249-C227</f>
        <v>-834.7056</v>
      </c>
      <c r="F250" s="41" t="n">
        <f aca="false">F249-C227</f>
        <v>-822.76752</v>
      </c>
      <c r="G250" s="41" t="n">
        <f aca="false">G249-C227</f>
        <v>-806.445984</v>
      </c>
      <c r="H250" s="41" t="n">
        <f aca="false">H249-C227</f>
        <v>-784.4651328</v>
      </c>
      <c r="I250" s="41" t="n">
        <f aca="false">I249-C227</f>
        <v>-772.45815936</v>
      </c>
      <c r="J250" s="41" t="n">
        <f aca="false">J249-C227</f>
        <v>-758.049791232</v>
      </c>
      <c r="K250" s="41" t="n">
        <f aca="false">K249-C227</f>
        <v>-740.7597494784</v>
      </c>
      <c r="L250" s="41" t="n">
        <f aca="false">L249-C227</f>
        <v>-720.01169937408</v>
      </c>
      <c r="M250" s="41" t="n">
        <f aca="false">M249-C227</f>
        <v>-695.114039248896</v>
      </c>
    </row>
    <row r="251" customFormat="false" ht="15" hidden="false" customHeight="false" outlineLevel="0" collapsed="false">
      <c r="A251" s="9" t="s">
        <v>507</v>
      </c>
      <c r="C251" s="36" t="n">
        <f aca="false">0</f>
        <v>0</v>
      </c>
      <c r="D251" s="36" t="n">
        <f aca="false">D237</f>
        <v>69</v>
      </c>
      <c r="E251" s="36" t="n">
        <f aca="false">E237</f>
        <v>69</v>
      </c>
      <c r="F251" s="36" t="n">
        <f aca="false">F237</f>
        <v>69</v>
      </c>
      <c r="G251" s="36" t="n">
        <f aca="false">G237</f>
        <v>69</v>
      </c>
      <c r="H251" s="36" t="n">
        <f aca="false">H237</f>
        <v>69</v>
      </c>
      <c r="I251" s="36" t="n">
        <f aca="false">I237</f>
        <v>69</v>
      </c>
      <c r="J251" s="36" t="n">
        <f aca="false">J237</f>
        <v>69</v>
      </c>
      <c r="K251" s="36" t="n">
        <f aca="false">K237</f>
        <v>69</v>
      </c>
      <c r="L251" s="36" t="n">
        <f aca="false">L237</f>
        <v>69</v>
      </c>
      <c r="M251" s="36" t="n">
        <f aca="false">M237</f>
        <v>69</v>
      </c>
    </row>
    <row r="252" customFormat="false" ht="15" hidden="false" customHeight="false" outlineLevel="0" collapsed="false">
      <c r="A252" s="9" t="s">
        <v>508</v>
      </c>
      <c r="D252" s="36" t="n">
        <f aca="false">D250+D251</f>
        <v>-967.664</v>
      </c>
      <c r="E252" s="36" t="n">
        <f aca="false">E250+E251</f>
        <v>-765.7056</v>
      </c>
      <c r="F252" s="36" t="n">
        <f aca="false">F250+F251</f>
        <v>-753.76752</v>
      </c>
      <c r="G252" s="36" t="n">
        <f aca="false">G250+G251</f>
        <v>-737.445984</v>
      </c>
      <c r="H252" s="36" t="n">
        <f aca="false">H250+H251</f>
        <v>-715.4651328</v>
      </c>
      <c r="I252" s="36" t="n">
        <f aca="false">I250+I251</f>
        <v>-703.45815936</v>
      </c>
      <c r="J252" s="36" t="n">
        <f aca="false">J250+J251</f>
        <v>-689.049791232</v>
      </c>
      <c r="K252" s="36" t="n">
        <f aca="false">K250+K251</f>
        <v>-671.7597494784</v>
      </c>
      <c r="L252" s="36" t="n">
        <f aca="false">L250+L251</f>
        <v>-651.01169937408</v>
      </c>
      <c r="M252" s="36" t="n">
        <f aca="false">M250+M251</f>
        <v>-626.114039248896</v>
      </c>
    </row>
    <row r="253" customFormat="false" ht="15" hidden="false" customHeight="false" outlineLevel="0" collapsed="false">
      <c r="A253" s="9" t="s">
        <v>509</v>
      </c>
      <c r="D253" s="36" t="n">
        <f aca="false">IF(Scenarios!$D$15=1,D252,D250)</f>
        <v>-1036.664</v>
      </c>
      <c r="E253" s="36" t="n">
        <f aca="false">IF(Scenarios!$D$15=1,E252,E250)</f>
        <v>-834.7056</v>
      </c>
      <c r="F253" s="36" t="n">
        <f aca="false">IF(Scenarios!$D$15=1,F252,F250)</f>
        <v>-822.76752</v>
      </c>
      <c r="G253" s="36" t="n">
        <f aca="false">IF(Scenarios!$D$15=1,G252,G250)</f>
        <v>-806.445984</v>
      </c>
      <c r="H253" s="36" t="n">
        <f aca="false">IF(Scenarios!$D$15=1,H252,H250)</f>
        <v>-784.4651328</v>
      </c>
      <c r="I253" s="36" t="n">
        <f aca="false">IF(Scenarios!$D$15=1,I252,I250)</f>
        <v>-772.45815936</v>
      </c>
      <c r="J253" s="36" t="n">
        <f aca="false">IF(Scenarios!$D$15=1,J252,J250)</f>
        <v>-758.049791232</v>
      </c>
      <c r="K253" s="36" t="n">
        <f aca="false">IF(Scenarios!$D$15=1,K252,K250)</f>
        <v>-740.7597494784</v>
      </c>
      <c r="L253" s="36" t="n">
        <f aca="false">IF(Scenarios!$D$15=1,L252,L250)</f>
        <v>-720.01169937408</v>
      </c>
      <c r="M253" s="36" t="n">
        <f aca="false">IF(Scenarios!$D$15=1,M252,M250)</f>
        <v>-695.114039248896</v>
      </c>
    </row>
    <row r="254" customFormat="false" ht="15" hidden="false" customHeight="false" outlineLevel="0" collapsed="false">
      <c r="A254" s="9" t="s">
        <v>510</v>
      </c>
      <c r="C254" s="36" t="n">
        <f aca="false">-Scenarios!$D$14</f>
        <v>-4000</v>
      </c>
      <c r="D254" s="36" t="n">
        <f aca="false">C254+D253</f>
        <v>-5036.664</v>
      </c>
      <c r="E254" s="36" t="n">
        <f aca="false">D254+E253</f>
        <v>-5871.3696</v>
      </c>
      <c r="F254" s="36" t="n">
        <f aca="false">E254+F253</f>
        <v>-6694.13712</v>
      </c>
      <c r="G254" s="36" t="n">
        <f aca="false">F254+G253</f>
        <v>-7500.583104</v>
      </c>
      <c r="H254" s="36" t="n">
        <f aca="false">G254+H253</f>
        <v>-8285.0482368</v>
      </c>
      <c r="I254" s="36" t="n">
        <f aca="false">H254+I253</f>
        <v>-9057.50639616</v>
      </c>
      <c r="J254" s="36" t="n">
        <f aca="false">I254+J253</f>
        <v>-9815.556187392</v>
      </c>
      <c r="K254" s="36" t="n">
        <f aca="false">J254+K253</f>
        <v>-10556.3159368704</v>
      </c>
      <c r="L254" s="36" t="n">
        <f aca="false">K254+L253</f>
        <v>-11276.3276362445</v>
      </c>
      <c r="M254" s="36" t="n">
        <f aca="false">L254+M253</f>
        <v>-11971.4416754934</v>
      </c>
    </row>
    <row r="255" customFormat="false" ht="15" hidden="false" customHeight="false" outlineLevel="0" collapsed="false">
      <c r="A255" s="9" t="s">
        <v>511</v>
      </c>
      <c r="C255" s="43" t="n">
        <f aca="false">1</f>
        <v>1</v>
      </c>
      <c r="D255" s="43" t="n">
        <f aca="false">1/(1+Scenarios!$D$13)^D209</f>
        <v>0.884955752212389</v>
      </c>
      <c r="E255" s="43" t="n">
        <f aca="false">1/(1+Scenarios!$D$13)^E209</f>
        <v>0.783146683373796</v>
      </c>
      <c r="F255" s="43" t="n">
        <f aca="false">1/(1+Scenarios!$D$13)^F209</f>
        <v>0.693050162277696</v>
      </c>
      <c r="G255" s="43" t="n">
        <f aca="false">1/(1+Scenarios!$D$13)^G209</f>
        <v>0.613318727679377</v>
      </c>
      <c r="H255" s="43" t="n">
        <f aca="false">1/(1+Scenarios!$D$13)^H209</f>
        <v>0.542759935999449</v>
      </c>
      <c r="I255" s="43" t="n">
        <f aca="false">1/(1+Scenarios!$D$13)^I209</f>
        <v>0.48031852743314</v>
      </c>
      <c r="J255" s="43" t="n">
        <f aca="false">1/(1+Scenarios!$D$13)^J209</f>
        <v>0.425060643746142</v>
      </c>
      <c r="K255" s="43" t="n">
        <f aca="false">1/(1+Scenarios!$D$13)^K209</f>
        <v>0.37615986172225</v>
      </c>
      <c r="L255" s="43" t="n">
        <f aca="false">1/(1+Scenarios!$D$13)^L209</f>
        <v>0.332884833382522</v>
      </c>
      <c r="M255" s="43" t="n">
        <f aca="false">1/(1+Scenarios!$D$13)^M209</f>
        <v>0.294588348126126</v>
      </c>
    </row>
    <row r="256" customFormat="false" ht="15" hidden="false" customHeight="false" outlineLevel="0" collapsed="false">
      <c r="A256" s="9" t="s">
        <v>512</v>
      </c>
      <c r="C256" s="46" t="n">
        <f aca="false">99</f>
        <v>99</v>
      </c>
      <c r="D256" s="46" t="n">
        <f aca="false">IF(D240&gt;=0,D209,99)</f>
        <v>99</v>
      </c>
      <c r="E256" s="46" t="n">
        <f aca="false">IF(E240&gt;=0,E209,99)</f>
        <v>99</v>
      </c>
      <c r="F256" s="46" t="n">
        <f aca="false">IF(F240&gt;=0,F209,99)</f>
        <v>99</v>
      </c>
      <c r="G256" s="46" t="n">
        <f aca="false">IF(G240&gt;=0,G209,99)</f>
        <v>99</v>
      </c>
      <c r="H256" s="46" t="n">
        <f aca="false">IF(H240&gt;=0,H209,99)</f>
        <v>99</v>
      </c>
      <c r="I256" s="46" t="n">
        <f aca="false">IF(I240&gt;=0,I209,99)</f>
        <v>99</v>
      </c>
      <c r="J256" s="46" t="n">
        <f aca="false">IF(J240&gt;=0,J209,99)</f>
        <v>99</v>
      </c>
      <c r="K256" s="46" t="n">
        <f aca="false">IF(K240&gt;=0,K209,99)</f>
        <v>99</v>
      </c>
      <c r="L256" s="46" t="n">
        <f aca="false">IF(L240&gt;=0,L209,99)</f>
        <v>99</v>
      </c>
      <c r="M256" s="46" t="n">
        <f aca="false">IF(M240&gt;=0,M209,99)</f>
        <v>99</v>
      </c>
    </row>
    <row r="257" customFormat="false" ht="15" hidden="false" customHeight="false" outlineLevel="0" collapsed="false">
      <c r="A257" s="9" t="s">
        <v>513</v>
      </c>
      <c r="C257" s="46" t="n">
        <f aca="false">99</f>
        <v>99</v>
      </c>
      <c r="D257" s="46" t="n">
        <f aca="false">IF(D240+D237&gt;=0,D209,99)</f>
        <v>99</v>
      </c>
      <c r="E257" s="46" t="n">
        <f aca="false">IF(E240+E237&gt;=0,E209,99)</f>
        <v>99</v>
      </c>
      <c r="F257" s="46" t="n">
        <f aca="false">IF(F240+F237&gt;=0,F209,99)</f>
        <v>99</v>
      </c>
      <c r="G257" s="46" t="n">
        <f aca="false">IF(G240+G237&gt;=0,G209,99)</f>
        <v>99</v>
      </c>
      <c r="H257" s="46" t="n">
        <f aca="false">IF(H240+H237&gt;=0,H209,99)</f>
        <v>99</v>
      </c>
      <c r="I257" s="46" t="n">
        <f aca="false">IF(I240+I237&gt;=0,I209,99)</f>
        <v>99</v>
      </c>
      <c r="J257" s="46" t="n">
        <f aca="false">IF(J240+J237&gt;=0,J209,99)</f>
        <v>99</v>
      </c>
      <c r="K257" s="46" t="n">
        <f aca="false">IF(K240+K237&gt;=0,K209,99)</f>
        <v>99</v>
      </c>
      <c r="L257" s="46" t="n">
        <f aca="false">IF(L240+L237&gt;=0,L209,99)</f>
        <v>99</v>
      </c>
      <c r="M257" s="46" t="n">
        <f aca="false">IF(M240+M237&gt;=0,M209,99)</f>
        <v>99</v>
      </c>
    </row>
    <row r="258" customFormat="false" ht="15" hidden="false" customHeight="false" outlineLevel="0" collapsed="false">
      <c r="A258" s="9" t="s">
        <v>514</v>
      </c>
      <c r="C258" s="46" t="n">
        <f aca="false">99</f>
        <v>99</v>
      </c>
      <c r="D258" s="46" t="n">
        <f aca="false">IF(D250&gt;=0,D209,99)</f>
        <v>99</v>
      </c>
      <c r="E258" s="46" t="n">
        <f aca="false">IF(E250&gt;=0,E209,99)</f>
        <v>99</v>
      </c>
      <c r="F258" s="46" t="n">
        <f aca="false">IF(F250&gt;=0,F209,99)</f>
        <v>99</v>
      </c>
      <c r="G258" s="46" t="n">
        <f aca="false">IF(G250&gt;=0,G209,99)</f>
        <v>99</v>
      </c>
      <c r="H258" s="46" t="n">
        <f aca="false">IF(H250&gt;=0,H209,99)</f>
        <v>99</v>
      </c>
      <c r="I258" s="46" t="n">
        <f aca="false">IF(I250&gt;=0,I209,99)</f>
        <v>99</v>
      </c>
      <c r="J258" s="46" t="n">
        <f aca="false">IF(J250&gt;=0,J209,99)</f>
        <v>99</v>
      </c>
      <c r="K258" s="46" t="n">
        <f aca="false">IF(K250&gt;=0,K209,99)</f>
        <v>99</v>
      </c>
      <c r="L258" s="46" t="n">
        <f aca="false">IF(L250&gt;=0,L209,99)</f>
        <v>99</v>
      </c>
      <c r="M258" s="46" t="n">
        <f aca="false">IF(M250&gt;=0,M209,99)</f>
        <v>99</v>
      </c>
    </row>
    <row r="259" customFormat="false" ht="15" hidden="false" customHeight="false" outlineLevel="0" collapsed="false">
      <c r="A259" s="9" t="s">
        <v>515</v>
      </c>
      <c r="C259" s="46" t="n">
        <f aca="false">99</f>
        <v>99</v>
      </c>
      <c r="D259" s="46" t="n">
        <f aca="false">IF(D252&gt;=0,D209,99)</f>
        <v>99</v>
      </c>
      <c r="E259" s="46" t="n">
        <f aca="false">IF(E252&gt;=0,E209,99)</f>
        <v>99</v>
      </c>
      <c r="F259" s="46" t="n">
        <f aca="false">IF(F252&gt;=0,F209,99)</f>
        <v>99</v>
      </c>
      <c r="G259" s="46" t="n">
        <f aca="false">IF(G252&gt;=0,G209,99)</f>
        <v>99</v>
      </c>
      <c r="H259" s="46" t="n">
        <f aca="false">IF(H252&gt;=0,H209,99)</f>
        <v>99</v>
      </c>
      <c r="I259" s="46" t="n">
        <f aca="false">IF(I252&gt;=0,I209,99)</f>
        <v>99</v>
      </c>
      <c r="J259" s="46" t="n">
        <f aca="false">IF(J252&gt;=0,J209,99)</f>
        <v>99</v>
      </c>
      <c r="K259" s="46" t="n">
        <f aca="false">IF(K252&gt;=0,K209,99)</f>
        <v>99</v>
      </c>
      <c r="L259" s="46" t="n">
        <f aca="false">IF(L252&gt;=0,L209,99)</f>
        <v>99</v>
      </c>
      <c r="M259" s="46" t="n">
        <f aca="false">IF(M252&gt;=0,M209,99)</f>
        <v>99</v>
      </c>
    </row>
    <row r="260" customFormat="false" ht="15" hidden="false" customHeight="false" outlineLevel="0" collapsed="false">
      <c r="A260" s="9" t="s">
        <v>516</v>
      </c>
      <c r="C260" s="46" t="n">
        <f aca="false">99</f>
        <v>99</v>
      </c>
      <c r="D260" s="46" t="n">
        <f aca="false">IF(D254&gt;=0,D209,99)</f>
        <v>99</v>
      </c>
      <c r="E260" s="46" t="n">
        <f aca="false">IF(E254&gt;=0,E209,99)</f>
        <v>99</v>
      </c>
      <c r="F260" s="46" t="n">
        <f aca="false">IF(F254&gt;=0,F209,99)</f>
        <v>99</v>
      </c>
      <c r="G260" s="46" t="n">
        <f aca="false">IF(G254&gt;=0,G209,99)</f>
        <v>99</v>
      </c>
      <c r="H260" s="46" t="n">
        <f aca="false">IF(H254&gt;=0,H209,99)</f>
        <v>99</v>
      </c>
      <c r="I260" s="46" t="n">
        <f aca="false">IF(I254&gt;=0,I209,99)</f>
        <v>99</v>
      </c>
      <c r="J260" s="46" t="n">
        <f aca="false">IF(J254&gt;=0,J209,99)</f>
        <v>99</v>
      </c>
      <c r="K260" s="46" t="n">
        <f aca="false">IF(K254&gt;=0,K209,99)</f>
        <v>99</v>
      </c>
      <c r="L260" s="46" t="n">
        <f aca="false">IF(L254&gt;=0,L209,99)</f>
        <v>99</v>
      </c>
      <c r="M260" s="46" t="n">
        <f aca="false">IF(M254&gt;=0,M209,99)</f>
        <v>99</v>
      </c>
    </row>
    <row r="261" customFormat="false" ht="15" hidden="false" customHeight="false" outlineLevel="0" collapsed="false">
      <c r="A261" s="4" t="s">
        <v>517</v>
      </c>
      <c r="C261" s="23" t="n">
        <f aca="false">MIN(D256:M256)</f>
        <v>99</v>
      </c>
    </row>
    <row r="262" customFormat="false" ht="15" hidden="false" customHeight="false" outlineLevel="0" collapsed="false">
      <c r="A262" s="9" t="s">
        <v>518</v>
      </c>
      <c r="C262" s="46" t="n">
        <f aca="false">MIN(D257:M257)</f>
        <v>99</v>
      </c>
    </row>
    <row r="263" customFormat="false" ht="15" hidden="false" customHeight="false" outlineLevel="0" collapsed="false">
      <c r="A263" s="4" t="s">
        <v>519</v>
      </c>
      <c r="C263" s="23" t="n">
        <f aca="false">MIN(D258:M258)</f>
        <v>99</v>
      </c>
    </row>
    <row r="264" customFormat="false" ht="15" hidden="false" customHeight="false" outlineLevel="0" collapsed="false">
      <c r="A264" s="9" t="s">
        <v>520</v>
      </c>
      <c r="C264" s="46" t="n">
        <f aca="false">MIN(D259:M259)</f>
        <v>99</v>
      </c>
    </row>
    <row r="265" customFormat="false" ht="15" hidden="false" customHeight="false" outlineLevel="0" collapsed="false">
      <c r="A265" s="9" t="s">
        <v>521</v>
      </c>
      <c r="C265" s="46" t="n">
        <f aca="false">MIN(D260:M260)</f>
        <v>99</v>
      </c>
    </row>
    <row r="266" customFormat="false" ht="15" hidden="false" customHeight="false" outlineLevel="0" collapsed="false">
      <c r="A266" s="4" t="s">
        <v>522</v>
      </c>
      <c r="C266" s="15" t="n">
        <f aca="false">M254</f>
        <v>-11971.4416754934</v>
      </c>
    </row>
    <row r="267" customFormat="false" ht="15" hidden="false" customHeight="false" outlineLevel="0" collapsed="false">
      <c r="A267" s="9" t="s">
        <v>523</v>
      </c>
      <c r="C267" s="36" t="n">
        <f aca="false">SUMPRODUCT(D222:M222,D255:M255)</f>
        <v>246.012356322355</v>
      </c>
    </row>
    <row r="268" customFormat="false" ht="15" hidden="false" customHeight="false" outlineLevel="0" collapsed="false">
      <c r="A268" s="9" t="s">
        <v>524</v>
      </c>
      <c r="C268" s="36" t="n">
        <f aca="false">M222*(1+a_tg)/(Scenarios!$D$13-a_tg)</f>
        <v>1960.69073485824</v>
      </c>
    </row>
    <row r="269" customFormat="false" ht="15" hidden="false" customHeight="false" outlineLevel="0" collapsed="false">
      <c r="A269" s="9" t="s">
        <v>314</v>
      </c>
      <c r="C269" s="36" t="n">
        <f aca="false">C268*M255</f>
        <v>577.596644768088</v>
      </c>
    </row>
    <row r="270" customFormat="false" ht="15" hidden="false" customHeight="false" outlineLevel="0" collapsed="false">
      <c r="A270" s="4" t="s">
        <v>525</v>
      </c>
      <c r="C270" s="15" t="n">
        <f aca="false">C267+C269</f>
        <v>823.609001090443</v>
      </c>
    </row>
    <row r="271" customFormat="false" ht="15" hidden="false" customHeight="false" outlineLevel="0" collapsed="false">
      <c r="A271" s="9" t="s">
        <v>526</v>
      </c>
      <c r="C271" s="32" t="n">
        <f aca="false">SUMPRODUCT(D232:M232,D255:M255)-a_recovery*M234*M255</f>
        <v>4069.68260696466</v>
      </c>
    </row>
    <row r="272" customFormat="false" ht="15" hidden="false" customHeight="false" outlineLevel="0" collapsed="false">
      <c r="A272" s="9" t="s">
        <v>527</v>
      </c>
      <c r="C272" s="36" t="n">
        <f aca="false">SUMPRODUCT(D231:M231,D255:M255)*(1-a_tax)</f>
        <v>0</v>
      </c>
    </row>
    <row r="273" customFormat="false" ht="15" hidden="false" customHeight="false" outlineLevel="0" collapsed="false">
      <c r="A273" s="9" t="s">
        <v>528</v>
      </c>
      <c r="C273" s="36" t="n">
        <f aca="false">C230*D255</f>
        <v>141.592920353982</v>
      </c>
    </row>
    <row r="274" customFormat="false" ht="15" hidden="false" customHeight="false" outlineLevel="0" collapsed="false">
      <c r="A274" s="4" t="s">
        <v>529</v>
      </c>
      <c r="C274" s="20" t="n">
        <f aca="false">C270+C272-C271-C273-Scenarios!$D$14</f>
        <v>-7387.6665262282</v>
      </c>
    </row>
    <row r="275" customFormat="false" ht="15" hidden="false" customHeight="false" outlineLevel="0" collapsed="false">
      <c r="A275" s="9" t="s">
        <v>530</v>
      </c>
      <c r="C275" s="32" t="n">
        <f aca="false">C274+SUMPRODUCT(D251:M251,D255:M255)</f>
        <v>-7013.25572638745</v>
      </c>
    </row>
    <row r="276" customFormat="false" ht="15" hidden="false" customHeight="false" outlineLevel="0" collapsed="false">
      <c r="A276" s="4" t="s">
        <v>531</v>
      </c>
      <c r="C276" s="59" t="n">
        <f aca="false">Scenarios!$D$14/D212</f>
        <v>21.6450216450216</v>
      </c>
    </row>
    <row r="277" customFormat="false" ht="15" hidden="false" customHeight="false" outlineLevel="0" collapsed="false">
      <c r="A277" s="9" t="s">
        <v>532</v>
      </c>
      <c r="C277" s="17" t="n">
        <f aca="false">(Scenarios!$D$14+C271)/D212</f>
        <v>43.6671136740512</v>
      </c>
    </row>
    <row r="278" customFormat="false" ht="15" hidden="false" customHeight="false" outlineLevel="0" collapsed="false">
      <c r="A278" s="4" t="s">
        <v>533</v>
      </c>
      <c r="C278" s="15" t="n">
        <f aca="false">(C274+C271)/SUMPRODUCT(D255:M255)</f>
        <v>-611.469782726784</v>
      </c>
    </row>
    <row r="279" customFormat="false" ht="15" hidden="false" customHeight="false" outlineLevel="0" collapsed="false">
      <c r="A279" s="4" t="s">
        <v>534</v>
      </c>
      <c r="C279" s="25" t="n">
        <f aca="false">D242</f>
        <v>5.40686515748032</v>
      </c>
    </row>
    <row r="280" customFormat="false" ht="15" hidden="false" customHeight="false" outlineLevel="0" collapsed="false">
      <c r="A280" s="9" t="s">
        <v>535</v>
      </c>
      <c r="C280" s="50" t="n">
        <f aca="false">F242</f>
        <v>5.25882874015748</v>
      </c>
    </row>
    <row r="281" customFormat="false" ht="15" hidden="false" customHeight="false" outlineLevel="0" collapsed="false">
      <c r="A281" s="4" t="s">
        <v>536</v>
      </c>
      <c r="C281" s="20" t="n">
        <f aca="false">D250</f>
        <v>-1036.664</v>
      </c>
    </row>
    <row r="282" customFormat="false" ht="15" hidden="false" customHeight="false" outlineLevel="0" collapsed="false">
      <c r="A282" s="9" t="s">
        <v>537</v>
      </c>
      <c r="C282" s="32" t="n">
        <f aca="false">cf_cash-Scenarios!$D$10-C230</f>
        <v>6640</v>
      </c>
    </row>
    <row r="283" customFormat="false" ht="15" hidden="false" customHeight="false" outlineLevel="0" collapsed="false">
      <c r="A283" s="9" t="s">
        <v>538</v>
      </c>
      <c r="C283" s="32" t="n">
        <f aca="false">cf_debt+Scenarios!$D$11</f>
        <v>350</v>
      </c>
    </row>
    <row r="284" customFormat="false" ht="15" hidden="false" customHeight="false" outlineLevel="0" collapsed="false">
      <c r="A284" s="9" t="s">
        <v>539</v>
      </c>
      <c r="C284" s="34" t="n">
        <f aca="false">C283/cf_ebitda</f>
        <v>0.546875</v>
      </c>
    </row>
    <row r="285" customFormat="false" ht="15" hidden="false" customHeight="false" outlineLevel="0" collapsed="false">
      <c r="A285" s="9" t="s">
        <v>540</v>
      </c>
      <c r="C285" s="32" t="n">
        <f aca="false">C282+SUM(D253:F253)+3*cf_pat</f>
        <v>5385.86288</v>
      </c>
    </row>
    <row r="287" customFormat="false" ht="15" hidden="false" customHeight="false" outlineLevel="0" collapsed="false">
      <c r="A287" s="7" t="s">
        <v>870</v>
      </c>
      <c r="B287" s="8"/>
      <c r="C287" s="8"/>
      <c r="D287" s="8"/>
      <c r="E287" s="8"/>
      <c r="F287" s="8"/>
      <c r="G287" s="8"/>
      <c r="H287" s="8"/>
      <c r="I287" s="8"/>
      <c r="J287" s="8"/>
      <c r="K287" s="8"/>
      <c r="L287" s="8"/>
      <c r="M287" s="8"/>
      <c r="N287" s="8"/>
    </row>
    <row r="288" customFormat="false" ht="15" hidden="false" customHeight="false" outlineLevel="0" collapsed="false">
      <c r="A288" s="4" t="s">
        <v>284</v>
      </c>
      <c r="C288" s="39" t="n">
        <v>0</v>
      </c>
      <c r="D288" s="39" t="n">
        <v>1</v>
      </c>
      <c r="E288" s="39" t="n">
        <v>2</v>
      </c>
      <c r="F288" s="39" t="n">
        <v>3</v>
      </c>
      <c r="G288" s="39" t="n">
        <v>4</v>
      </c>
      <c r="H288" s="39" t="n">
        <v>5</v>
      </c>
      <c r="I288" s="39" t="n">
        <v>6</v>
      </c>
      <c r="J288" s="39" t="n">
        <v>7</v>
      </c>
      <c r="K288" s="39" t="n">
        <v>8</v>
      </c>
      <c r="L288" s="39" t="n">
        <v>9</v>
      </c>
      <c r="M288" s="39" t="n">
        <v>10</v>
      </c>
    </row>
    <row r="289" customFormat="false" ht="15" hidden="false" customHeight="false" outlineLevel="0" collapsed="false">
      <c r="A289" s="9" t="s">
        <v>285</v>
      </c>
      <c r="C289" s="40" t="n">
        <f aca="false">cf_arr</f>
        <v>220</v>
      </c>
      <c r="D289" s="36" t="n">
        <f aca="false">C289*(1+Scenarios!$E$6)</f>
        <v>242</v>
      </c>
      <c r="E289" s="36" t="n">
        <f aca="false">D289*(1+Scenarios!$E$6)</f>
        <v>266.2</v>
      </c>
      <c r="F289" s="36" t="n">
        <f aca="false">E289*(1+Scenarios!$E$6)</f>
        <v>292.82</v>
      </c>
      <c r="G289" s="36" t="n">
        <f aca="false">F289*(1+Scenarios!$E$6)</f>
        <v>322.102</v>
      </c>
      <c r="H289" s="36" t="n">
        <f aca="false">G289*(1+Scenarios!$E$6)</f>
        <v>354.3122</v>
      </c>
      <c r="I289" s="36" t="n">
        <f aca="false">H289*(1+Scenarios!$E$6)</f>
        <v>389.74342</v>
      </c>
      <c r="J289" s="36" t="n">
        <f aca="false">I289*(1+Scenarios!$E$6)</f>
        <v>428.717762</v>
      </c>
      <c r="K289" s="36" t="n">
        <f aca="false">J289*(1+Scenarios!$E$6)</f>
        <v>471.5895382</v>
      </c>
      <c r="L289" s="36" t="n">
        <f aca="false">K289*(1+Scenarios!$E$6)</f>
        <v>518.74849202</v>
      </c>
      <c r="M289" s="36" t="n">
        <f aca="false">L289*(1+Scenarios!$E$6)</f>
        <v>570.623341222</v>
      </c>
    </row>
    <row r="290" customFormat="false" ht="15" hidden="false" customHeight="false" outlineLevel="0" collapsed="false">
      <c r="A290" s="9" t="s">
        <v>286</v>
      </c>
      <c r="C290" s="18" t="n">
        <f aca="false">1</f>
        <v>1</v>
      </c>
      <c r="D290" s="18" t="n">
        <f aca="false">IF(D288&gt;=a_churn_year,1-Scenarios!$E$7,1)</f>
        <v>0.55</v>
      </c>
      <c r="E290" s="18" t="n">
        <f aca="false">IF(E288&gt;=a_churn_year,1-Scenarios!$E$7,1)</f>
        <v>0.55</v>
      </c>
      <c r="F290" s="18" t="n">
        <f aca="false">IF(F288&gt;=a_churn_year,1-Scenarios!$E$7,1)</f>
        <v>0.55</v>
      </c>
      <c r="G290" s="18" t="n">
        <f aca="false">IF(G288&gt;=a_churn_year,1-Scenarios!$E$7,1)</f>
        <v>0.55</v>
      </c>
      <c r="H290" s="18" t="n">
        <f aca="false">IF(H288&gt;=a_churn_year,1-Scenarios!$E$7,1)</f>
        <v>0.55</v>
      </c>
      <c r="I290" s="18" t="n">
        <f aca="false">IF(I288&gt;=a_churn_year,1-Scenarios!$E$7,1)</f>
        <v>0.55</v>
      </c>
      <c r="J290" s="18" t="n">
        <f aca="false">IF(J288&gt;=a_churn_year,1-Scenarios!$E$7,1)</f>
        <v>0.55</v>
      </c>
      <c r="K290" s="18" t="n">
        <f aca="false">IF(K288&gt;=a_churn_year,1-Scenarios!$E$7,1)</f>
        <v>0.55</v>
      </c>
      <c r="L290" s="18" t="n">
        <f aca="false">IF(L288&gt;=a_churn_year,1-Scenarios!$E$7,1)</f>
        <v>0.55</v>
      </c>
      <c r="M290" s="18" t="n">
        <f aca="false">IF(M288&gt;=a_churn_year,1-Scenarios!$E$7,1)</f>
        <v>0.55</v>
      </c>
    </row>
    <row r="291" customFormat="false" ht="15" hidden="false" customHeight="false" outlineLevel="0" collapsed="false">
      <c r="A291" s="4" t="s">
        <v>287</v>
      </c>
      <c r="C291" s="41" t="n">
        <f aca="false">C289*C290</f>
        <v>220</v>
      </c>
      <c r="D291" s="41" t="n">
        <f aca="false">D289*D290</f>
        <v>133.1</v>
      </c>
      <c r="E291" s="41" t="n">
        <f aca="false">E289*E290</f>
        <v>146.41</v>
      </c>
      <c r="F291" s="41" t="n">
        <f aca="false">F289*F290</f>
        <v>161.051</v>
      </c>
      <c r="G291" s="41" t="n">
        <f aca="false">G289*G290</f>
        <v>177.1561</v>
      </c>
      <c r="H291" s="41" t="n">
        <f aca="false">H289*H290</f>
        <v>194.87171</v>
      </c>
      <c r="I291" s="41" t="n">
        <f aca="false">I289*I290</f>
        <v>214.358881</v>
      </c>
      <c r="J291" s="41" t="n">
        <f aca="false">J289*J290</f>
        <v>235.7947691</v>
      </c>
      <c r="K291" s="41" t="n">
        <f aca="false">K289*K290</f>
        <v>259.37424601</v>
      </c>
      <c r="L291" s="41" t="n">
        <f aca="false">L289*L290</f>
        <v>285.311670611</v>
      </c>
      <c r="M291" s="41" t="n">
        <f aca="false">M289*M290</f>
        <v>313.8428376721</v>
      </c>
    </row>
    <row r="292" customFormat="false" ht="15" hidden="false" customHeight="false" outlineLevel="0" collapsed="false">
      <c r="A292" s="9" t="s">
        <v>288</v>
      </c>
      <c r="C292" s="18" t="n">
        <f aca="false">MIN(a_m0+a_mstep*C288,a_mcap)</f>
        <v>0</v>
      </c>
      <c r="D292" s="18" t="n">
        <f aca="false">MIN(a_m0+a_mstep*D288,a_mcap)</f>
        <v>0.05</v>
      </c>
      <c r="E292" s="18" t="n">
        <f aca="false">MIN(a_m0+a_mstep*E288,a_mcap)</f>
        <v>0.1</v>
      </c>
      <c r="F292" s="18" t="n">
        <f aca="false">MIN(a_m0+a_mstep*F288,a_mcap)</f>
        <v>0.15</v>
      </c>
      <c r="G292" s="18" t="n">
        <f aca="false">MIN(a_m0+a_mstep*G288,a_mcap)</f>
        <v>0.2</v>
      </c>
      <c r="H292" s="18" t="n">
        <f aca="false">MIN(a_m0+a_mstep*H288,a_mcap)</f>
        <v>0.25</v>
      </c>
      <c r="I292" s="18" t="n">
        <f aca="false">MIN(a_m0+a_mstep*I288,a_mcap)</f>
        <v>0.25</v>
      </c>
      <c r="J292" s="18" t="n">
        <f aca="false">MIN(a_m0+a_mstep*J288,a_mcap)</f>
        <v>0.25</v>
      </c>
      <c r="K292" s="18" t="n">
        <f aca="false">MIN(a_m0+a_mstep*K288,a_mcap)</f>
        <v>0.25</v>
      </c>
      <c r="L292" s="18" t="n">
        <f aca="false">MIN(a_m0+a_mstep*L288,a_mcap)</f>
        <v>0.25</v>
      </c>
      <c r="M292" s="18" t="n">
        <f aca="false">MIN(a_m0+a_mstep*M288,a_mcap)</f>
        <v>0.25</v>
      </c>
    </row>
    <row r="293" customFormat="false" ht="15" hidden="false" customHeight="false" outlineLevel="0" collapsed="false">
      <c r="A293" s="9" t="s">
        <v>289</v>
      </c>
      <c r="C293" s="36" t="n">
        <f aca="false">IF(C288=a_churn_year,a_sticky*(C289-C291)*(1-C292),0)</f>
        <v>0</v>
      </c>
      <c r="D293" s="36" t="n">
        <f aca="false">IF(D288=a_churn_year,a_sticky*(D289-D291)*(1-D292),0)</f>
        <v>51.7275</v>
      </c>
      <c r="E293" s="36" t="n">
        <f aca="false">IF(E288=a_churn_year,a_sticky*(E289-E291)*(1-E292),0)</f>
        <v>0</v>
      </c>
      <c r="F293" s="36" t="n">
        <f aca="false">IF(F288=a_churn_year,a_sticky*(F289-F291)*(1-F292),0)</f>
        <v>0</v>
      </c>
      <c r="G293" s="36" t="n">
        <f aca="false">IF(G288=a_churn_year,a_sticky*(G289-G291)*(1-G292),0)</f>
        <v>0</v>
      </c>
      <c r="H293" s="36" t="n">
        <f aca="false">IF(H288=a_churn_year,a_sticky*(H289-H291)*(1-H292),0)</f>
        <v>0</v>
      </c>
      <c r="I293" s="36" t="n">
        <f aca="false">IF(I288=a_churn_year,a_sticky*(I289-I291)*(1-I292),0)</f>
        <v>0</v>
      </c>
      <c r="J293" s="36" t="n">
        <f aca="false">IF(J288=a_churn_year,a_sticky*(J289-J291)*(1-J292),0)</f>
        <v>0</v>
      </c>
      <c r="K293" s="36" t="n">
        <f aca="false">IF(K288=a_churn_year,a_sticky*(K289-K291)*(1-K292),0)</f>
        <v>0</v>
      </c>
      <c r="L293" s="36" t="n">
        <f aca="false">IF(L288=a_churn_year,a_sticky*(L289-L291)*(1-L292),0)</f>
        <v>0</v>
      </c>
      <c r="M293" s="36" t="n">
        <f aca="false">IF(M288=a_churn_year,a_sticky*(M289-M291)*(1-M292),0)</f>
        <v>0</v>
      </c>
    </row>
    <row r="294" customFormat="false" ht="15" hidden="false" customHeight="false" outlineLevel="0" collapsed="false">
      <c r="A294" s="4" t="s">
        <v>290</v>
      </c>
      <c r="C294" s="41" t="n">
        <f aca="false">C291*C292-C293</f>
        <v>0</v>
      </c>
      <c r="D294" s="41" t="n">
        <f aca="false">D291*D292-D293</f>
        <v>-45.0725</v>
      </c>
      <c r="E294" s="41" t="n">
        <f aca="false">E291*E292-E293</f>
        <v>14.641</v>
      </c>
      <c r="F294" s="41" t="n">
        <f aca="false">F291*F292-F293</f>
        <v>24.15765</v>
      </c>
      <c r="G294" s="41" t="n">
        <f aca="false">G291*G292-G293</f>
        <v>35.43122</v>
      </c>
      <c r="H294" s="41" t="n">
        <f aca="false">H291*H292-H293</f>
        <v>48.7179275</v>
      </c>
      <c r="I294" s="41" t="n">
        <f aca="false">I291*I292-I293</f>
        <v>53.58972025</v>
      </c>
      <c r="J294" s="41" t="n">
        <f aca="false">J291*J292-J293</f>
        <v>58.948692275</v>
      </c>
      <c r="K294" s="41" t="n">
        <f aca="false">K291*K292-K293</f>
        <v>64.8435615025</v>
      </c>
      <c r="L294" s="41" t="n">
        <f aca="false">L291*L292-L293</f>
        <v>71.3279176527501</v>
      </c>
      <c r="M294" s="41" t="n">
        <f aca="false">M291*M292-M293</f>
        <v>78.4607094180251</v>
      </c>
    </row>
    <row r="295" customFormat="false" ht="15" hidden="false" customHeight="false" outlineLevel="0" collapsed="false">
      <c r="A295" s="9" t="s">
        <v>291</v>
      </c>
      <c r="C295" s="36" t="n">
        <f aca="false">C291*a_da</f>
        <v>6.6</v>
      </c>
      <c r="D295" s="36" t="n">
        <f aca="false">D291*a_da</f>
        <v>3.993</v>
      </c>
      <c r="E295" s="36" t="n">
        <f aca="false">E291*a_da</f>
        <v>4.3923</v>
      </c>
      <c r="F295" s="36" t="n">
        <f aca="false">F291*a_da</f>
        <v>4.83153</v>
      </c>
      <c r="G295" s="36" t="n">
        <f aca="false">G291*a_da</f>
        <v>5.314683</v>
      </c>
      <c r="H295" s="36" t="n">
        <f aca="false">H291*a_da</f>
        <v>5.8461513</v>
      </c>
      <c r="I295" s="36" t="n">
        <f aca="false">I291*a_da</f>
        <v>6.43076643</v>
      </c>
      <c r="J295" s="36" t="n">
        <f aca="false">J291*a_da</f>
        <v>7.073843073</v>
      </c>
      <c r="K295" s="36" t="n">
        <f aca="false">K291*a_da</f>
        <v>7.7812273803</v>
      </c>
      <c r="L295" s="36" t="n">
        <f aca="false">L291*a_da</f>
        <v>8.55935011833001</v>
      </c>
      <c r="M295" s="36" t="n">
        <f aca="false">M291*a_da</f>
        <v>9.41528513016301</v>
      </c>
    </row>
    <row r="296" customFormat="false" ht="15" hidden="false" customHeight="false" outlineLevel="0" collapsed="false">
      <c r="A296" s="9" t="s">
        <v>292</v>
      </c>
      <c r="C296" s="36" t="n">
        <f aca="false">C294-C295</f>
        <v>-6.6</v>
      </c>
      <c r="D296" s="36" t="n">
        <f aca="false">D294-D295</f>
        <v>-49.0655</v>
      </c>
      <c r="E296" s="36" t="n">
        <f aca="false">E294-E295</f>
        <v>10.2487</v>
      </c>
      <c r="F296" s="36" t="n">
        <f aca="false">F294-F295</f>
        <v>19.32612</v>
      </c>
      <c r="G296" s="36" t="n">
        <f aca="false">G294-G295</f>
        <v>30.116537</v>
      </c>
      <c r="H296" s="36" t="n">
        <f aca="false">H294-H295</f>
        <v>42.8717762</v>
      </c>
      <c r="I296" s="36" t="n">
        <f aca="false">I294-I295</f>
        <v>47.15895382</v>
      </c>
      <c r="J296" s="36" t="n">
        <f aca="false">J294-J295</f>
        <v>51.874849202</v>
      </c>
      <c r="K296" s="36" t="n">
        <f aca="false">K294-K295</f>
        <v>57.0623341222</v>
      </c>
      <c r="L296" s="36" t="n">
        <f aca="false">L294-L295</f>
        <v>62.76856753442</v>
      </c>
      <c r="M296" s="36" t="n">
        <f aca="false">M294-M295</f>
        <v>69.0454242878621</v>
      </c>
    </row>
    <row r="297" customFormat="false" ht="15" hidden="false" customHeight="false" outlineLevel="0" collapsed="false">
      <c r="A297" s="9" t="s">
        <v>293</v>
      </c>
      <c r="C297" s="36" t="n">
        <f aca="false">MAX(0,C296)*a_tax</f>
        <v>0</v>
      </c>
      <c r="D297" s="36" t="n">
        <f aca="false">MAX(0,D296)*a_tax</f>
        <v>0</v>
      </c>
      <c r="E297" s="36" t="n">
        <f aca="false">MAX(0,E296)*a_tax</f>
        <v>2.562175</v>
      </c>
      <c r="F297" s="36" t="n">
        <f aca="false">MAX(0,F296)*a_tax</f>
        <v>4.83153</v>
      </c>
      <c r="G297" s="36" t="n">
        <f aca="false">MAX(0,G296)*a_tax</f>
        <v>7.52913425</v>
      </c>
      <c r="H297" s="36" t="n">
        <f aca="false">MAX(0,H296)*a_tax</f>
        <v>10.71794405</v>
      </c>
      <c r="I297" s="36" t="n">
        <f aca="false">MAX(0,I296)*a_tax</f>
        <v>11.789738455</v>
      </c>
      <c r="J297" s="36" t="n">
        <f aca="false">MAX(0,J296)*a_tax</f>
        <v>12.9687123005</v>
      </c>
      <c r="K297" s="36" t="n">
        <f aca="false">MAX(0,K296)*a_tax</f>
        <v>14.26558353055</v>
      </c>
      <c r="L297" s="36" t="n">
        <f aca="false">MAX(0,L296)*a_tax</f>
        <v>15.692141883605</v>
      </c>
      <c r="M297" s="36" t="n">
        <f aca="false">MAX(0,M296)*a_tax</f>
        <v>17.2613560719655</v>
      </c>
    </row>
    <row r="298" customFormat="false" ht="15" hidden="false" customHeight="false" outlineLevel="0" collapsed="false">
      <c r="A298" s="4" t="s">
        <v>294</v>
      </c>
      <c r="C298" s="42" t="n">
        <f aca="false">cf_lim_pat</f>
        <v>0</v>
      </c>
      <c r="D298" s="41" t="n">
        <f aca="false">D296-D297</f>
        <v>-49.0655</v>
      </c>
      <c r="E298" s="41" t="n">
        <f aca="false">E296-E297</f>
        <v>7.686525</v>
      </c>
      <c r="F298" s="41" t="n">
        <f aca="false">F296-F297</f>
        <v>14.49459</v>
      </c>
      <c r="G298" s="41" t="n">
        <f aca="false">G296-G297</f>
        <v>22.58740275</v>
      </c>
      <c r="H298" s="41" t="n">
        <f aca="false">H296-H297</f>
        <v>32.15383215</v>
      </c>
      <c r="I298" s="41" t="n">
        <f aca="false">I296-I297</f>
        <v>35.369215365</v>
      </c>
      <c r="J298" s="41" t="n">
        <f aca="false">J296-J297</f>
        <v>38.9061369015</v>
      </c>
      <c r="K298" s="41" t="n">
        <f aca="false">K296-K297</f>
        <v>42.79675059165</v>
      </c>
      <c r="L298" s="41" t="n">
        <f aca="false">L296-L297</f>
        <v>47.076425650815</v>
      </c>
      <c r="M298" s="41" t="n">
        <f aca="false">M296-M297</f>
        <v>51.7840682158965</v>
      </c>
    </row>
    <row r="299" customFormat="false" ht="15" hidden="false" customHeight="false" outlineLevel="0" collapsed="false">
      <c r="A299" s="9" t="s">
        <v>295</v>
      </c>
      <c r="C299" s="36" t="n">
        <f aca="false">C291*a_capex</f>
        <v>6.6</v>
      </c>
      <c r="D299" s="36" t="n">
        <f aca="false">D291*a_capex</f>
        <v>3.993</v>
      </c>
      <c r="E299" s="36" t="n">
        <f aca="false">E291*a_capex</f>
        <v>4.3923</v>
      </c>
      <c r="F299" s="36" t="n">
        <f aca="false">F291*a_capex</f>
        <v>4.83153</v>
      </c>
      <c r="G299" s="36" t="n">
        <f aca="false">G291*a_capex</f>
        <v>5.314683</v>
      </c>
      <c r="H299" s="36" t="n">
        <f aca="false">H291*a_capex</f>
        <v>5.8461513</v>
      </c>
      <c r="I299" s="36" t="n">
        <f aca="false">I291*a_capex</f>
        <v>6.43076643</v>
      </c>
      <c r="J299" s="36" t="n">
        <f aca="false">J291*a_capex</f>
        <v>7.073843073</v>
      </c>
      <c r="K299" s="36" t="n">
        <f aca="false">K291*a_capex</f>
        <v>7.7812273803</v>
      </c>
      <c r="L299" s="36" t="n">
        <f aca="false">L291*a_capex</f>
        <v>8.55935011833001</v>
      </c>
      <c r="M299" s="36" t="n">
        <f aca="false">M291*a_capex</f>
        <v>9.41528513016301</v>
      </c>
    </row>
    <row r="300" customFormat="false" ht="15" hidden="false" customHeight="false" outlineLevel="0" collapsed="false">
      <c r="A300" s="9" t="s">
        <v>296</v>
      </c>
      <c r="C300" s="36" t="n">
        <f aca="false">0</f>
        <v>0</v>
      </c>
      <c r="D300" s="36" t="n">
        <f aca="false">a_wc*(D291-C291)</f>
        <v>-4.345</v>
      </c>
      <c r="E300" s="36" t="n">
        <f aca="false">a_wc*(E291-D291)</f>
        <v>0.6655</v>
      </c>
      <c r="F300" s="36" t="n">
        <f aca="false">a_wc*(F291-E291)</f>
        <v>0.732050000000001</v>
      </c>
      <c r="G300" s="36" t="n">
        <f aca="false">a_wc*(G291-F291)</f>
        <v>0.805255000000001</v>
      </c>
      <c r="H300" s="36" t="n">
        <f aca="false">a_wc*(H291-G291)</f>
        <v>0.885780500000001</v>
      </c>
      <c r="I300" s="36" t="n">
        <f aca="false">a_wc*(I291-H291)</f>
        <v>0.974358550000001</v>
      </c>
      <c r="J300" s="36" t="n">
        <f aca="false">a_wc*(J291-I291)</f>
        <v>1.071794405</v>
      </c>
      <c r="K300" s="36" t="n">
        <f aca="false">a_wc*(K291-J291)</f>
        <v>1.1789738455</v>
      </c>
      <c r="L300" s="36" t="n">
        <f aca="false">a_wc*(L291-K291)</f>
        <v>1.29687123005</v>
      </c>
      <c r="M300" s="36" t="n">
        <f aca="false">a_wc*(M291-L291)</f>
        <v>1.426558353055</v>
      </c>
    </row>
    <row r="301" customFormat="false" ht="15" hidden="false" customHeight="false" outlineLevel="0" collapsed="false">
      <c r="A301" s="4" t="s">
        <v>297</v>
      </c>
      <c r="C301" s="36" t="n">
        <f aca="false">0</f>
        <v>0</v>
      </c>
      <c r="D301" s="41" t="n">
        <f aca="false">D298+D295-D299-D300</f>
        <v>-44.7205</v>
      </c>
      <c r="E301" s="41" t="n">
        <f aca="false">E298+E295-E299-E300</f>
        <v>7.021025</v>
      </c>
      <c r="F301" s="41" t="n">
        <f aca="false">F298+F295-F299-F300</f>
        <v>13.76254</v>
      </c>
      <c r="G301" s="41" t="n">
        <f aca="false">G298+G295-G299-G300</f>
        <v>21.78214775</v>
      </c>
      <c r="H301" s="41" t="n">
        <f aca="false">H298+H295-H299-H300</f>
        <v>31.26805165</v>
      </c>
      <c r="I301" s="41" t="n">
        <f aca="false">I298+I295-I299-I300</f>
        <v>34.394856815</v>
      </c>
      <c r="J301" s="41" t="n">
        <f aca="false">J298+J295-J299-J300</f>
        <v>37.8343424965</v>
      </c>
      <c r="K301" s="41" t="n">
        <f aca="false">K298+K295-K299-K300</f>
        <v>41.61777674615</v>
      </c>
      <c r="L301" s="41" t="n">
        <f aca="false">L298+L295-L299-L300</f>
        <v>45.779554420765</v>
      </c>
      <c r="M301" s="41" t="n">
        <f aca="false">M298+M295-M299-M300</f>
        <v>50.3575098628415</v>
      </c>
    </row>
    <row r="303" customFormat="false" ht="15" hidden="false" customHeight="false" outlineLevel="0" collapsed="false">
      <c r="A303" s="7" t="s">
        <v>871</v>
      </c>
      <c r="B303" s="8"/>
      <c r="C303" s="8"/>
      <c r="D303" s="8"/>
      <c r="E303" s="8"/>
      <c r="F303" s="8"/>
      <c r="G303" s="8"/>
      <c r="H303" s="8"/>
      <c r="I303" s="8"/>
      <c r="J303" s="8"/>
      <c r="K303" s="8"/>
      <c r="L303" s="8"/>
      <c r="M303" s="8"/>
      <c r="N303" s="8"/>
    </row>
    <row r="304" customFormat="false" ht="15" hidden="false" customHeight="false" outlineLevel="0" collapsed="false">
      <c r="A304" s="9" t="s">
        <v>482</v>
      </c>
      <c r="C304" s="35" t="n">
        <f aca="false">Scenarios!$E$12/(c_price*(1-a_issue_disc))</f>
        <v>1.024</v>
      </c>
    </row>
    <row r="305" customFormat="false" ht="15" hidden="false" customHeight="false" outlineLevel="0" collapsed="false">
      <c r="A305" s="9" t="s">
        <v>449</v>
      </c>
      <c r="C305" s="35" t="n">
        <f aca="false">cf_shares+C304</f>
        <v>65.024</v>
      </c>
    </row>
    <row r="306" customFormat="false" ht="15" hidden="false" customHeight="false" outlineLevel="0" collapsed="false">
      <c r="A306" s="9" t="s">
        <v>483</v>
      </c>
      <c r="C306" s="36" t="n">
        <f aca="false">Scenarios!$E$10*a_yield*(1-a_tax)+Scenarios!$E$11*a_kd*(1-a_tax)</f>
        <v>94.5</v>
      </c>
    </row>
    <row r="307" customFormat="false" ht="15" hidden="false" customHeight="false" outlineLevel="0" collapsed="false">
      <c r="A307" s="9" t="s">
        <v>484</v>
      </c>
      <c r="C307" s="36" t="n">
        <f aca="false">Scenarios!$E$14*a_ppa_share/a_ppa_life*(1-a_tax)</f>
        <v>93.75</v>
      </c>
    </row>
    <row r="308" customFormat="false" ht="15" hidden="false" customHeight="false" outlineLevel="0" collapsed="false">
      <c r="A308" s="9" t="s">
        <v>485</v>
      </c>
      <c r="C308" s="36" t="n">
        <f aca="false">a_ppa_on*C307</f>
        <v>0</v>
      </c>
    </row>
    <row r="309" customFormat="false" ht="15" hidden="false" customHeight="false" outlineLevel="0" collapsed="false">
      <c r="A309" s="9" t="s">
        <v>486</v>
      </c>
      <c r="C309" s="36" t="n">
        <f aca="false">Scenarios!$E$14*a_fees_pct+a_integ_full</f>
        <v>160</v>
      </c>
    </row>
    <row r="310" customFormat="false" ht="15" hidden="false" customHeight="false" outlineLevel="0" collapsed="false">
      <c r="A310" s="9" t="s">
        <v>487</v>
      </c>
      <c r="C310" s="36" t="n">
        <f aca="false">0</f>
        <v>0</v>
      </c>
      <c r="D310" s="36" t="n">
        <f aca="false">a_syn_on*(a_syn_partner_rev_y3+a_syn_xsell_y3)*a_mcap*IF(D288=1,a_syn_ramp1,IF(D288=2,a_syn_ramp2,1))+a_syn_on*IF(D288&gt;=2,a_syn_cost,0)</f>
        <v>0</v>
      </c>
      <c r="E310" s="36" t="n">
        <f aca="false">a_syn_on*(a_syn_partner_rev_y3+a_syn_xsell_y3)*a_mcap*IF(E288=1,a_syn_ramp1,IF(E288=2,a_syn_ramp2,1))+a_syn_on*IF(E288&gt;=2,a_syn_cost,0)</f>
        <v>0</v>
      </c>
      <c r="F310" s="36" t="n">
        <f aca="false">a_syn_on*(a_syn_partner_rev_y3+a_syn_xsell_y3)*a_mcap*IF(F288=1,a_syn_ramp1,IF(F288=2,a_syn_ramp2,1))+a_syn_on*IF(F288&gt;=2,a_syn_cost,0)</f>
        <v>0</v>
      </c>
      <c r="G310" s="36" t="n">
        <f aca="false">a_syn_on*(a_syn_partner_rev_y3+a_syn_xsell_y3)*a_mcap*IF(G288=1,a_syn_ramp1,IF(G288=2,a_syn_ramp2,1))+a_syn_on*IF(G288&gt;=2,a_syn_cost,0)</f>
        <v>0</v>
      </c>
      <c r="H310" s="36" t="n">
        <f aca="false">a_syn_on*(a_syn_partner_rev_y3+a_syn_xsell_y3)*a_mcap*IF(H288=1,a_syn_ramp1,IF(H288=2,a_syn_ramp2,1))+a_syn_on*IF(H288&gt;=2,a_syn_cost,0)</f>
        <v>0</v>
      </c>
      <c r="I310" s="36" t="n">
        <f aca="false">a_syn_on*(a_syn_partner_rev_y3+a_syn_xsell_y3)*a_mcap*IF(I288=1,a_syn_ramp1,IF(I288=2,a_syn_ramp2,1))+a_syn_on*IF(I288&gt;=2,a_syn_cost,0)</f>
        <v>0</v>
      </c>
      <c r="J310" s="36" t="n">
        <f aca="false">a_syn_on*(a_syn_partner_rev_y3+a_syn_xsell_y3)*a_mcap*IF(J288=1,a_syn_ramp1,IF(J288=2,a_syn_ramp2,1))+a_syn_on*IF(J288&gt;=2,a_syn_cost,0)</f>
        <v>0</v>
      </c>
      <c r="K310" s="36" t="n">
        <f aca="false">a_syn_on*(a_syn_partner_rev_y3+a_syn_xsell_y3)*a_mcap*IF(K288=1,a_syn_ramp1,IF(K288=2,a_syn_ramp2,1))+a_syn_on*IF(K288&gt;=2,a_syn_cost,0)</f>
        <v>0</v>
      </c>
      <c r="L310" s="36" t="n">
        <f aca="false">a_syn_on*(a_syn_partner_rev_y3+a_syn_xsell_y3)*a_mcap*IF(L288=1,a_syn_ramp1,IF(L288=2,a_syn_ramp2,1))+a_syn_on*IF(L288&gt;=2,a_syn_cost,0)</f>
        <v>0</v>
      </c>
      <c r="M310" s="36" t="n">
        <f aca="false">a_syn_on*(a_syn_partner_rev_y3+a_syn_xsell_y3)*a_mcap*IF(M288=1,a_syn_ramp1,IF(M288=2,a_syn_ramp2,1))+a_syn_on*IF(M288&gt;=2,a_syn_cost,0)</f>
        <v>0</v>
      </c>
    </row>
    <row r="311" customFormat="false" ht="15" hidden="false" customHeight="false" outlineLevel="0" collapsed="false">
      <c r="A311" s="9" t="s">
        <v>488</v>
      </c>
      <c r="C311" s="36" t="n">
        <f aca="false">0</f>
        <v>0</v>
      </c>
      <c r="D311" s="36" t="n">
        <f aca="false">CHOOSE(Scenarios!$E$9,Scenarios!$E$8,Scenarios!$E$8*D291/cf_arr,Scenarios!$E$8*(1-a_tax))</f>
        <v>1000</v>
      </c>
      <c r="E311" s="36" t="n">
        <f aca="false">CHOOSE(Scenarios!$E$9,Scenarios!$E$8,Scenarios!$E$8*E291/cf_arr,Scenarios!$E$8*(1-a_tax))</f>
        <v>1000</v>
      </c>
      <c r="F311" s="36" t="n">
        <f aca="false">CHOOSE(Scenarios!$E$9,Scenarios!$E$8,Scenarios!$E$8*F291/cf_arr,Scenarios!$E$8*(1-a_tax))</f>
        <v>1000</v>
      </c>
      <c r="G311" s="36" t="n">
        <f aca="false">CHOOSE(Scenarios!$E$9,Scenarios!$E$8,Scenarios!$E$8*G291/cf_arr,Scenarios!$E$8*(1-a_tax))</f>
        <v>1000</v>
      </c>
      <c r="H311" s="36" t="n">
        <f aca="false">CHOOSE(Scenarios!$E$9,Scenarios!$E$8,Scenarios!$E$8*H291/cf_arr,Scenarios!$E$8*(1-a_tax))</f>
        <v>1000</v>
      </c>
      <c r="I311" s="36" t="n">
        <f aca="false">CHOOSE(Scenarios!$E$9,Scenarios!$E$8,Scenarios!$E$8*I291/cf_arr,Scenarios!$E$8*(1-a_tax))</f>
        <v>1000</v>
      </c>
      <c r="J311" s="36" t="n">
        <f aca="false">CHOOSE(Scenarios!$E$9,Scenarios!$E$8,Scenarios!$E$8*J291/cf_arr,Scenarios!$E$8*(1-a_tax))</f>
        <v>1000</v>
      </c>
      <c r="K311" s="36" t="n">
        <f aca="false">CHOOSE(Scenarios!$E$9,Scenarios!$E$8,Scenarios!$E$8*K291/cf_arr,Scenarios!$E$8*(1-a_tax))</f>
        <v>1000</v>
      </c>
      <c r="L311" s="36" t="n">
        <f aca="false">CHOOSE(Scenarios!$E$9,Scenarios!$E$8,Scenarios!$E$8*L291/cf_arr,Scenarios!$E$8*(1-a_tax))</f>
        <v>1000</v>
      </c>
      <c r="M311" s="36" t="n">
        <f aca="false">CHOOSE(Scenarios!$E$9,Scenarios!$E$8,Scenarios!$E$8*M291/cf_arr,Scenarios!$E$8*(1-a_tax))</f>
        <v>1000</v>
      </c>
    </row>
    <row r="312" customFormat="false" ht="15" hidden="false" customHeight="false" outlineLevel="0" collapsed="false">
      <c r="A312" s="9" t="s">
        <v>489</v>
      </c>
      <c r="C312" s="36" t="n">
        <f aca="false">0</f>
        <v>0</v>
      </c>
      <c r="D312" s="36" t="n">
        <f aca="false">IF(Scenarios!$E$9=3,Scenarios!$E$8*(1-a_tax),0)</f>
        <v>0</v>
      </c>
      <c r="E312" s="36" t="n">
        <f aca="false">IF(Scenarios!$E$9=3,Scenarios!$E$8*(1-a_tax),0)</f>
        <v>0</v>
      </c>
      <c r="F312" s="36" t="n">
        <f aca="false">IF(Scenarios!$E$9=3,Scenarios!$E$8*(1-a_tax),0)</f>
        <v>0</v>
      </c>
      <c r="G312" s="36" t="n">
        <f aca="false">IF(Scenarios!$E$9=3,Scenarios!$E$8*(1-a_tax),0)</f>
        <v>0</v>
      </c>
      <c r="H312" s="36" t="n">
        <f aca="false">IF(Scenarios!$E$9=3,Scenarios!$E$8*(1-a_tax),0)</f>
        <v>0</v>
      </c>
      <c r="I312" s="36" t="n">
        <f aca="false">IF(Scenarios!$E$9=3,Scenarios!$E$8*(1-a_tax),0)</f>
        <v>0</v>
      </c>
      <c r="J312" s="36" t="n">
        <f aca="false">IF(Scenarios!$E$9=3,Scenarios!$E$8*(1-a_tax),0)</f>
        <v>0</v>
      </c>
      <c r="K312" s="36" t="n">
        <f aca="false">IF(Scenarios!$E$9=3,Scenarios!$E$8*(1-a_tax),0)</f>
        <v>0</v>
      </c>
      <c r="L312" s="36" t="n">
        <f aca="false">IF(Scenarios!$E$9=3,Scenarios!$E$8*(1-a_tax),0)</f>
        <v>0</v>
      </c>
      <c r="M312" s="36" t="n">
        <f aca="false">IF(Scenarios!$E$9=3,Scenarios!$E$8*(1-a_tax),0)</f>
        <v>0</v>
      </c>
    </row>
    <row r="313" customFormat="false" ht="15" hidden="false" customHeight="false" outlineLevel="0" collapsed="false">
      <c r="A313" s="9" t="s">
        <v>490</v>
      </c>
      <c r="C313" s="36" t="n">
        <f aca="false">0</f>
        <v>0</v>
      </c>
      <c r="D313" s="36" t="n">
        <f aca="false">IF(Scenarios!$E$9=3,0,C313+D311)</f>
        <v>1000</v>
      </c>
      <c r="E313" s="36" t="n">
        <f aca="false">IF(Scenarios!$E$9=3,0,D313+E311)</f>
        <v>2000</v>
      </c>
      <c r="F313" s="36" t="n">
        <f aca="false">IF(Scenarios!$E$9=3,0,E313+F311)</f>
        <v>3000</v>
      </c>
      <c r="G313" s="36" t="n">
        <f aca="false">IF(Scenarios!$E$9=3,0,F313+G311)</f>
        <v>4000</v>
      </c>
      <c r="H313" s="36" t="n">
        <f aca="false">IF(Scenarios!$E$9=3,0,G313+H311)</f>
        <v>5000</v>
      </c>
      <c r="I313" s="36" t="n">
        <f aca="false">IF(Scenarios!$E$9=3,0,H313+I311)</f>
        <v>6000</v>
      </c>
      <c r="J313" s="36" t="n">
        <f aca="false">IF(Scenarios!$E$9=3,0,I313+J311)</f>
        <v>7000</v>
      </c>
      <c r="K313" s="36" t="n">
        <f aca="false">IF(Scenarios!$E$9=3,0,J313+K311)</f>
        <v>8000</v>
      </c>
      <c r="L313" s="36" t="n">
        <f aca="false">IF(Scenarios!$E$9=3,0,K313+L311)</f>
        <v>9000</v>
      </c>
      <c r="M313" s="36" t="n">
        <f aca="false">IF(Scenarios!$E$9=3,0,L313+M311)</f>
        <v>10000</v>
      </c>
    </row>
    <row r="314" customFormat="false" ht="15" hidden="false" customHeight="false" outlineLevel="0" collapsed="false">
      <c r="A314" s="9" t="s">
        <v>491</v>
      </c>
      <c r="C314" s="36" t="n">
        <f aca="false">0</f>
        <v>0</v>
      </c>
      <c r="D314" s="36" t="n">
        <f aca="false">C313*a_yield*(1-a_tax)</f>
        <v>0</v>
      </c>
      <c r="E314" s="36" t="n">
        <f aca="false">D313*a_yield*(1-a_tax)</f>
        <v>45</v>
      </c>
      <c r="F314" s="36" t="n">
        <f aca="false">E313*a_yield*(1-a_tax)</f>
        <v>90</v>
      </c>
      <c r="G314" s="36" t="n">
        <f aca="false">F313*a_yield*(1-a_tax)</f>
        <v>135</v>
      </c>
      <c r="H314" s="36" t="n">
        <f aca="false">G313*a_yield*(1-a_tax)</f>
        <v>180</v>
      </c>
      <c r="I314" s="36" t="n">
        <f aca="false">H313*a_yield*(1-a_tax)</f>
        <v>225</v>
      </c>
      <c r="J314" s="36" t="n">
        <f aca="false">I313*a_yield*(1-a_tax)</f>
        <v>270</v>
      </c>
      <c r="K314" s="36" t="n">
        <f aca="false">J313*a_yield*(1-a_tax)</f>
        <v>315</v>
      </c>
      <c r="L314" s="36" t="n">
        <f aca="false">K313*a_yield*(1-a_tax)</f>
        <v>360</v>
      </c>
      <c r="M314" s="36" t="n">
        <f aca="false">L313*a_yield*(1-a_tax)</f>
        <v>405</v>
      </c>
    </row>
    <row r="315" customFormat="false" ht="15" hidden="false" customHeight="false" outlineLevel="0" collapsed="false">
      <c r="A315" s="9" t="s">
        <v>492</v>
      </c>
      <c r="C315" s="36" t="n">
        <f aca="false">cf_pat</f>
        <v>480</v>
      </c>
      <c r="D315" s="36" t="n">
        <f aca="false">cf_pat*(1+a_pat_growth)^D288</f>
        <v>480</v>
      </c>
      <c r="E315" s="36" t="n">
        <f aca="false">cf_pat*(1+a_pat_growth)^E288</f>
        <v>480</v>
      </c>
      <c r="F315" s="36" t="n">
        <f aca="false">cf_pat*(1+a_pat_growth)^F288</f>
        <v>480</v>
      </c>
      <c r="G315" s="36" t="n">
        <f aca="false">cf_pat*(1+a_pat_growth)^G288</f>
        <v>480</v>
      </c>
      <c r="H315" s="36" t="n">
        <f aca="false">cf_pat*(1+a_pat_growth)^H288</f>
        <v>480</v>
      </c>
      <c r="I315" s="36" t="n">
        <f aca="false">cf_pat*(1+a_pat_growth)^I288</f>
        <v>480</v>
      </c>
      <c r="J315" s="36" t="n">
        <f aca="false">cf_pat*(1+a_pat_growth)^J288</f>
        <v>480</v>
      </c>
      <c r="K315" s="36" t="n">
        <f aca="false">cf_pat*(1+a_pat_growth)^K288</f>
        <v>480</v>
      </c>
      <c r="L315" s="36" t="n">
        <f aca="false">cf_pat*(1+a_pat_growth)^L288</f>
        <v>480</v>
      </c>
      <c r="M315" s="36" t="n">
        <f aca="false">cf_pat*(1+a_pat_growth)^M288</f>
        <v>480</v>
      </c>
    </row>
    <row r="316" customFormat="false" ht="15" hidden="false" customHeight="false" outlineLevel="0" collapsed="false">
      <c r="A316" s="9" t="s">
        <v>493</v>
      </c>
      <c r="C316" s="36" t="n">
        <f aca="false">0</f>
        <v>0</v>
      </c>
      <c r="D316" s="36" t="n">
        <f aca="false">cf_mdr*a_mdr_flow*(1-a_tax)</f>
        <v>69</v>
      </c>
      <c r="E316" s="36" t="n">
        <f aca="false">cf_mdr*a_mdr_flow*(1-a_tax)</f>
        <v>69</v>
      </c>
      <c r="F316" s="36" t="n">
        <f aca="false">cf_mdr*a_mdr_flow*(1-a_tax)</f>
        <v>69</v>
      </c>
      <c r="G316" s="36" t="n">
        <f aca="false">cf_mdr*a_mdr_flow*(1-a_tax)</f>
        <v>69</v>
      </c>
      <c r="H316" s="36" t="n">
        <f aca="false">cf_mdr*a_mdr_flow*(1-a_tax)</f>
        <v>69</v>
      </c>
      <c r="I316" s="36" t="n">
        <f aca="false">cf_mdr*a_mdr_flow*(1-a_tax)</f>
        <v>69</v>
      </c>
      <c r="J316" s="36" t="n">
        <f aca="false">cf_mdr*a_mdr_flow*(1-a_tax)</f>
        <v>69</v>
      </c>
      <c r="K316" s="36" t="n">
        <f aca="false">cf_mdr*a_mdr_flow*(1-a_tax)</f>
        <v>69</v>
      </c>
      <c r="L316" s="36" t="n">
        <f aca="false">cf_mdr*a_mdr_flow*(1-a_tax)</f>
        <v>69</v>
      </c>
      <c r="M316" s="36" t="n">
        <f aca="false">cf_mdr*a_mdr_flow*(1-a_tax)</f>
        <v>69</v>
      </c>
    </row>
    <row r="317" customFormat="false" ht="15" hidden="false" customHeight="false" outlineLevel="0" collapsed="false">
      <c r="A317" s="9" t="s">
        <v>494</v>
      </c>
      <c r="C317" s="50" t="n">
        <f aca="false">cf_eps</f>
        <v>7.5</v>
      </c>
      <c r="D317" s="50" t="n">
        <f aca="false">D315/cf_shares</f>
        <v>7.5</v>
      </c>
      <c r="E317" s="50" t="n">
        <f aca="false">E315/cf_shares</f>
        <v>7.5</v>
      </c>
      <c r="F317" s="50" t="n">
        <f aca="false">F315/cf_shares</f>
        <v>7.5</v>
      </c>
      <c r="G317" s="50" t="n">
        <f aca="false">G315/cf_shares</f>
        <v>7.5</v>
      </c>
      <c r="H317" s="50" t="n">
        <f aca="false">H315/cf_shares</f>
        <v>7.5</v>
      </c>
      <c r="I317" s="50" t="n">
        <f aca="false">I315/cf_shares</f>
        <v>7.5</v>
      </c>
      <c r="J317" s="50" t="n">
        <f aca="false">J315/cf_shares</f>
        <v>7.5</v>
      </c>
      <c r="K317" s="50" t="n">
        <f aca="false">K315/cf_shares</f>
        <v>7.5</v>
      </c>
      <c r="L317" s="50" t="n">
        <f aca="false">L315/cf_shares</f>
        <v>7.5</v>
      </c>
      <c r="M317" s="50" t="n">
        <f aca="false">M315/cf_shares</f>
        <v>7.5</v>
      </c>
    </row>
    <row r="318" customFormat="false" ht="15" hidden="false" customHeight="false" outlineLevel="0" collapsed="false">
      <c r="A318" s="9" t="s">
        <v>495</v>
      </c>
      <c r="C318" s="50" t="n">
        <f aca="false">cf_eps</f>
        <v>7.5</v>
      </c>
      <c r="D318" s="50" t="n">
        <f aca="false">(D315+D316)/cf_shares</f>
        <v>8.578125</v>
      </c>
      <c r="E318" s="50" t="n">
        <f aca="false">(E315+E316)/cf_shares</f>
        <v>8.578125</v>
      </c>
      <c r="F318" s="50" t="n">
        <f aca="false">(F315+F316)/cf_shares</f>
        <v>8.578125</v>
      </c>
      <c r="G318" s="50" t="n">
        <f aca="false">(G315+G316)/cf_shares</f>
        <v>8.578125</v>
      </c>
      <c r="H318" s="50" t="n">
        <f aca="false">(H315+H316)/cf_shares</f>
        <v>8.578125</v>
      </c>
      <c r="I318" s="50" t="n">
        <f aca="false">(I315+I316)/cf_shares</f>
        <v>8.578125</v>
      </c>
      <c r="J318" s="50" t="n">
        <f aca="false">(J315+J316)/cf_shares</f>
        <v>8.578125</v>
      </c>
      <c r="K318" s="50" t="n">
        <f aca="false">(K315+K316)/cf_shares</f>
        <v>8.578125</v>
      </c>
      <c r="L318" s="50" t="n">
        <f aca="false">(L315+L316)/cf_shares</f>
        <v>8.578125</v>
      </c>
      <c r="M318" s="50" t="n">
        <f aca="false">(M315+M316)/cf_shares</f>
        <v>8.578125</v>
      </c>
    </row>
    <row r="319" customFormat="false" ht="15" hidden="false" customHeight="false" outlineLevel="0" collapsed="false">
      <c r="A319" s="4" t="s">
        <v>496</v>
      </c>
      <c r="C319" s="41" t="n">
        <f aca="false">-C306-C308</f>
        <v>-94.5</v>
      </c>
      <c r="D319" s="41" t="n">
        <f aca="false">D298+D310*(1-a_tax)-C306-C308-D312-D314</f>
        <v>-143.5655</v>
      </c>
      <c r="E319" s="41" t="n">
        <f aca="false">E298+E310*(1-a_tax)-C306-C308-E312-E314</f>
        <v>-131.813475</v>
      </c>
      <c r="F319" s="41" t="n">
        <f aca="false">F298+F310*(1-a_tax)-C306-C308-F312-F314</f>
        <v>-170.00541</v>
      </c>
      <c r="G319" s="41" t="n">
        <f aca="false">G298+G310*(1-a_tax)-C306-C308-G312-G314</f>
        <v>-206.91259725</v>
      </c>
      <c r="H319" s="41" t="n">
        <f aca="false">H298+H310*(1-a_tax)-C306-C308-H312-H314</f>
        <v>-242.34616785</v>
      </c>
      <c r="I319" s="41" t="n">
        <f aca="false">I298+I310*(1-a_tax)-C306-C308-I312-I314</f>
        <v>-284.130784635</v>
      </c>
      <c r="J319" s="41" t="n">
        <f aca="false">J298+J310*(1-a_tax)-C306-C308-J312-J314</f>
        <v>-325.5938630985</v>
      </c>
      <c r="K319" s="41" t="n">
        <f aca="false">K298+K310*(1-a_tax)-C306-C308-K312-K314</f>
        <v>-366.70324940835</v>
      </c>
      <c r="L319" s="41" t="n">
        <f aca="false">L298+L310*(1-a_tax)-C306-C308-L312-L314</f>
        <v>-407.423574349185</v>
      </c>
      <c r="M319" s="41" t="n">
        <f aca="false">M298+M310*(1-a_tax)-C306-C308-M312-M314</f>
        <v>-447.715931784104</v>
      </c>
    </row>
    <row r="320" customFormat="false" ht="15" hidden="false" customHeight="false" outlineLevel="0" collapsed="false">
      <c r="A320" s="9" t="s">
        <v>497</v>
      </c>
      <c r="C320" s="36" t="n">
        <f aca="false">C315+C319</f>
        <v>385.5</v>
      </c>
      <c r="D320" s="36" t="n">
        <f aca="false">D315+D319</f>
        <v>336.4345</v>
      </c>
      <c r="E320" s="36" t="n">
        <f aca="false">E315+E319</f>
        <v>348.186525</v>
      </c>
      <c r="F320" s="36" t="n">
        <f aca="false">F315+F319</f>
        <v>309.99459</v>
      </c>
      <c r="G320" s="36" t="n">
        <f aca="false">G315+G319</f>
        <v>273.08740275</v>
      </c>
      <c r="H320" s="36" t="n">
        <f aca="false">H315+H319</f>
        <v>237.65383215</v>
      </c>
      <c r="I320" s="36" t="n">
        <f aca="false">I315+I319</f>
        <v>195.869215365</v>
      </c>
      <c r="J320" s="36" t="n">
        <f aca="false">J315+J319</f>
        <v>154.4061369015</v>
      </c>
      <c r="K320" s="36" t="n">
        <f aca="false">K315+K319</f>
        <v>113.29675059165</v>
      </c>
      <c r="L320" s="36" t="n">
        <f aca="false">L315+L319</f>
        <v>72.5764256508151</v>
      </c>
      <c r="M320" s="36" t="n">
        <f aca="false">M315+M319</f>
        <v>32.2840682158965</v>
      </c>
    </row>
    <row r="321" customFormat="false" ht="15" hidden="false" customHeight="false" outlineLevel="0" collapsed="false">
      <c r="A321" s="4" t="s">
        <v>498</v>
      </c>
      <c r="C321" s="48" t="n">
        <f aca="false">C320/C305</f>
        <v>5.92858021653543</v>
      </c>
      <c r="D321" s="48" t="n">
        <f aca="false">D320/C305</f>
        <v>5.17400498277559</v>
      </c>
      <c r="E321" s="48" t="n">
        <f aca="false">E320/C305</f>
        <v>5.35473863496555</v>
      </c>
      <c r="F321" s="48" t="n">
        <f aca="false">F320/C305</f>
        <v>4.76738727239173</v>
      </c>
      <c r="G321" s="48" t="n">
        <f aca="false">G320/C305</f>
        <v>4.19979396453617</v>
      </c>
      <c r="H321" s="48" t="n">
        <f aca="false">H320/C305</f>
        <v>3.65486331431472</v>
      </c>
      <c r="I321" s="48" t="n">
        <f aca="false">I320/C305</f>
        <v>3.01226032488004</v>
      </c>
      <c r="J321" s="48" t="n">
        <f aca="false">J320/C305</f>
        <v>2.37460225303734</v>
      </c>
      <c r="K321" s="48" t="n">
        <f aca="false">K320/C305</f>
        <v>1.7423835905458</v>
      </c>
      <c r="L321" s="48" t="n">
        <f aca="false">L320/C305</f>
        <v>1.11614827834054</v>
      </c>
      <c r="M321" s="48" t="n">
        <f aca="false">M320/C305</f>
        <v>0.49649465145018</v>
      </c>
    </row>
    <row r="322" customFormat="false" ht="15" hidden="false" customHeight="false" outlineLevel="0" collapsed="false">
      <c r="A322" s="4" t="s">
        <v>499</v>
      </c>
      <c r="C322" s="14" t="n">
        <f aca="false">C321/cf_eps-1</f>
        <v>-0.209522637795276</v>
      </c>
      <c r="D322" s="14" t="n">
        <f aca="false">D321/cf_eps-1</f>
        <v>-0.310132668963255</v>
      </c>
      <c r="E322" s="14" t="n">
        <f aca="false">E321/cf_eps-1</f>
        <v>-0.28603484867126</v>
      </c>
      <c r="F322" s="14" t="n">
        <f aca="false">F321/cf_eps-1</f>
        <v>-0.364348363681102</v>
      </c>
      <c r="G322" s="14" t="n">
        <f aca="false">G321/cf_eps-1</f>
        <v>-0.440027471395177</v>
      </c>
      <c r="H322" s="14" t="n">
        <f aca="false">H321/cf_eps-1</f>
        <v>-0.512684891424705</v>
      </c>
      <c r="I322" s="14" t="n">
        <f aca="false">I321/cf_eps-1</f>
        <v>-0.598365290015994</v>
      </c>
      <c r="J322" s="14" t="n">
        <f aca="false">J321/cf_eps-1</f>
        <v>-0.683386366261688</v>
      </c>
      <c r="K322" s="14" t="n">
        <f aca="false">K321/cf_eps-1</f>
        <v>-0.767682187927227</v>
      </c>
      <c r="L322" s="14" t="n">
        <f aca="false">L321/cf_eps-1</f>
        <v>-0.851180229554595</v>
      </c>
      <c r="M322" s="14" t="n">
        <f aca="false">M321/cf_eps-1</f>
        <v>-0.933800713139976</v>
      </c>
    </row>
    <row r="323" customFormat="false" ht="15" hidden="false" customHeight="false" outlineLevel="0" collapsed="false">
      <c r="A323" s="9" t="s">
        <v>500</v>
      </c>
      <c r="C323" s="50" t="n">
        <f aca="false">C321</f>
        <v>5.92858021653543</v>
      </c>
      <c r="D323" s="50" t="n">
        <f aca="false">(D320+D316)/C305</f>
        <v>6.2351516363189</v>
      </c>
      <c r="E323" s="50" t="n">
        <f aca="false">(E320+E316)/C305</f>
        <v>6.41588528850886</v>
      </c>
      <c r="F323" s="50" t="n">
        <f aca="false">(F320+F316)/C305</f>
        <v>5.82853392593504</v>
      </c>
      <c r="G323" s="50" t="n">
        <f aca="false">(G320+G316)/C305</f>
        <v>5.26094061807948</v>
      </c>
      <c r="H323" s="50" t="n">
        <f aca="false">(H320+H316)/C305</f>
        <v>4.71600996785802</v>
      </c>
      <c r="I323" s="50" t="n">
        <f aca="false">(I320+I316)/C305</f>
        <v>4.07340697842335</v>
      </c>
      <c r="J323" s="50" t="n">
        <f aca="false">(J320+J316)/C305</f>
        <v>3.43574890658065</v>
      </c>
      <c r="K323" s="50" t="n">
        <f aca="false">(K320+K316)/C305</f>
        <v>2.80353024408911</v>
      </c>
      <c r="L323" s="50" t="n">
        <f aca="false">(L320+L316)/C305</f>
        <v>2.17729493188384</v>
      </c>
      <c r="M323" s="50" t="n">
        <f aca="false">(M320+M316)/C305</f>
        <v>1.55764130499349</v>
      </c>
    </row>
    <row r="324" customFormat="false" ht="15" hidden="false" customHeight="false" outlineLevel="0" collapsed="false">
      <c r="A324" s="9" t="s">
        <v>501</v>
      </c>
      <c r="C324" s="18" t="n">
        <f aca="false">C322</f>
        <v>-0.209522637795276</v>
      </c>
      <c r="D324" s="18" t="n">
        <f aca="false">D323/D318-1</f>
        <v>-0.273133506877214</v>
      </c>
      <c r="E324" s="18" t="n">
        <f aca="false">E323/E318-1</f>
        <v>-0.252064374381481</v>
      </c>
      <c r="F324" s="18" t="n">
        <f aca="false">F323/F318-1</f>
        <v>-0.320535207176972</v>
      </c>
      <c r="G324" s="18" t="n">
        <f aca="false">G323/G318-1</f>
        <v>-0.386702733047201</v>
      </c>
      <c r="H324" s="18" t="n">
        <f aca="false">H323/H318-1</f>
        <v>-0.450228346187772</v>
      </c>
      <c r="I324" s="18" t="n">
        <f aca="false">I323/I318-1</f>
        <v>-0.525140170092724</v>
      </c>
      <c r="J324" s="18" t="n">
        <f aca="false">J323/J318-1</f>
        <v>-0.599475537302074</v>
      </c>
      <c r="K324" s="18" t="n">
        <f aca="false">K323/K318-1</f>
        <v>-0.673176802146261</v>
      </c>
      <c r="L324" s="18" t="n">
        <f aca="false">L323/L318-1</f>
        <v>-0.746180554388769</v>
      </c>
      <c r="M324" s="18" t="n">
        <f aca="false">M323/M318-1</f>
        <v>-0.81841704276943</v>
      </c>
    </row>
    <row r="325" customFormat="false" ht="15" hidden="false" customHeight="false" outlineLevel="0" collapsed="false">
      <c r="A325" s="9" t="s">
        <v>502</v>
      </c>
      <c r="C325" s="50" t="n">
        <f aca="false">(C320+C308)/C305</f>
        <v>5.92858021653543</v>
      </c>
      <c r="D325" s="50" t="n">
        <f aca="false">(D320+C308)/C305</f>
        <v>5.17400498277559</v>
      </c>
      <c r="E325" s="50" t="n">
        <f aca="false">(E320+C308)/C305</f>
        <v>5.35473863496555</v>
      </c>
      <c r="F325" s="50" t="n">
        <f aca="false">(F320+C308)/C305</f>
        <v>4.76738727239173</v>
      </c>
      <c r="G325" s="50" t="n">
        <f aca="false">(G320+C308)/C305</f>
        <v>4.19979396453617</v>
      </c>
      <c r="H325" s="50" t="n">
        <f aca="false">(H320+C308)/C305</f>
        <v>3.65486331431472</v>
      </c>
      <c r="I325" s="50" t="n">
        <f aca="false">(I320+C308)/C305</f>
        <v>3.01226032488004</v>
      </c>
      <c r="J325" s="50" t="n">
        <f aca="false">(J320+C308)/C305</f>
        <v>2.37460225303734</v>
      </c>
      <c r="K325" s="50" t="n">
        <f aca="false">(K320+C308)/C305</f>
        <v>1.7423835905458</v>
      </c>
      <c r="L325" s="50" t="n">
        <f aca="false">(L320+C308)/C305</f>
        <v>1.11614827834054</v>
      </c>
      <c r="M325" s="50" t="n">
        <f aca="false">(M320+C308)/C305</f>
        <v>0.49649465145018</v>
      </c>
    </row>
    <row r="326" customFormat="false" ht="15" hidden="false" customHeight="false" outlineLevel="0" collapsed="false">
      <c r="A326" s="9" t="s">
        <v>503</v>
      </c>
      <c r="C326" s="50" t="n">
        <f aca="false">(C320-C307+C308)/C305</f>
        <v>4.48680487204724</v>
      </c>
      <c r="D326" s="50" t="n">
        <f aca="false">(D320-C307+C308)/C305</f>
        <v>3.7322296382874</v>
      </c>
      <c r="E326" s="50" t="n">
        <f aca="false">(E320-C307+C308)/C305</f>
        <v>3.91296329047736</v>
      </c>
      <c r="F326" s="50" t="n">
        <f aca="false">(F320-C307+C308)/C305</f>
        <v>3.32561192790354</v>
      </c>
      <c r="G326" s="50" t="n">
        <f aca="false">(G320-C307+C308)/C305</f>
        <v>2.75801862004798</v>
      </c>
      <c r="H326" s="50" t="n">
        <f aca="false">(H320-C307+C308)/C305</f>
        <v>2.21308796982653</v>
      </c>
      <c r="I326" s="50" t="n">
        <f aca="false">(I320-C307+C308)/C305</f>
        <v>1.57048498039186</v>
      </c>
      <c r="J326" s="50" t="n">
        <f aca="false">(J320-C307+C308)/C305</f>
        <v>0.932826908549151</v>
      </c>
      <c r="K326" s="50" t="n">
        <f aca="false">(K320-C307+C308)/C305</f>
        <v>0.30060824605761</v>
      </c>
      <c r="L326" s="50" t="n">
        <f aca="false">(L320-C307+C308)/C305</f>
        <v>-0.325627066147652</v>
      </c>
      <c r="M326" s="50" t="n">
        <f aca="false">(M320-C307+C308)/C305</f>
        <v>-0.945280693038009</v>
      </c>
    </row>
    <row r="327" customFormat="false" ht="15" hidden="false" customHeight="false" outlineLevel="0" collapsed="false">
      <c r="A327" s="9" t="s">
        <v>504</v>
      </c>
      <c r="C327" s="50" t="n">
        <f aca="false">C315/C305</f>
        <v>7.38188976377953</v>
      </c>
      <c r="D327" s="50" t="n">
        <f aca="false">D315/C305</f>
        <v>7.38188976377953</v>
      </c>
      <c r="E327" s="50" t="n">
        <f aca="false">E315/C305</f>
        <v>7.38188976377953</v>
      </c>
      <c r="F327" s="50" t="n">
        <f aca="false">F315/C305</f>
        <v>7.38188976377953</v>
      </c>
      <c r="G327" s="50" t="n">
        <f aca="false">G315/C305</f>
        <v>7.38188976377953</v>
      </c>
      <c r="H327" s="50" t="n">
        <f aca="false">H315/C305</f>
        <v>7.38188976377953</v>
      </c>
      <c r="I327" s="50" t="n">
        <f aca="false">I315/C305</f>
        <v>7.38188976377953</v>
      </c>
      <c r="J327" s="50" t="n">
        <f aca="false">J315/C305</f>
        <v>7.38188976377953</v>
      </c>
      <c r="K327" s="50" t="n">
        <f aca="false">K315/C305</f>
        <v>7.38188976377953</v>
      </c>
      <c r="L327" s="50" t="n">
        <f aca="false">L315/C305</f>
        <v>7.38188976377953</v>
      </c>
      <c r="M327" s="50" t="n">
        <f aca="false">M315/C305</f>
        <v>7.38188976377953</v>
      </c>
    </row>
    <row r="328" customFormat="false" ht="15" hidden="false" customHeight="false" outlineLevel="0" collapsed="false">
      <c r="A328" s="9" t="s">
        <v>505</v>
      </c>
      <c r="D328" s="36" t="n">
        <f aca="false">D301+D310*(1-a_tax)-D311-IF(D288=1,C309,0)</f>
        <v>-1204.7205</v>
      </c>
      <c r="E328" s="36" t="n">
        <f aca="false">E301+E310*(1-a_tax)-E311-IF(E288=1,C309,0)</f>
        <v>-992.978975</v>
      </c>
      <c r="F328" s="36" t="n">
        <f aca="false">F301+F310*(1-a_tax)-F311-IF(F288=1,C309,0)</f>
        <v>-986.23746</v>
      </c>
      <c r="G328" s="36" t="n">
        <f aca="false">G301+G310*(1-a_tax)-G311-IF(G288=1,C309,0)</f>
        <v>-978.21785225</v>
      </c>
      <c r="H328" s="36" t="n">
        <f aca="false">H301+H310*(1-a_tax)-H311-IF(H288=1,C309,0)</f>
        <v>-968.73194835</v>
      </c>
      <c r="I328" s="36" t="n">
        <f aca="false">I301+I310*(1-a_tax)-I311-IF(I288=1,C309,0)</f>
        <v>-965.605143185</v>
      </c>
      <c r="J328" s="36" t="n">
        <f aca="false">J301+J310*(1-a_tax)-J311-IF(J288=1,C309,0)</f>
        <v>-962.1656575035</v>
      </c>
      <c r="K328" s="36" t="n">
        <f aca="false">K301+K310*(1-a_tax)-K311-IF(K288=1,C309,0)</f>
        <v>-958.38222325385</v>
      </c>
      <c r="L328" s="36" t="n">
        <f aca="false">L301+L310*(1-a_tax)-L311-IF(L288=1,C309,0)</f>
        <v>-954.220445579235</v>
      </c>
      <c r="M328" s="36" t="n">
        <f aca="false">M301+M310*(1-a_tax)-M311-IF(M288=1,C309,0)</f>
        <v>-949.642490137159</v>
      </c>
    </row>
    <row r="329" customFormat="false" ht="15" hidden="false" customHeight="false" outlineLevel="0" collapsed="false">
      <c r="A329" s="4" t="s">
        <v>506</v>
      </c>
      <c r="D329" s="41" t="n">
        <f aca="false">D328-C306</f>
        <v>-1299.2205</v>
      </c>
      <c r="E329" s="41" t="n">
        <f aca="false">E328-C306</f>
        <v>-1087.478975</v>
      </c>
      <c r="F329" s="41" t="n">
        <f aca="false">F328-C306</f>
        <v>-1080.73746</v>
      </c>
      <c r="G329" s="41" t="n">
        <f aca="false">G328-C306</f>
        <v>-1072.71785225</v>
      </c>
      <c r="H329" s="41" t="n">
        <f aca="false">H328-C306</f>
        <v>-1063.23194835</v>
      </c>
      <c r="I329" s="41" t="n">
        <f aca="false">I328-C306</f>
        <v>-1060.105143185</v>
      </c>
      <c r="J329" s="41" t="n">
        <f aca="false">J328-C306</f>
        <v>-1056.6656575035</v>
      </c>
      <c r="K329" s="41" t="n">
        <f aca="false">K328-C306</f>
        <v>-1052.88222325385</v>
      </c>
      <c r="L329" s="41" t="n">
        <f aca="false">L328-C306</f>
        <v>-1048.72044557923</v>
      </c>
      <c r="M329" s="41" t="n">
        <f aca="false">M328-C306</f>
        <v>-1044.14249013716</v>
      </c>
    </row>
    <row r="330" customFormat="false" ht="15" hidden="false" customHeight="false" outlineLevel="0" collapsed="false">
      <c r="A330" s="9" t="s">
        <v>507</v>
      </c>
      <c r="C330" s="36" t="n">
        <f aca="false">0</f>
        <v>0</v>
      </c>
      <c r="D330" s="36" t="n">
        <f aca="false">D316</f>
        <v>69</v>
      </c>
      <c r="E330" s="36" t="n">
        <f aca="false">E316</f>
        <v>69</v>
      </c>
      <c r="F330" s="36" t="n">
        <f aca="false">F316</f>
        <v>69</v>
      </c>
      <c r="G330" s="36" t="n">
        <f aca="false">G316</f>
        <v>69</v>
      </c>
      <c r="H330" s="36" t="n">
        <f aca="false">H316</f>
        <v>69</v>
      </c>
      <c r="I330" s="36" t="n">
        <f aca="false">I316</f>
        <v>69</v>
      </c>
      <c r="J330" s="36" t="n">
        <f aca="false">J316</f>
        <v>69</v>
      </c>
      <c r="K330" s="36" t="n">
        <f aca="false">K316</f>
        <v>69</v>
      </c>
      <c r="L330" s="36" t="n">
        <f aca="false">L316</f>
        <v>69</v>
      </c>
      <c r="M330" s="36" t="n">
        <f aca="false">M316</f>
        <v>69</v>
      </c>
    </row>
    <row r="331" customFormat="false" ht="15" hidden="false" customHeight="false" outlineLevel="0" collapsed="false">
      <c r="A331" s="9" t="s">
        <v>508</v>
      </c>
      <c r="D331" s="36" t="n">
        <f aca="false">D329+D330</f>
        <v>-1230.2205</v>
      </c>
      <c r="E331" s="36" t="n">
        <f aca="false">E329+E330</f>
        <v>-1018.478975</v>
      </c>
      <c r="F331" s="36" t="n">
        <f aca="false">F329+F330</f>
        <v>-1011.73746</v>
      </c>
      <c r="G331" s="36" t="n">
        <f aca="false">G329+G330</f>
        <v>-1003.71785225</v>
      </c>
      <c r="H331" s="36" t="n">
        <f aca="false">H329+H330</f>
        <v>-994.23194835</v>
      </c>
      <c r="I331" s="36" t="n">
        <f aca="false">I329+I330</f>
        <v>-991.105143185</v>
      </c>
      <c r="J331" s="36" t="n">
        <f aca="false">J329+J330</f>
        <v>-987.6656575035</v>
      </c>
      <c r="K331" s="36" t="n">
        <f aca="false">K329+K330</f>
        <v>-983.88222325385</v>
      </c>
      <c r="L331" s="36" t="n">
        <f aca="false">L329+L330</f>
        <v>-979.720445579235</v>
      </c>
      <c r="M331" s="36" t="n">
        <f aca="false">M329+M330</f>
        <v>-975.142490137158</v>
      </c>
    </row>
    <row r="332" customFormat="false" ht="15" hidden="false" customHeight="false" outlineLevel="0" collapsed="false">
      <c r="A332" s="9" t="s">
        <v>509</v>
      </c>
      <c r="D332" s="36" t="n">
        <f aca="false">IF(Scenarios!$E$15=1,D331,D329)</f>
        <v>-1299.2205</v>
      </c>
      <c r="E332" s="36" t="n">
        <f aca="false">IF(Scenarios!$E$15=1,E331,E329)</f>
        <v>-1087.478975</v>
      </c>
      <c r="F332" s="36" t="n">
        <f aca="false">IF(Scenarios!$E$15=1,F331,F329)</f>
        <v>-1080.73746</v>
      </c>
      <c r="G332" s="36" t="n">
        <f aca="false">IF(Scenarios!$E$15=1,G331,G329)</f>
        <v>-1072.71785225</v>
      </c>
      <c r="H332" s="36" t="n">
        <f aca="false">IF(Scenarios!$E$15=1,H331,H329)</f>
        <v>-1063.23194835</v>
      </c>
      <c r="I332" s="36" t="n">
        <f aca="false">IF(Scenarios!$E$15=1,I331,I329)</f>
        <v>-1060.105143185</v>
      </c>
      <c r="J332" s="36" t="n">
        <f aca="false">IF(Scenarios!$E$15=1,J331,J329)</f>
        <v>-1056.6656575035</v>
      </c>
      <c r="K332" s="36" t="n">
        <f aca="false">IF(Scenarios!$E$15=1,K331,K329)</f>
        <v>-1052.88222325385</v>
      </c>
      <c r="L332" s="36" t="n">
        <f aca="false">IF(Scenarios!$E$15=1,L331,L329)</f>
        <v>-1048.72044557923</v>
      </c>
      <c r="M332" s="36" t="n">
        <f aca="false">IF(Scenarios!$E$15=1,M331,M329)</f>
        <v>-1044.14249013716</v>
      </c>
    </row>
    <row r="333" customFormat="false" ht="15" hidden="false" customHeight="false" outlineLevel="0" collapsed="false">
      <c r="A333" s="9" t="s">
        <v>510</v>
      </c>
      <c r="C333" s="36" t="n">
        <f aca="false">-Scenarios!$E$14</f>
        <v>-4000</v>
      </c>
      <c r="D333" s="36" t="n">
        <f aca="false">C333+D332</f>
        <v>-5299.2205</v>
      </c>
      <c r="E333" s="36" t="n">
        <f aca="false">D333+E332</f>
        <v>-6386.699475</v>
      </c>
      <c r="F333" s="36" t="n">
        <f aca="false">E333+F332</f>
        <v>-7467.436935</v>
      </c>
      <c r="G333" s="36" t="n">
        <f aca="false">F333+G332</f>
        <v>-8540.15478725</v>
      </c>
      <c r="H333" s="36" t="n">
        <f aca="false">G333+H332</f>
        <v>-9603.3867356</v>
      </c>
      <c r="I333" s="36" t="n">
        <f aca="false">H333+I332</f>
        <v>-10663.491878785</v>
      </c>
      <c r="J333" s="36" t="n">
        <f aca="false">I333+J332</f>
        <v>-11720.1575362885</v>
      </c>
      <c r="K333" s="36" t="n">
        <f aca="false">J333+K332</f>
        <v>-12773.0397595424</v>
      </c>
      <c r="L333" s="36" t="n">
        <f aca="false">K333+L332</f>
        <v>-13821.7602051216</v>
      </c>
      <c r="M333" s="36" t="n">
        <f aca="false">L333+M332</f>
        <v>-14865.9026952587</v>
      </c>
    </row>
    <row r="334" customFormat="false" ht="15" hidden="false" customHeight="false" outlineLevel="0" collapsed="false">
      <c r="A334" s="9" t="s">
        <v>511</v>
      </c>
      <c r="C334" s="43" t="n">
        <f aca="false">1</f>
        <v>1</v>
      </c>
      <c r="D334" s="43" t="n">
        <f aca="false">1/(1+Scenarios!$E$13)^D288</f>
        <v>0.87719298245614</v>
      </c>
      <c r="E334" s="43" t="n">
        <f aca="false">1/(1+Scenarios!$E$13)^E288</f>
        <v>0.769467528470298</v>
      </c>
      <c r="F334" s="43" t="n">
        <f aca="false">1/(1+Scenarios!$E$13)^F288</f>
        <v>0.674971516202016</v>
      </c>
      <c r="G334" s="43" t="n">
        <f aca="false">1/(1+Scenarios!$E$13)^G288</f>
        <v>0.592080277370189</v>
      </c>
      <c r="H334" s="43" t="n">
        <f aca="false">1/(1+Scenarios!$E$13)^H288</f>
        <v>0.519368664359815</v>
      </c>
      <c r="I334" s="43" t="n">
        <f aca="false">1/(1+Scenarios!$E$13)^I288</f>
        <v>0.455586547684048</v>
      </c>
      <c r="J334" s="43" t="n">
        <f aca="false">1/(1+Scenarios!$E$13)^J288</f>
        <v>0.399637322529867</v>
      </c>
      <c r="K334" s="43" t="n">
        <f aca="false">1/(1+Scenarios!$E$13)^K288</f>
        <v>0.350559054850761</v>
      </c>
      <c r="L334" s="43" t="n">
        <f aca="false">1/(1+Scenarios!$E$13)^L288</f>
        <v>0.307507942851544</v>
      </c>
      <c r="M334" s="43" t="n">
        <f aca="false">1/(1+Scenarios!$E$13)^M288</f>
        <v>0.269743809518898</v>
      </c>
    </row>
    <row r="335" customFormat="false" ht="15" hidden="false" customHeight="false" outlineLevel="0" collapsed="false">
      <c r="A335" s="9" t="s">
        <v>512</v>
      </c>
      <c r="C335" s="46" t="n">
        <f aca="false">99</f>
        <v>99</v>
      </c>
      <c r="D335" s="46" t="n">
        <f aca="false">IF(D319&gt;=0,D288,99)</f>
        <v>99</v>
      </c>
      <c r="E335" s="46" t="n">
        <f aca="false">IF(E319&gt;=0,E288,99)</f>
        <v>99</v>
      </c>
      <c r="F335" s="46" t="n">
        <f aca="false">IF(F319&gt;=0,F288,99)</f>
        <v>99</v>
      </c>
      <c r="G335" s="46" t="n">
        <f aca="false">IF(G319&gt;=0,G288,99)</f>
        <v>99</v>
      </c>
      <c r="H335" s="46" t="n">
        <f aca="false">IF(H319&gt;=0,H288,99)</f>
        <v>99</v>
      </c>
      <c r="I335" s="46" t="n">
        <f aca="false">IF(I319&gt;=0,I288,99)</f>
        <v>99</v>
      </c>
      <c r="J335" s="46" t="n">
        <f aca="false">IF(J319&gt;=0,J288,99)</f>
        <v>99</v>
      </c>
      <c r="K335" s="46" t="n">
        <f aca="false">IF(K319&gt;=0,K288,99)</f>
        <v>99</v>
      </c>
      <c r="L335" s="46" t="n">
        <f aca="false">IF(L319&gt;=0,L288,99)</f>
        <v>99</v>
      </c>
      <c r="M335" s="46" t="n">
        <f aca="false">IF(M319&gt;=0,M288,99)</f>
        <v>99</v>
      </c>
    </row>
    <row r="336" customFormat="false" ht="15" hidden="false" customHeight="false" outlineLevel="0" collapsed="false">
      <c r="A336" s="9" t="s">
        <v>513</v>
      </c>
      <c r="C336" s="46" t="n">
        <f aca="false">99</f>
        <v>99</v>
      </c>
      <c r="D336" s="46" t="n">
        <f aca="false">IF(D319+D316&gt;=0,D288,99)</f>
        <v>99</v>
      </c>
      <c r="E336" s="46" t="n">
        <f aca="false">IF(E319+E316&gt;=0,E288,99)</f>
        <v>99</v>
      </c>
      <c r="F336" s="46" t="n">
        <f aca="false">IF(F319+F316&gt;=0,F288,99)</f>
        <v>99</v>
      </c>
      <c r="G336" s="46" t="n">
        <f aca="false">IF(G319+G316&gt;=0,G288,99)</f>
        <v>99</v>
      </c>
      <c r="H336" s="46" t="n">
        <f aca="false">IF(H319+H316&gt;=0,H288,99)</f>
        <v>99</v>
      </c>
      <c r="I336" s="46" t="n">
        <f aca="false">IF(I319+I316&gt;=0,I288,99)</f>
        <v>99</v>
      </c>
      <c r="J336" s="46" t="n">
        <f aca="false">IF(J319+J316&gt;=0,J288,99)</f>
        <v>99</v>
      </c>
      <c r="K336" s="46" t="n">
        <f aca="false">IF(K319+K316&gt;=0,K288,99)</f>
        <v>99</v>
      </c>
      <c r="L336" s="46" t="n">
        <f aca="false">IF(L319+L316&gt;=0,L288,99)</f>
        <v>99</v>
      </c>
      <c r="M336" s="46" t="n">
        <f aca="false">IF(M319+M316&gt;=0,M288,99)</f>
        <v>99</v>
      </c>
    </row>
    <row r="337" customFormat="false" ht="15" hidden="false" customHeight="false" outlineLevel="0" collapsed="false">
      <c r="A337" s="9" t="s">
        <v>514</v>
      </c>
      <c r="C337" s="46" t="n">
        <f aca="false">99</f>
        <v>99</v>
      </c>
      <c r="D337" s="46" t="n">
        <f aca="false">IF(D329&gt;=0,D288,99)</f>
        <v>99</v>
      </c>
      <c r="E337" s="46" t="n">
        <f aca="false">IF(E329&gt;=0,E288,99)</f>
        <v>99</v>
      </c>
      <c r="F337" s="46" t="n">
        <f aca="false">IF(F329&gt;=0,F288,99)</f>
        <v>99</v>
      </c>
      <c r="G337" s="46" t="n">
        <f aca="false">IF(G329&gt;=0,G288,99)</f>
        <v>99</v>
      </c>
      <c r="H337" s="46" t="n">
        <f aca="false">IF(H329&gt;=0,H288,99)</f>
        <v>99</v>
      </c>
      <c r="I337" s="46" t="n">
        <f aca="false">IF(I329&gt;=0,I288,99)</f>
        <v>99</v>
      </c>
      <c r="J337" s="46" t="n">
        <f aca="false">IF(J329&gt;=0,J288,99)</f>
        <v>99</v>
      </c>
      <c r="K337" s="46" t="n">
        <f aca="false">IF(K329&gt;=0,K288,99)</f>
        <v>99</v>
      </c>
      <c r="L337" s="46" t="n">
        <f aca="false">IF(L329&gt;=0,L288,99)</f>
        <v>99</v>
      </c>
      <c r="M337" s="46" t="n">
        <f aca="false">IF(M329&gt;=0,M288,99)</f>
        <v>99</v>
      </c>
    </row>
    <row r="338" customFormat="false" ht="15" hidden="false" customHeight="false" outlineLevel="0" collapsed="false">
      <c r="A338" s="9" t="s">
        <v>515</v>
      </c>
      <c r="C338" s="46" t="n">
        <f aca="false">99</f>
        <v>99</v>
      </c>
      <c r="D338" s="46" t="n">
        <f aca="false">IF(D331&gt;=0,D288,99)</f>
        <v>99</v>
      </c>
      <c r="E338" s="46" t="n">
        <f aca="false">IF(E331&gt;=0,E288,99)</f>
        <v>99</v>
      </c>
      <c r="F338" s="46" t="n">
        <f aca="false">IF(F331&gt;=0,F288,99)</f>
        <v>99</v>
      </c>
      <c r="G338" s="46" t="n">
        <f aca="false">IF(G331&gt;=0,G288,99)</f>
        <v>99</v>
      </c>
      <c r="H338" s="46" t="n">
        <f aca="false">IF(H331&gt;=0,H288,99)</f>
        <v>99</v>
      </c>
      <c r="I338" s="46" t="n">
        <f aca="false">IF(I331&gt;=0,I288,99)</f>
        <v>99</v>
      </c>
      <c r="J338" s="46" t="n">
        <f aca="false">IF(J331&gt;=0,J288,99)</f>
        <v>99</v>
      </c>
      <c r="K338" s="46" t="n">
        <f aca="false">IF(K331&gt;=0,K288,99)</f>
        <v>99</v>
      </c>
      <c r="L338" s="46" t="n">
        <f aca="false">IF(L331&gt;=0,L288,99)</f>
        <v>99</v>
      </c>
      <c r="M338" s="46" t="n">
        <f aca="false">IF(M331&gt;=0,M288,99)</f>
        <v>99</v>
      </c>
    </row>
    <row r="339" customFormat="false" ht="15" hidden="false" customHeight="false" outlineLevel="0" collapsed="false">
      <c r="A339" s="9" t="s">
        <v>516</v>
      </c>
      <c r="C339" s="46" t="n">
        <f aca="false">99</f>
        <v>99</v>
      </c>
      <c r="D339" s="46" t="n">
        <f aca="false">IF(D333&gt;=0,D288,99)</f>
        <v>99</v>
      </c>
      <c r="E339" s="46" t="n">
        <f aca="false">IF(E333&gt;=0,E288,99)</f>
        <v>99</v>
      </c>
      <c r="F339" s="46" t="n">
        <f aca="false">IF(F333&gt;=0,F288,99)</f>
        <v>99</v>
      </c>
      <c r="G339" s="46" t="n">
        <f aca="false">IF(G333&gt;=0,G288,99)</f>
        <v>99</v>
      </c>
      <c r="H339" s="46" t="n">
        <f aca="false">IF(H333&gt;=0,H288,99)</f>
        <v>99</v>
      </c>
      <c r="I339" s="46" t="n">
        <f aca="false">IF(I333&gt;=0,I288,99)</f>
        <v>99</v>
      </c>
      <c r="J339" s="46" t="n">
        <f aca="false">IF(J333&gt;=0,J288,99)</f>
        <v>99</v>
      </c>
      <c r="K339" s="46" t="n">
        <f aca="false">IF(K333&gt;=0,K288,99)</f>
        <v>99</v>
      </c>
      <c r="L339" s="46" t="n">
        <f aca="false">IF(L333&gt;=0,L288,99)</f>
        <v>99</v>
      </c>
      <c r="M339" s="46" t="n">
        <f aca="false">IF(M333&gt;=0,M288,99)</f>
        <v>99</v>
      </c>
    </row>
    <row r="340" customFormat="false" ht="15" hidden="false" customHeight="false" outlineLevel="0" collapsed="false">
      <c r="A340" s="4" t="s">
        <v>517</v>
      </c>
      <c r="C340" s="23" t="n">
        <f aca="false">MIN(D335:M335)</f>
        <v>99</v>
      </c>
    </row>
    <row r="341" customFormat="false" ht="15" hidden="false" customHeight="false" outlineLevel="0" collapsed="false">
      <c r="A341" s="9" t="s">
        <v>518</v>
      </c>
      <c r="C341" s="46" t="n">
        <f aca="false">MIN(D336:M336)</f>
        <v>99</v>
      </c>
    </row>
    <row r="342" customFormat="false" ht="15" hidden="false" customHeight="false" outlineLevel="0" collapsed="false">
      <c r="A342" s="4" t="s">
        <v>519</v>
      </c>
      <c r="C342" s="23" t="n">
        <f aca="false">MIN(D337:M337)</f>
        <v>99</v>
      </c>
    </row>
    <row r="343" customFormat="false" ht="15" hidden="false" customHeight="false" outlineLevel="0" collapsed="false">
      <c r="A343" s="9" t="s">
        <v>520</v>
      </c>
      <c r="C343" s="46" t="n">
        <f aca="false">MIN(D338:M338)</f>
        <v>99</v>
      </c>
    </row>
    <row r="344" customFormat="false" ht="15" hidden="false" customHeight="false" outlineLevel="0" collapsed="false">
      <c r="A344" s="9" t="s">
        <v>521</v>
      </c>
      <c r="C344" s="46" t="n">
        <f aca="false">MIN(D339:M339)</f>
        <v>99</v>
      </c>
    </row>
    <row r="345" customFormat="false" ht="15" hidden="false" customHeight="false" outlineLevel="0" collapsed="false">
      <c r="A345" s="4" t="s">
        <v>522</v>
      </c>
      <c r="C345" s="15" t="n">
        <f aca="false">M333</f>
        <v>-14865.9026952587</v>
      </c>
    </row>
    <row r="346" customFormat="false" ht="15" hidden="false" customHeight="false" outlineLevel="0" collapsed="false">
      <c r="A346" s="9" t="s">
        <v>523</v>
      </c>
      <c r="C346" s="36" t="n">
        <f aca="false">SUMPRODUCT(D301:M301,D334:M334)</f>
        <v>77.6402318202826</v>
      </c>
    </row>
    <row r="347" customFormat="false" ht="15" hidden="false" customHeight="false" outlineLevel="0" collapsed="false">
      <c r="A347" s="9" t="s">
        <v>524</v>
      </c>
      <c r="C347" s="36" t="n">
        <f aca="false">M301*(1+a_tg)/(Scenarios!$E$13-a_tg)</f>
        <v>587.504281733151</v>
      </c>
    </row>
    <row r="348" customFormat="false" ht="15" hidden="false" customHeight="false" outlineLevel="0" collapsed="false">
      <c r="A348" s="9" t="s">
        <v>314</v>
      </c>
      <c r="C348" s="36" t="n">
        <f aca="false">C347*M334</f>
        <v>158.475643063364</v>
      </c>
    </row>
    <row r="349" customFormat="false" ht="15" hidden="false" customHeight="false" outlineLevel="0" collapsed="false">
      <c r="A349" s="4" t="s">
        <v>525</v>
      </c>
      <c r="C349" s="15" t="n">
        <f aca="false">C346+C348</f>
        <v>236.115874883647</v>
      </c>
    </row>
    <row r="350" customFormat="false" ht="15" hidden="false" customHeight="false" outlineLevel="0" collapsed="false">
      <c r="A350" s="9" t="s">
        <v>526</v>
      </c>
      <c r="C350" s="32" t="n">
        <f aca="false">SUMPRODUCT(D311:M311,D334:M334)-a_recovery*M313*M334</f>
        <v>5216.11564629358</v>
      </c>
    </row>
    <row r="351" customFormat="false" ht="15" hidden="false" customHeight="false" outlineLevel="0" collapsed="false">
      <c r="A351" s="9" t="s">
        <v>527</v>
      </c>
      <c r="C351" s="36" t="n">
        <f aca="false">SUMPRODUCT(D310:M310,D334:M334)*(1-a_tax)</f>
        <v>0</v>
      </c>
    </row>
    <row r="352" customFormat="false" ht="15" hidden="false" customHeight="false" outlineLevel="0" collapsed="false">
      <c r="A352" s="9" t="s">
        <v>528</v>
      </c>
      <c r="C352" s="36" t="n">
        <f aca="false">C309*D334</f>
        <v>140.350877192982</v>
      </c>
    </row>
    <row r="353" customFormat="false" ht="15" hidden="false" customHeight="false" outlineLevel="0" collapsed="false">
      <c r="A353" s="4" t="s">
        <v>529</v>
      </c>
      <c r="C353" s="20" t="n">
        <f aca="false">C349+C351-C350-C352-Scenarios!$E$14</f>
        <v>-9120.35064860292</v>
      </c>
    </row>
    <row r="354" customFormat="false" ht="15" hidden="false" customHeight="false" outlineLevel="0" collapsed="false">
      <c r="A354" s="9" t="s">
        <v>530</v>
      </c>
      <c r="C354" s="32" t="n">
        <f aca="false">C353+SUMPRODUCT(D330:M330,D334:M334)</f>
        <v>-8760.43866900866</v>
      </c>
    </row>
    <row r="355" customFormat="false" ht="15" hidden="false" customHeight="false" outlineLevel="0" collapsed="false">
      <c r="A355" s="4" t="s">
        <v>531</v>
      </c>
      <c r="C355" s="59" t="n">
        <f aca="false">Scenarios!$E$14/D291</f>
        <v>30.0525920360631</v>
      </c>
    </row>
    <row r="356" customFormat="false" ht="15" hidden="false" customHeight="false" outlineLevel="0" collapsed="false">
      <c r="A356" s="9" t="s">
        <v>532</v>
      </c>
      <c r="C356" s="17" t="n">
        <f aca="false">(Scenarios!$E$14+C350)/D291</f>
        <v>69.2420409188097</v>
      </c>
    </row>
    <row r="357" customFormat="false" ht="15" hidden="false" customHeight="false" outlineLevel="0" collapsed="false">
      <c r="A357" s="4" t="s">
        <v>533</v>
      </c>
      <c r="C357" s="15" t="n">
        <f aca="false">(C353+C350)/SUMPRODUCT(D334:M334)</f>
        <v>-748.494716577761</v>
      </c>
    </row>
    <row r="358" customFormat="false" ht="15" hidden="false" customHeight="false" outlineLevel="0" collapsed="false">
      <c r="A358" s="4" t="s">
        <v>534</v>
      </c>
      <c r="C358" s="25" t="n">
        <f aca="false">D321</f>
        <v>5.17400498277559</v>
      </c>
    </row>
    <row r="359" customFormat="false" ht="15" hidden="false" customHeight="false" outlineLevel="0" collapsed="false">
      <c r="A359" s="9" t="s">
        <v>535</v>
      </c>
      <c r="C359" s="50" t="n">
        <f aca="false">F321</f>
        <v>4.76738727239173</v>
      </c>
    </row>
    <row r="360" customFormat="false" ht="15" hidden="false" customHeight="false" outlineLevel="0" collapsed="false">
      <c r="A360" s="4" t="s">
        <v>536</v>
      </c>
      <c r="C360" s="20" t="n">
        <f aca="false">D329</f>
        <v>-1299.2205</v>
      </c>
    </row>
    <row r="361" customFormat="false" ht="15" hidden="false" customHeight="false" outlineLevel="0" collapsed="false">
      <c r="A361" s="9" t="s">
        <v>537</v>
      </c>
      <c r="C361" s="32" t="n">
        <f aca="false">cf_cash-Scenarios!$E$10-C309</f>
        <v>6640</v>
      </c>
    </row>
    <row r="362" customFormat="false" ht="15" hidden="false" customHeight="false" outlineLevel="0" collapsed="false">
      <c r="A362" s="9" t="s">
        <v>538</v>
      </c>
      <c r="C362" s="32" t="n">
        <f aca="false">cf_debt+Scenarios!$E$11</f>
        <v>350</v>
      </c>
    </row>
    <row r="363" customFormat="false" ht="15" hidden="false" customHeight="false" outlineLevel="0" collapsed="false">
      <c r="A363" s="9" t="s">
        <v>539</v>
      </c>
      <c r="C363" s="34" t="n">
        <f aca="false">C362/cf_ebitda</f>
        <v>0.546875</v>
      </c>
    </row>
    <row r="364" customFormat="false" ht="15" hidden="false" customHeight="false" outlineLevel="0" collapsed="false">
      <c r="A364" s="9" t="s">
        <v>540</v>
      </c>
      <c r="C364" s="32" t="n">
        <f aca="false">C361+SUM(D332:F332)+3*cf_pat</f>
        <v>4612.563065</v>
      </c>
    </row>
    <row r="366" customFormat="false" ht="15" hidden="false" customHeight="false" outlineLevel="0" collapsed="false">
      <c r="A366" s="7" t="s">
        <v>872</v>
      </c>
      <c r="B366" s="8"/>
      <c r="C366" s="8"/>
      <c r="D366" s="8"/>
      <c r="E366" s="8"/>
      <c r="F366" s="8"/>
      <c r="G366" s="8"/>
      <c r="H366" s="8"/>
      <c r="I366" s="8"/>
      <c r="J366" s="8"/>
      <c r="K366" s="8"/>
      <c r="L366" s="8"/>
      <c r="M366" s="8"/>
      <c r="N366" s="8"/>
    </row>
    <row r="367" customFormat="false" ht="15" hidden="false" customHeight="false" outlineLevel="0" collapsed="false">
      <c r="A367" s="4" t="s">
        <v>284</v>
      </c>
      <c r="C367" s="39" t="n">
        <v>0</v>
      </c>
      <c r="D367" s="39" t="n">
        <v>1</v>
      </c>
      <c r="E367" s="39" t="n">
        <v>2</v>
      </c>
      <c r="F367" s="39" t="n">
        <v>3</v>
      </c>
      <c r="G367" s="39" t="n">
        <v>4</v>
      </c>
      <c r="H367" s="39" t="n">
        <v>5</v>
      </c>
      <c r="I367" s="39" t="n">
        <v>6</v>
      </c>
      <c r="J367" s="39" t="n">
        <v>7</v>
      </c>
      <c r="K367" s="39" t="n">
        <v>8</v>
      </c>
      <c r="L367" s="39" t="n">
        <v>9</v>
      </c>
      <c r="M367" s="39" t="n">
        <v>10</v>
      </c>
    </row>
    <row r="368" customFormat="false" ht="15" hidden="false" customHeight="false" outlineLevel="0" collapsed="false">
      <c r="A368" s="9" t="s">
        <v>285</v>
      </c>
      <c r="C368" s="40" t="n">
        <f aca="false">cf_arr</f>
        <v>220</v>
      </c>
      <c r="D368" s="36" t="n">
        <f aca="false">C368*(1+Scenarios!$F$6)</f>
        <v>242</v>
      </c>
      <c r="E368" s="36" t="n">
        <f aca="false">D368*(1+Scenarios!$F$6)</f>
        <v>266.2</v>
      </c>
      <c r="F368" s="36" t="n">
        <f aca="false">E368*(1+Scenarios!$F$6)</f>
        <v>292.82</v>
      </c>
      <c r="G368" s="36" t="n">
        <f aca="false">F368*(1+Scenarios!$F$6)</f>
        <v>322.102</v>
      </c>
      <c r="H368" s="36" t="n">
        <f aca="false">G368*(1+Scenarios!$F$6)</f>
        <v>354.3122</v>
      </c>
      <c r="I368" s="36" t="n">
        <f aca="false">H368*(1+Scenarios!$F$6)</f>
        <v>389.74342</v>
      </c>
      <c r="J368" s="36" t="n">
        <f aca="false">I368*(1+Scenarios!$F$6)</f>
        <v>428.717762</v>
      </c>
      <c r="K368" s="36" t="n">
        <f aca="false">J368*(1+Scenarios!$F$6)</f>
        <v>471.5895382</v>
      </c>
      <c r="L368" s="36" t="n">
        <f aca="false">K368*(1+Scenarios!$F$6)</f>
        <v>518.74849202</v>
      </c>
      <c r="M368" s="36" t="n">
        <f aca="false">L368*(1+Scenarios!$F$6)</f>
        <v>570.623341222</v>
      </c>
    </row>
    <row r="369" customFormat="false" ht="15" hidden="false" customHeight="false" outlineLevel="0" collapsed="false">
      <c r="A369" s="9" t="s">
        <v>286</v>
      </c>
      <c r="C369" s="18" t="n">
        <f aca="false">1</f>
        <v>1</v>
      </c>
      <c r="D369" s="18" t="n">
        <f aca="false">IF(D367&gt;=a_churn_year,1-Scenarios!$F$7,1)</f>
        <v>0.45</v>
      </c>
      <c r="E369" s="18" t="n">
        <f aca="false">IF(E367&gt;=a_churn_year,1-Scenarios!$F$7,1)</f>
        <v>0.45</v>
      </c>
      <c r="F369" s="18" t="n">
        <f aca="false">IF(F367&gt;=a_churn_year,1-Scenarios!$F$7,1)</f>
        <v>0.45</v>
      </c>
      <c r="G369" s="18" t="n">
        <f aca="false">IF(G367&gt;=a_churn_year,1-Scenarios!$F$7,1)</f>
        <v>0.45</v>
      </c>
      <c r="H369" s="18" t="n">
        <f aca="false">IF(H367&gt;=a_churn_year,1-Scenarios!$F$7,1)</f>
        <v>0.45</v>
      </c>
      <c r="I369" s="18" t="n">
        <f aca="false">IF(I367&gt;=a_churn_year,1-Scenarios!$F$7,1)</f>
        <v>0.45</v>
      </c>
      <c r="J369" s="18" t="n">
        <f aca="false">IF(J367&gt;=a_churn_year,1-Scenarios!$F$7,1)</f>
        <v>0.45</v>
      </c>
      <c r="K369" s="18" t="n">
        <f aca="false">IF(K367&gt;=a_churn_year,1-Scenarios!$F$7,1)</f>
        <v>0.45</v>
      </c>
      <c r="L369" s="18" t="n">
        <f aca="false">IF(L367&gt;=a_churn_year,1-Scenarios!$F$7,1)</f>
        <v>0.45</v>
      </c>
      <c r="M369" s="18" t="n">
        <f aca="false">IF(M367&gt;=a_churn_year,1-Scenarios!$F$7,1)</f>
        <v>0.45</v>
      </c>
    </row>
    <row r="370" customFormat="false" ht="15" hidden="false" customHeight="false" outlineLevel="0" collapsed="false">
      <c r="A370" s="4" t="s">
        <v>287</v>
      </c>
      <c r="C370" s="41" t="n">
        <f aca="false">C368*C369</f>
        <v>220</v>
      </c>
      <c r="D370" s="41" t="n">
        <f aca="false">D368*D369</f>
        <v>108.9</v>
      </c>
      <c r="E370" s="41" t="n">
        <f aca="false">E368*E369</f>
        <v>119.79</v>
      </c>
      <c r="F370" s="41" t="n">
        <f aca="false">F368*F369</f>
        <v>131.769</v>
      </c>
      <c r="G370" s="41" t="n">
        <f aca="false">G368*G369</f>
        <v>144.9459</v>
      </c>
      <c r="H370" s="41" t="n">
        <f aca="false">H368*H369</f>
        <v>159.44049</v>
      </c>
      <c r="I370" s="41" t="n">
        <f aca="false">I368*I369</f>
        <v>175.384539</v>
      </c>
      <c r="J370" s="41" t="n">
        <f aca="false">J368*J369</f>
        <v>192.9229929</v>
      </c>
      <c r="K370" s="41" t="n">
        <f aca="false">K368*K369</f>
        <v>212.21529219</v>
      </c>
      <c r="L370" s="41" t="n">
        <f aca="false">L368*L369</f>
        <v>233.436821409</v>
      </c>
      <c r="M370" s="41" t="n">
        <f aca="false">M368*M369</f>
        <v>256.7805035499</v>
      </c>
    </row>
    <row r="371" customFormat="false" ht="15" hidden="false" customHeight="false" outlineLevel="0" collapsed="false">
      <c r="A371" s="9" t="s">
        <v>288</v>
      </c>
      <c r="C371" s="18" t="n">
        <f aca="false">MIN(a_m0+a_mstep*C367,a_mcap)</f>
        <v>0</v>
      </c>
      <c r="D371" s="18" t="n">
        <f aca="false">MIN(a_m0+a_mstep*D367,a_mcap)</f>
        <v>0.05</v>
      </c>
      <c r="E371" s="18" t="n">
        <f aca="false">MIN(a_m0+a_mstep*E367,a_mcap)</f>
        <v>0.1</v>
      </c>
      <c r="F371" s="18" t="n">
        <f aca="false">MIN(a_m0+a_mstep*F367,a_mcap)</f>
        <v>0.15</v>
      </c>
      <c r="G371" s="18" t="n">
        <f aca="false">MIN(a_m0+a_mstep*G367,a_mcap)</f>
        <v>0.2</v>
      </c>
      <c r="H371" s="18" t="n">
        <f aca="false">MIN(a_m0+a_mstep*H367,a_mcap)</f>
        <v>0.25</v>
      </c>
      <c r="I371" s="18" t="n">
        <f aca="false">MIN(a_m0+a_mstep*I367,a_mcap)</f>
        <v>0.25</v>
      </c>
      <c r="J371" s="18" t="n">
        <f aca="false">MIN(a_m0+a_mstep*J367,a_mcap)</f>
        <v>0.25</v>
      </c>
      <c r="K371" s="18" t="n">
        <f aca="false">MIN(a_m0+a_mstep*K367,a_mcap)</f>
        <v>0.25</v>
      </c>
      <c r="L371" s="18" t="n">
        <f aca="false">MIN(a_m0+a_mstep*L367,a_mcap)</f>
        <v>0.25</v>
      </c>
      <c r="M371" s="18" t="n">
        <f aca="false">MIN(a_m0+a_mstep*M367,a_mcap)</f>
        <v>0.25</v>
      </c>
    </row>
    <row r="372" customFormat="false" ht="15" hidden="false" customHeight="false" outlineLevel="0" collapsed="false">
      <c r="A372" s="9" t="s">
        <v>289</v>
      </c>
      <c r="C372" s="36" t="n">
        <f aca="false">IF(C367=a_churn_year,a_sticky*(C368-C370)*(1-C371),0)</f>
        <v>0</v>
      </c>
      <c r="D372" s="36" t="n">
        <f aca="false">IF(D367=a_churn_year,a_sticky*(D368-D370)*(1-D371),0)</f>
        <v>63.2225</v>
      </c>
      <c r="E372" s="36" t="n">
        <f aca="false">IF(E367=a_churn_year,a_sticky*(E368-E370)*(1-E371),0)</f>
        <v>0</v>
      </c>
      <c r="F372" s="36" t="n">
        <f aca="false">IF(F367=a_churn_year,a_sticky*(F368-F370)*(1-F371),0)</f>
        <v>0</v>
      </c>
      <c r="G372" s="36" t="n">
        <f aca="false">IF(G367=a_churn_year,a_sticky*(G368-G370)*(1-G371),0)</f>
        <v>0</v>
      </c>
      <c r="H372" s="36" t="n">
        <f aca="false">IF(H367=a_churn_year,a_sticky*(H368-H370)*(1-H371),0)</f>
        <v>0</v>
      </c>
      <c r="I372" s="36" t="n">
        <f aca="false">IF(I367=a_churn_year,a_sticky*(I368-I370)*(1-I371),0)</f>
        <v>0</v>
      </c>
      <c r="J372" s="36" t="n">
        <f aca="false">IF(J367=a_churn_year,a_sticky*(J368-J370)*(1-J371),0)</f>
        <v>0</v>
      </c>
      <c r="K372" s="36" t="n">
        <f aca="false">IF(K367=a_churn_year,a_sticky*(K368-K370)*(1-K371),0)</f>
        <v>0</v>
      </c>
      <c r="L372" s="36" t="n">
        <f aca="false">IF(L367=a_churn_year,a_sticky*(L368-L370)*(1-L371),0)</f>
        <v>0</v>
      </c>
      <c r="M372" s="36" t="n">
        <f aca="false">IF(M367=a_churn_year,a_sticky*(M368-M370)*(1-M371),0)</f>
        <v>0</v>
      </c>
    </row>
    <row r="373" customFormat="false" ht="15" hidden="false" customHeight="false" outlineLevel="0" collapsed="false">
      <c r="A373" s="4" t="s">
        <v>290</v>
      </c>
      <c r="C373" s="41" t="n">
        <f aca="false">C370*C371-C372</f>
        <v>0</v>
      </c>
      <c r="D373" s="41" t="n">
        <f aca="false">D370*D371-D372</f>
        <v>-57.7775</v>
      </c>
      <c r="E373" s="41" t="n">
        <f aca="false">E370*E371-E372</f>
        <v>11.979</v>
      </c>
      <c r="F373" s="41" t="n">
        <f aca="false">F370*F371-F372</f>
        <v>19.76535</v>
      </c>
      <c r="G373" s="41" t="n">
        <f aca="false">G370*G371-G372</f>
        <v>28.98918</v>
      </c>
      <c r="H373" s="41" t="n">
        <f aca="false">H370*H371-H372</f>
        <v>39.8601225</v>
      </c>
      <c r="I373" s="41" t="n">
        <f aca="false">I370*I371-I372</f>
        <v>43.84613475</v>
      </c>
      <c r="J373" s="41" t="n">
        <f aca="false">J370*J371-J372</f>
        <v>48.230748225</v>
      </c>
      <c r="K373" s="41" t="n">
        <f aca="false">K370*K371-K372</f>
        <v>53.0538230475</v>
      </c>
      <c r="L373" s="41" t="n">
        <f aca="false">L370*L371-L372</f>
        <v>58.35920535225</v>
      </c>
      <c r="M373" s="41" t="n">
        <f aca="false">M370*M371-M372</f>
        <v>64.195125887475</v>
      </c>
    </row>
    <row r="374" customFormat="false" ht="15" hidden="false" customHeight="false" outlineLevel="0" collapsed="false">
      <c r="A374" s="9" t="s">
        <v>291</v>
      </c>
      <c r="C374" s="36" t="n">
        <f aca="false">C370*a_da</f>
        <v>6.6</v>
      </c>
      <c r="D374" s="36" t="n">
        <f aca="false">D370*a_da</f>
        <v>3.267</v>
      </c>
      <c r="E374" s="36" t="n">
        <f aca="false">E370*a_da</f>
        <v>3.5937</v>
      </c>
      <c r="F374" s="36" t="n">
        <f aca="false">F370*a_da</f>
        <v>3.95307</v>
      </c>
      <c r="G374" s="36" t="n">
        <f aca="false">G370*a_da</f>
        <v>4.348377</v>
      </c>
      <c r="H374" s="36" t="n">
        <f aca="false">H370*a_da</f>
        <v>4.7832147</v>
      </c>
      <c r="I374" s="36" t="n">
        <f aca="false">I370*a_da</f>
        <v>5.26153617</v>
      </c>
      <c r="J374" s="36" t="n">
        <f aca="false">J370*a_da</f>
        <v>5.787689787</v>
      </c>
      <c r="K374" s="36" t="n">
        <f aca="false">K370*a_da</f>
        <v>6.3664587657</v>
      </c>
      <c r="L374" s="36" t="n">
        <f aca="false">L370*a_da</f>
        <v>7.00310464227</v>
      </c>
      <c r="M374" s="36" t="n">
        <f aca="false">M370*a_da</f>
        <v>7.703415106497</v>
      </c>
    </row>
    <row r="375" customFormat="false" ht="15" hidden="false" customHeight="false" outlineLevel="0" collapsed="false">
      <c r="A375" s="9" t="s">
        <v>292</v>
      </c>
      <c r="C375" s="36" t="n">
        <f aca="false">C373-C374</f>
        <v>-6.6</v>
      </c>
      <c r="D375" s="36" t="n">
        <f aca="false">D373-D374</f>
        <v>-61.0445</v>
      </c>
      <c r="E375" s="36" t="n">
        <f aca="false">E373-E374</f>
        <v>8.3853</v>
      </c>
      <c r="F375" s="36" t="n">
        <f aca="false">F373-F374</f>
        <v>15.81228</v>
      </c>
      <c r="G375" s="36" t="n">
        <f aca="false">G373-G374</f>
        <v>24.640803</v>
      </c>
      <c r="H375" s="36" t="n">
        <f aca="false">H373-H374</f>
        <v>35.0769078</v>
      </c>
      <c r="I375" s="36" t="n">
        <f aca="false">I373-I374</f>
        <v>38.58459858</v>
      </c>
      <c r="J375" s="36" t="n">
        <f aca="false">J373-J374</f>
        <v>42.443058438</v>
      </c>
      <c r="K375" s="36" t="n">
        <f aca="false">K373-K374</f>
        <v>46.6873642818</v>
      </c>
      <c r="L375" s="36" t="n">
        <f aca="false">L373-L374</f>
        <v>51.35610070998</v>
      </c>
      <c r="M375" s="36" t="n">
        <f aca="false">M373-M374</f>
        <v>56.491710780978</v>
      </c>
    </row>
    <row r="376" customFormat="false" ht="15" hidden="false" customHeight="false" outlineLevel="0" collapsed="false">
      <c r="A376" s="9" t="s">
        <v>293</v>
      </c>
      <c r="C376" s="36" t="n">
        <f aca="false">MAX(0,C375)*a_tax</f>
        <v>0</v>
      </c>
      <c r="D376" s="36" t="n">
        <f aca="false">MAX(0,D375)*a_tax</f>
        <v>0</v>
      </c>
      <c r="E376" s="36" t="n">
        <f aca="false">MAX(0,E375)*a_tax</f>
        <v>2.096325</v>
      </c>
      <c r="F376" s="36" t="n">
        <f aca="false">MAX(0,F375)*a_tax</f>
        <v>3.95307</v>
      </c>
      <c r="G376" s="36" t="n">
        <f aca="false">MAX(0,G375)*a_tax</f>
        <v>6.16020075</v>
      </c>
      <c r="H376" s="36" t="n">
        <f aca="false">MAX(0,H375)*a_tax</f>
        <v>8.76922695</v>
      </c>
      <c r="I376" s="36" t="n">
        <f aca="false">MAX(0,I375)*a_tax</f>
        <v>9.64614964500001</v>
      </c>
      <c r="J376" s="36" t="n">
        <f aca="false">MAX(0,J375)*a_tax</f>
        <v>10.6107646095</v>
      </c>
      <c r="K376" s="36" t="n">
        <f aca="false">MAX(0,K375)*a_tax</f>
        <v>11.67184107045</v>
      </c>
      <c r="L376" s="36" t="n">
        <f aca="false">MAX(0,L375)*a_tax</f>
        <v>12.839025177495</v>
      </c>
      <c r="M376" s="36" t="n">
        <f aca="false">MAX(0,M375)*a_tax</f>
        <v>14.1229276952445</v>
      </c>
    </row>
    <row r="377" customFormat="false" ht="15" hidden="false" customHeight="false" outlineLevel="0" collapsed="false">
      <c r="A377" s="4" t="s">
        <v>294</v>
      </c>
      <c r="C377" s="42" t="n">
        <f aca="false">cf_lim_pat</f>
        <v>0</v>
      </c>
      <c r="D377" s="41" t="n">
        <f aca="false">D375-D376</f>
        <v>-61.0445</v>
      </c>
      <c r="E377" s="41" t="n">
        <f aca="false">E375-E376</f>
        <v>6.288975</v>
      </c>
      <c r="F377" s="41" t="n">
        <f aca="false">F375-F376</f>
        <v>11.85921</v>
      </c>
      <c r="G377" s="41" t="n">
        <f aca="false">G375-G376</f>
        <v>18.48060225</v>
      </c>
      <c r="H377" s="41" t="n">
        <f aca="false">H375-H376</f>
        <v>26.30768085</v>
      </c>
      <c r="I377" s="41" t="n">
        <f aca="false">I375-I376</f>
        <v>28.938448935</v>
      </c>
      <c r="J377" s="41" t="n">
        <f aca="false">J375-J376</f>
        <v>31.8322938285</v>
      </c>
      <c r="K377" s="41" t="n">
        <f aca="false">K375-K376</f>
        <v>35.01552321135</v>
      </c>
      <c r="L377" s="41" t="n">
        <f aca="false">L375-L376</f>
        <v>38.517075532485</v>
      </c>
      <c r="M377" s="41" t="n">
        <f aca="false">M375-M376</f>
        <v>42.3687830857335</v>
      </c>
    </row>
    <row r="378" customFormat="false" ht="15" hidden="false" customHeight="false" outlineLevel="0" collapsed="false">
      <c r="A378" s="9" t="s">
        <v>295</v>
      </c>
      <c r="C378" s="36" t="n">
        <f aca="false">C370*a_capex</f>
        <v>6.6</v>
      </c>
      <c r="D378" s="36" t="n">
        <f aca="false">D370*a_capex</f>
        <v>3.267</v>
      </c>
      <c r="E378" s="36" t="n">
        <f aca="false">E370*a_capex</f>
        <v>3.5937</v>
      </c>
      <c r="F378" s="36" t="n">
        <f aca="false">F370*a_capex</f>
        <v>3.95307</v>
      </c>
      <c r="G378" s="36" t="n">
        <f aca="false">G370*a_capex</f>
        <v>4.348377</v>
      </c>
      <c r="H378" s="36" t="n">
        <f aca="false">H370*a_capex</f>
        <v>4.7832147</v>
      </c>
      <c r="I378" s="36" t="n">
        <f aca="false">I370*a_capex</f>
        <v>5.26153617</v>
      </c>
      <c r="J378" s="36" t="n">
        <f aca="false">J370*a_capex</f>
        <v>5.787689787</v>
      </c>
      <c r="K378" s="36" t="n">
        <f aca="false">K370*a_capex</f>
        <v>6.3664587657</v>
      </c>
      <c r="L378" s="36" t="n">
        <f aca="false">L370*a_capex</f>
        <v>7.00310464227</v>
      </c>
      <c r="M378" s="36" t="n">
        <f aca="false">M370*a_capex</f>
        <v>7.703415106497</v>
      </c>
    </row>
    <row r="379" customFormat="false" ht="15" hidden="false" customHeight="false" outlineLevel="0" collapsed="false">
      <c r="A379" s="9" t="s">
        <v>296</v>
      </c>
      <c r="C379" s="36" t="n">
        <f aca="false">0</f>
        <v>0</v>
      </c>
      <c r="D379" s="36" t="n">
        <f aca="false">a_wc*(D370-C370)</f>
        <v>-5.555</v>
      </c>
      <c r="E379" s="36" t="n">
        <f aca="false">a_wc*(E370-D370)</f>
        <v>0.5445</v>
      </c>
      <c r="F379" s="36" t="n">
        <f aca="false">a_wc*(F370-E370)</f>
        <v>0.59895</v>
      </c>
      <c r="G379" s="36" t="n">
        <f aca="false">a_wc*(G370-F370)</f>
        <v>0.658845000000001</v>
      </c>
      <c r="H379" s="36" t="n">
        <f aca="false">a_wc*(H370-G370)</f>
        <v>0.724729500000001</v>
      </c>
      <c r="I379" s="36" t="n">
        <f aca="false">a_wc*(I370-H370)</f>
        <v>0.797202450000002</v>
      </c>
      <c r="J379" s="36" t="n">
        <f aca="false">a_wc*(J370-I370)</f>
        <v>0.876922695</v>
      </c>
      <c r="K379" s="36" t="n">
        <f aca="false">a_wc*(K370-J370)</f>
        <v>0.964614964500001</v>
      </c>
      <c r="L379" s="36" t="n">
        <f aca="false">a_wc*(L370-K370)</f>
        <v>1.06107646095</v>
      </c>
      <c r="M379" s="36" t="n">
        <f aca="false">a_wc*(M370-L370)</f>
        <v>1.167184107045</v>
      </c>
    </row>
    <row r="380" customFormat="false" ht="15" hidden="false" customHeight="false" outlineLevel="0" collapsed="false">
      <c r="A380" s="4" t="s">
        <v>297</v>
      </c>
      <c r="C380" s="36" t="n">
        <f aca="false">0</f>
        <v>0</v>
      </c>
      <c r="D380" s="41" t="n">
        <f aca="false">D377+D374-D378-D379</f>
        <v>-55.4895</v>
      </c>
      <c r="E380" s="41" t="n">
        <f aca="false">E377+E374-E378-E379</f>
        <v>5.744475</v>
      </c>
      <c r="F380" s="41" t="n">
        <f aca="false">F377+F374-F378-F379</f>
        <v>11.26026</v>
      </c>
      <c r="G380" s="41" t="n">
        <f aca="false">G377+G374-G378-G379</f>
        <v>17.82175725</v>
      </c>
      <c r="H380" s="41" t="n">
        <f aca="false">H377+H374-H378-H379</f>
        <v>25.58295135</v>
      </c>
      <c r="I380" s="41" t="n">
        <f aca="false">I377+I374-I378-I379</f>
        <v>28.141246485</v>
      </c>
      <c r="J380" s="41" t="n">
        <f aca="false">J377+J374-J378-J379</f>
        <v>30.9553711335</v>
      </c>
      <c r="K380" s="41" t="n">
        <f aca="false">K377+K374-K378-K379</f>
        <v>34.05090824685</v>
      </c>
      <c r="L380" s="41" t="n">
        <f aca="false">L377+L374-L378-L379</f>
        <v>37.455999071535</v>
      </c>
      <c r="M380" s="41" t="n">
        <f aca="false">M377+M374-M378-M379</f>
        <v>41.2015989786885</v>
      </c>
    </row>
    <row r="382" customFormat="false" ht="15" hidden="false" customHeight="false" outlineLevel="0" collapsed="false">
      <c r="A382" s="7" t="s">
        <v>873</v>
      </c>
      <c r="B382" s="8"/>
      <c r="C382" s="8"/>
      <c r="D382" s="8"/>
      <c r="E382" s="8"/>
      <c r="F382" s="8"/>
      <c r="G382" s="8"/>
      <c r="H382" s="8"/>
      <c r="I382" s="8"/>
      <c r="J382" s="8"/>
      <c r="K382" s="8"/>
      <c r="L382" s="8"/>
      <c r="M382" s="8"/>
      <c r="N382" s="8"/>
    </row>
    <row r="383" customFormat="false" ht="15" hidden="false" customHeight="false" outlineLevel="0" collapsed="false">
      <c r="A383" s="9" t="s">
        <v>482</v>
      </c>
      <c r="C383" s="35" t="n">
        <f aca="false">Scenarios!$F$12/(c_price*(1-a_issue_disc))</f>
        <v>1.024</v>
      </c>
    </row>
    <row r="384" customFormat="false" ht="15" hidden="false" customHeight="false" outlineLevel="0" collapsed="false">
      <c r="A384" s="9" t="s">
        <v>449</v>
      </c>
      <c r="C384" s="35" t="n">
        <f aca="false">cf_shares+C383</f>
        <v>65.024</v>
      </c>
    </row>
    <row r="385" customFormat="false" ht="15" hidden="false" customHeight="false" outlineLevel="0" collapsed="false">
      <c r="A385" s="9" t="s">
        <v>483</v>
      </c>
      <c r="C385" s="36" t="n">
        <f aca="false">Scenarios!$F$10*a_yield*(1-a_tax)+Scenarios!$F$11*a_kd*(1-a_tax)</f>
        <v>94.5</v>
      </c>
    </row>
    <row r="386" customFormat="false" ht="15" hidden="false" customHeight="false" outlineLevel="0" collapsed="false">
      <c r="A386" s="9" t="s">
        <v>484</v>
      </c>
      <c r="C386" s="36" t="n">
        <f aca="false">Scenarios!$F$14*a_ppa_share/a_ppa_life*(1-a_tax)</f>
        <v>93.75</v>
      </c>
    </row>
    <row r="387" customFormat="false" ht="15" hidden="false" customHeight="false" outlineLevel="0" collapsed="false">
      <c r="A387" s="9" t="s">
        <v>485</v>
      </c>
      <c r="C387" s="36" t="n">
        <f aca="false">a_ppa_on*C386</f>
        <v>0</v>
      </c>
    </row>
    <row r="388" customFormat="false" ht="15" hidden="false" customHeight="false" outlineLevel="0" collapsed="false">
      <c r="A388" s="9" t="s">
        <v>486</v>
      </c>
      <c r="C388" s="36" t="n">
        <f aca="false">Scenarios!$F$14*a_fees_pct+a_integ_full</f>
        <v>160</v>
      </c>
    </row>
    <row r="389" customFormat="false" ht="15" hidden="false" customHeight="false" outlineLevel="0" collapsed="false">
      <c r="A389" s="9" t="s">
        <v>487</v>
      </c>
      <c r="C389" s="36" t="n">
        <f aca="false">0</f>
        <v>0</v>
      </c>
      <c r="D389" s="36" t="n">
        <f aca="false">a_syn_on*(a_syn_partner_rev_y3+a_syn_xsell_y3)*a_mcap*IF(D367=1,a_syn_ramp1,IF(D367=2,a_syn_ramp2,1))+a_syn_on*IF(D367&gt;=2,a_syn_cost,0)</f>
        <v>0</v>
      </c>
      <c r="E389" s="36" t="n">
        <f aca="false">a_syn_on*(a_syn_partner_rev_y3+a_syn_xsell_y3)*a_mcap*IF(E367=1,a_syn_ramp1,IF(E367=2,a_syn_ramp2,1))+a_syn_on*IF(E367&gt;=2,a_syn_cost,0)</f>
        <v>0</v>
      </c>
      <c r="F389" s="36" t="n">
        <f aca="false">a_syn_on*(a_syn_partner_rev_y3+a_syn_xsell_y3)*a_mcap*IF(F367=1,a_syn_ramp1,IF(F367=2,a_syn_ramp2,1))+a_syn_on*IF(F367&gt;=2,a_syn_cost,0)</f>
        <v>0</v>
      </c>
      <c r="G389" s="36" t="n">
        <f aca="false">a_syn_on*(a_syn_partner_rev_y3+a_syn_xsell_y3)*a_mcap*IF(G367=1,a_syn_ramp1,IF(G367=2,a_syn_ramp2,1))+a_syn_on*IF(G367&gt;=2,a_syn_cost,0)</f>
        <v>0</v>
      </c>
      <c r="H389" s="36" t="n">
        <f aca="false">a_syn_on*(a_syn_partner_rev_y3+a_syn_xsell_y3)*a_mcap*IF(H367=1,a_syn_ramp1,IF(H367=2,a_syn_ramp2,1))+a_syn_on*IF(H367&gt;=2,a_syn_cost,0)</f>
        <v>0</v>
      </c>
      <c r="I389" s="36" t="n">
        <f aca="false">a_syn_on*(a_syn_partner_rev_y3+a_syn_xsell_y3)*a_mcap*IF(I367=1,a_syn_ramp1,IF(I367=2,a_syn_ramp2,1))+a_syn_on*IF(I367&gt;=2,a_syn_cost,0)</f>
        <v>0</v>
      </c>
      <c r="J389" s="36" t="n">
        <f aca="false">a_syn_on*(a_syn_partner_rev_y3+a_syn_xsell_y3)*a_mcap*IF(J367=1,a_syn_ramp1,IF(J367=2,a_syn_ramp2,1))+a_syn_on*IF(J367&gt;=2,a_syn_cost,0)</f>
        <v>0</v>
      </c>
      <c r="K389" s="36" t="n">
        <f aca="false">a_syn_on*(a_syn_partner_rev_y3+a_syn_xsell_y3)*a_mcap*IF(K367=1,a_syn_ramp1,IF(K367=2,a_syn_ramp2,1))+a_syn_on*IF(K367&gt;=2,a_syn_cost,0)</f>
        <v>0</v>
      </c>
      <c r="L389" s="36" t="n">
        <f aca="false">a_syn_on*(a_syn_partner_rev_y3+a_syn_xsell_y3)*a_mcap*IF(L367=1,a_syn_ramp1,IF(L367=2,a_syn_ramp2,1))+a_syn_on*IF(L367&gt;=2,a_syn_cost,0)</f>
        <v>0</v>
      </c>
      <c r="M389" s="36" t="n">
        <f aca="false">a_syn_on*(a_syn_partner_rev_y3+a_syn_xsell_y3)*a_mcap*IF(M367=1,a_syn_ramp1,IF(M367=2,a_syn_ramp2,1))+a_syn_on*IF(M367&gt;=2,a_syn_cost,0)</f>
        <v>0</v>
      </c>
    </row>
    <row r="390" customFormat="false" ht="15" hidden="false" customHeight="false" outlineLevel="0" collapsed="false">
      <c r="A390" s="9" t="s">
        <v>488</v>
      </c>
      <c r="C390" s="36" t="n">
        <f aca="false">0</f>
        <v>0</v>
      </c>
      <c r="D390" s="36" t="n">
        <f aca="false">CHOOSE(Scenarios!$F$9,Scenarios!$F$8,Scenarios!$F$8*D370/cf_arr,Scenarios!$F$8*(1-a_tax))</f>
        <v>618.75</v>
      </c>
      <c r="E390" s="36" t="n">
        <f aca="false">CHOOSE(Scenarios!$F$9,Scenarios!$F$8,Scenarios!$F$8*E370/cf_arr,Scenarios!$F$8*(1-a_tax))</f>
        <v>680.625</v>
      </c>
      <c r="F390" s="36" t="n">
        <f aca="false">CHOOSE(Scenarios!$F$9,Scenarios!$F$8,Scenarios!$F$8*F370/cf_arr,Scenarios!$F$8*(1-a_tax))</f>
        <v>748.6875</v>
      </c>
      <c r="G390" s="36" t="n">
        <f aca="false">CHOOSE(Scenarios!$F$9,Scenarios!$F$8,Scenarios!$F$8*G370/cf_arr,Scenarios!$F$8*(1-a_tax))</f>
        <v>823.55625</v>
      </c>
      <c r="H390" s="36" t="n">
        <f aca="false">CHOOSE(Scenarios!$F$9,Scenarios!$F$8,Scenarios!$F$8*H370/cf_arr,Scenarios!$F$8*(1-a_tax))</f>
        <v>905.911875</v>
      </c>
      <c r="I390" s="36" t="n">
        <f aca="false">CHOOSE(Scenarios!$F$9,Scenarios!$F$8,Scenarios!$F$8*I370/cf_arr,Scenarios!$F$8*(1-a_tax))</f>
        <v>996.503062500001</v>
      </c>
      <c r="J390" s="36" t="n">
        <f aca="false">CHOOSE(Scenarios!$F$9,Scenarios!$F$8,Scenarios!$F$8*J370/cf_arr,Scenarios!$F$8*(1-a_tax))</f>
        <v>1096.15336875</v>
      </c>
      <c r="K390" s="36" t="n">
        <f aca="false">CHOOSE(Scenarios!$F$9,Scenarios!$F$8,Scenarios!$F$8*K370/cf_arr,Scenarios!$F$8*(1-a_tax))</f>
        <v>1205.768705625</v>
      </c>
      <c r="L390" s="36" t="n">
        <f aca="false">CHOOSE(Scenarios!$F$9,Scenarios!$F$8,Scenarios!$F$8*L370/cf_arr,Scenarios!$F$8*(1-a_tax))</f>
        <v>1326.3455761875</v>
      </c>
      <c r="M390" s="36" t="n">
        <f aca="false">CHOOSE(Scenarios!$F$9,Scenarios!$F$8,Scenarios!$F$8*M370/cf_arr,Scenarios!$F$8*(1-a_tax))</f>
        <v>1458.98013380625</v>
      </c>
    </row>
    <row r="391" customFormat="false" ht="15" hidden="false" customHeight="false" outlineLevel="0" collapsed="false">
      <c r="A391" s="9" t="s">
        <v>489</v>
      </c>
      <c r="C391" s="36" t="n">
        <f aca="false">0</f>
        <v>0</v>
      </c>
      <c r="D391" s="36" t="n">
        <f aca="false">IF(Scenarios!$F$9=3,Scenarios!$F$8*(1-a_tax),0)</f>
        <v>0</v>
      </c>
      <c r="E391" s="36" t="n">
        <f aca="false">IF(Scenarios!$F$9=3,Scenarios!$F$8*(1-a_tax),0)</f>
        <v>0</v>
      </c>
      <c r="F391" s="36" t="n">
        <f aca="false">IF(Scenarios!$F$9=3,Scenarios!$F$8*(1-a_tax),0)</f>
        <v>0</v>
      </c>
      <c r="G391" s="36" t="n">
        <f aca="false">IF(Scenarios!$F$9=3,Scenarios!$F$8*(1-a_tax),0)</f>
        <v>0</v>
      </c>
      <c r="H391" s="36" t="n">
        <f aca="false">IF(Scenarios!$F$9=3,Scenarios!$F$8*(1-a_tax),0)</f>
        <v>0</v>
      </c>
      <c r="I391" s="36" t="n">
        <f aca="false">IF(Scenarios!$F$9=3,Scenarios!$F$8*(1-a_tax),0)</f>
        <v>0</v>
      </c>
      <c r="J391" s="36" t="n">
        <f aca="false">IF(Scenarios!$F$9=3,Scenarios!$F$8*(1-a_tax),0)</f>
        <v>0</v>
      </c>
      <c r="K391" s="36" t="n">
        <f aca="false">IF(Scenarios!$F$9=3,Scenarios!$F$8*(1-a_tax),0)</f>
        <v>0</v>
      </c>
      <c r="L391" s="36" t="n">
        <f aca="false">IF(Scenarios!$F$9=3,Scenarios!$F$8*(1-a_tax),0)</f>
        <v>0</v>
      </c>
      <c r="M391" s="36" t="n">
        <f aca="false">IF(Scenarios!$F$9=3,Scenarios!$F$8*(1-a_tax),0)</f>
        <v>0</v>
      </c>
    </row>
    <row r="392" customFormat="false" ht="15" hidden="false" customHeight="false" outlineLevel="0" collapsed="false">
      <c r="A392" s="9" t="s">
        <v>490</v>
      </c>
      <c r="C392" s="36" t="n">
        <f aca="false">0</f>
        <v>0</v>
      </c>
      <c r="D392" s="36" t="n">
        <f aca="false">IF(Scenarios!$F$9=3,0,C392+D390)</f>
        <v>618.75</v>
      </c>
      <c r="E392" s="36" t="n">
        <f aca="false">IF(Scenarios!$F$9=3,0,D392+E390)</f>
        <v>1299.375</v>
      </c>
      <c r="F392" s="36" t="n">
        <f aca="false">IF(Scenarios!$F$9=3,0,E392+F390)</f>
        <v>2048.0625</v>
      </c>
      <c r="G392" s="36" t="n">
        <f aca="false">IF(Scenarios!$F$9=3,0,F392+G390)</f>
        <v>2871.61875</v>
      </c>
      <c r="H392" s="36" t="n">
        <f aca="false">IF(Scenarios!$F$9=3,0,G392+H390)</f>
        <v>3777.530625</v>
      </c>
      <c r="I392" s="36" t="n">
        <f aca="false">IF(Scenarios!$F$9=3,0,H392+I390)</f>
        <v>4774.0336875</v>
      </c>
      <c r="J392" s="36" t="n">
        <f aca="false">IF(Scenarios!$F$9=3,0,I392+J390)</f>
        <v>5870.18705625</v>
      </c>
      <c r="K392" s="36" t="n">
        <f aca="false">IF(Scenarios!$F$9=3,0,J392+K390)</f>
        <v>7075.955761875</v>
      </c>
      <c r="L392" s="36" t="n">
        <f aca="false">IF(Scenarios!$F$9=3,0,K392+L390)</f>
        <v>8402.3013380625</v>
      </c>
      <c r="M392" s="36" t="n">
        <f aca="false">IF(Scenarios!$F$9=3,0,L392+M390)</f>
        <v>9861.28147186876</v>
      </c>
    </row>
    <row r="393" customFormat="false" ht="15" hidden="false" customHeight="false" outlineLevel="0" collapsed="false">
      <c r="A393" s="9" t="s">
        <v>491</v>
      </c>
      <c r="C393" s="36" t="n">
        <f aca="false">0</f>
        <v>0</v>
      </c>
      <c r="D393" s="36" t="n">
        <f aca="false">C392*a_yield*(1-a_tax)</f>
        <v>0</v>
      </c>
      <c r="E393" s="36" t="n">
        <f aca="false">D392*a_yield*(1-a_tax)</f>
        <v>27.84375</v>
      </c>
      <c r="F393" s="36" t="n">
        <f aca="false">E392*a_yield*(1-a_tax)</f>
        <v>58.471875</v>
      </c>
      <c r="G393" s="36" t="n">
        <f aca="false">F392*a_yield*(1-a_tax)</f>
        <v>92.1628125</v>
      </c>
      <c r="H393" s="36" t="n">
        <f aca="false">G392*a_yield*(1-a_tax)</f>
        <v>129.22284375</v>
      </c>
      <c r="I393" s="36" t="n">
        <f aca="false">H392*a_yield*(1-a_tax)</f>
        <v>169.988878125</v>
      </c>
      <c r="J393" s="36" t="n">
        <f aca="false">I392*a_yield*(1-a_tax)</f>
        <v>214.8315159375</v>
      </c>
      <c r="K393" s="36" t="n">
        <f aca="false">J392*a_yield*(1-a_tax)</f>
        <v>264.15841753125</v>
      </c>
      <c r="L393" s="36" t="n">
        <f aca="false">K392*a_yield*(1-a_tax)</f>
        <v>318.418009284375</v>
      </c>
      <c r="M393" s="36" t="n">
        <f aca="false">L392*a_yield*(1-a_tax)</f>
        <v>378.103560212813</v>
      </c>
    </row>
    <row r="394" customFormat="false" ht="15" hidden="false" customHeight="false" outlineLevel="0" collapsed="false">
      <c r="A394" s="9" t="s">
        <v>492</v>
      </c>
      <c r="C394" s="36" t="n">
        <f aca="false">cf_pat</f>
        <v>480</v>
      </c>
      <c r="D394" s="36" t="n">
        <f aca="false">cf_pat*(1+a_pat_growth)^D367</f>
        <v>480</v>
      </c>
      <c r="E394" s="36" t="n">
        <f aca="false">cf_pat*(1+a_pat_growth)^E367</f>
        <v>480</v>
      </c>
      <c r="F394" s="36" t="n">
        <f aca="false">cf_pat*(1+a_pat_growth)^F367</f>
        <v>480</v>
      </c>
      <c r="G394" s="36" t="n">
        <f aca="false">cf_pat*(1+a_pat_growth)^G367</f>
        <v>480</v>
      </c>
      <c r="H394" s="36" t="n">
        <f aca="false">cf_pat*(1+a_pat_growth)^H367</f>
        <v>480</v>
      </c>
      <c r="I394" s="36" t="n">
        <f aca="false">cf_pat*(1+a_pat_growth)^I367</f>
        <v>480</v>
      </c>
      <c r="J394" s="36" t="n">
        <f aca="false">cf_pat*(1+a_pat_growth)^J367</f>
        <v>480</v>
      </c>
      <c r="K394" s="36" t="n">
        <f aca="false">cf_pat*(1+a_pat_growth)^K367</f>
        <v>480</v>
      </c>
      <c r="L394" s="36" t="n">
        <f aca="false">cf_pat*(1+a_pat_growth)^L367</f>
        <v>480</v>
      </c>
      <c r="M394" s="36" t="n">
        <f aca="false">cf_pat*(1+a_pat_growth)^M367</f>
        <v>480</v>
      </c>
    </row>
    <row r="395" customFormat="false" ht="15" hidden="false" customHeight="false" outlineLevel="0" collapsed="false">
      <c r="A395" s="9" t="s">
        <v>493</v>
      </c>
      <c r="C395" s="36" t="n">
        <f aca="false">0</f>
        <v>0</v>
      </c>
      <c r="D395" s="36" t="n">
        <f aca="false">cf_mdr*a_mdr_flow*(1-a_tax)</f>
        <v>69</v>
      </c>
      <c r="E395" s="36" t="n">
        <f aca="false">cf_mdr*a_mdr_flow*(1-a_tax)</f>
        <v>69</v>
      </c>
      <c r="F395" s="36" t="n">
        <f aca="false">cf_mdr*a_mdr_flow*(1-a_tax)</f>
        <v>69</v>
      </c>
      <c r="G395" s="36" t="n">
        <f aca="false">cf_mdr*a_mdr_flow*(1-a_tax)</f>
        <v>69</v>
      </c>
      <c r="H395" s="36" t="n">
        <f aca="false">cf_mdr*a_mdr_flow*(1-a_tax)</f>
        <v>69</v>
      </c>
      <c r="I395" s="36" t="n">
        <f aca="false">cf_mdr*a_mdr_flow*(1-a_tax)</f>
        <v>69</v>
      </c>
      <c r="J395" s="36" t="n">
        <f aca="false">cf_mdr*a_mdr_flow*(1-a_tax)</f>
        <v>69</v>
      </c>
      <c r="K395" s="36" t="n">
        <f aca="false">cf_mdr*a_mdr_flow*(1-a_tax)</f>
        <v>69</v>
      </c>
      <c r="L395" s="36" t="n">
        <f aca="false">cf_mdr*a_mdr_flow*(1-a_tax)</f>
        <v>69</v>
      </c>
      <c r="M395" s="36" t="n">
        <f aca="false">cf_mdr*a_mdr_flow*(1-a_tax)</f>
        <v>69</v>
      </c>
    </row>
    <row r="396" customFormat="false" ht="15" hidden="false" customHeight="false" outlineLevel="0" collapsed="false">
      <c r="A396" s="9" t="s">
        <v>494</v>
      </c>
      <c r="C396" s="50" t="n">
        <f aca="false">cf_eps</f>
        <v>7.5</v>
      </c>
      <c r="D396" s="50" t="n">
        <f aca="false">D394/cf_shares</f>
        <v>7.5</v>
      </c>
      <c r="E396" s="50" t="n">
        <f aca="false">E394/cf_shares</f>
        <v>7.5</v>
      </c>
      <c r="F396" s="50" t="n">
        <f aca="false">F394/cf_shares</f>
        <v>7.5</v>
      </c>
      <c r="G396" s="50" t="n">
        <f aca="false">G394/cf_shares</f>
        <v>7.5</v>
      </c>
      <c r="H396" s="50" t="n">
        <f aca="false">H394/cf_shares</f>
        <v>7.5</v>
      </c>
      <c r="I396" s="50" t="n">
        <f aca="false">I394/cf_shares</f>
        <v>7.5</v>
      </c>
      <c r="J396" s="50" t="n">
        <f aca="false">J394/cf_shares</f>
        <v>7.5</v>
      </c>
      <c r="K396" s="50" t="n">
        <f aca="false">K394/cf_shares</f>
        <v>7.5</v>
      </c>
      <c r="L396" s="50" t="n">
        <f aca="false">L394/cf_shares</f>
        <v>7.5</v>
      </c>
      <c r="M396" s="50" t="n">
        <f aca="false">M394/cf_shares</f>
        <v>7.5</v>
      </c>
    </row>
    <row r="397" customFormat="false" ht="15" hidden="false" customHeight="false" outlineLevel="0" collapsed="false">
      <c r="A397" s="9" t="s">
        <v>495</v>
      </c>
      <c r="C397" s="50" t="n">
        <f aca="false">cf_eps</f>
        <v>7.5</v>
      </c>
      <c r="D397" s="50" t="n">
        <f aca="false">(D394+D395)/cf_shares</f>
        <v>8.578125</v>
      </c>
      <c r="E397" s="50" t="n">
        <f aca="false">(E394+E395)/cf_shares</f>
        <v>8.578125</v>
      </c>
      <c r="F397" s="50" t="n">
        <f aca="false">(F394+F395)/cf_shares</f>
        <v>8.578125</v>
      </c>
      <c r="G397" s="50" t="n">
        <f aca="false">(G394+G395)/cf_shares</f>
        <v>8.578125</v>
      </c>
      <c r="H397" s="50" t="n">
        <f aca="false">(H394+H395)/cf_shares</f>
        <v>8.578125</v>
      </c>
      <c r="I397" s="50" t="n">
        <f aca="false">(I394+I395)/cf_shares</f>
        <v>8.578125</v>
      </c>
      <c r="J397" s="50" t="n">
        <f aca="false">(J394+J395)/cf_shares</f>
        <v>8.578125</v>
      </c>
      <c r="K397" s="50" t="n">
        <f aca="false">(K394+K395)/cf_shares</f>
        <v>8.578125</v>
      </c>
      <c r="L397" s="50" t="n">
        <f aca="false">(L394+L395)/cf_shares</f>
        <v>8.578125</v>
      </c>
      <c r="M397" s="50" t="n">
        <f aca="false">(M394+M395)/cf_shares</f>
        <v>8.578125</v>
      </c>
    </row>
    <row r="398" customFormat="false" ht="15" hidden="false" customHeight="false" outlineLevel="0" collapsed="false">
      <c r="A398" s="4" t="s">
        <v>496</v>
      </c>
      <c r="C398" s="41" t="n">
        <f aca="false">-C385-C387</f>
        <v>-94.5</v>
      </c>
      <c r="D398" s="41" t="n">
        <f aca="false">D377+D389*(1-a_tax)-C385-C387-D391-D393</f>
        <v>-155.5445</v>
      </c>
      <c r="E398" s="41" t="n">
        <f aca="false">E377+E389*(1-a_tax)-C385-C387-E391-E393</f>
        <v>-116.054775</v>
      </c>
      <c r="F398" s="41" t="n">
        <f aca="false">F377+F389*(1-a_tax)-C385-C387-F391-F393</f>
        <v>-141.112665</v>
      </c>
      <c r="G398" s="41" t="n">
        <f aca="false">G377+G389*(1-a_tax)-C385-C387-G391-G393</f>
        <v>-168.18221025</v>
      </c>
      <c r="H398" s="41" t="n">
        <f aca="false">H377+H389*(1-a_tax)-C385-C387-H391-H393</f>
        <v>-197.4151629</v>
      </c>
      <c r="I398" s="41" t="n">
        <f aca="false">I377+I389*(1-a_tax)-C385-C387-I391-I393</f>
        <v>-235.55042919</v>
      </c>
      <c r="J398" s="41" t="n">
        <f aca="false">J377+J389*(1-a_tax)-C385-C387-J391-J393</f>
        <v>-277.499222109</v>
      </c>
      <c r="K398" s="41" t="n">
        <f aca="false">K377+K389*(1-a_tax)-C385-C387-K391-K393</f>
        <v>-323.6428943199</v>
      </c>
      <c r="L398" s="41" t="n">
        <f aca="false">L377+L389*(1-a_tax)-C385-C387-L391-L393</f>
        <v>-374.40093375189</v>
      </c>
      <c r="M398" s="41" t="n">
        <f aca="false">M377+M389*(1-a_tax)-C385-C387-M391-M393</f>
        <v>-430.234777127079</v>
      </c>
    </row>
    <row r="399" customFormat="false" ht="15" hidden="false" customHeight="false" outlineLevel="0" collapsed="false">
      <c r="A399" s="9" t="s">
        <v>497</v>
      </c>
      <c r="C399" s="36" t="n">
        <f aca="false">C394+C398</f>
        <v>385.5</v>
      </c>
      <c r="D399" s="36" t="n">
        <f aca="false">D394+D398</f>
        <v>324.4555</v>
      </c>
      <c r="E399" s="36" t="n">
        <f aca="false">E394+E398</f>
        <v>363.945225</v>
      </c>
      <c r="F399" s="36" t="n">
        <f aca="false">F394+F398</f>
        <v>338.887335</v>
      </c>
      <c r="G399" s="36" t="n">
        <f aca="false">G394+G398</f>
        <v>311.81778975</v>
      </c>
      <c r="H399" s="36" t="n">
        <f aca="false">H394+H398</f>
        <v>282.5848371</v>
      </c>
      <c r="I399" s="36" t="n">
        <f aca="false">I394+I398</f>
        <v>244.44957081</v>
      </c>
      <c r="J399" s="36" t="n">
        <f aca="false">J394+J398</f>
        <v>202.500777891</v>
      </c>
      <c r="K399" s="36" t="n">
        <f aca="false">K394+K398</f>
        <v>156.3571056801</v>
      </c>
      <c r="L399" s="36" t="n">
        <f aca="false">L394+L398</f>
        <v>105.59906624811</v>
      </c>
      <c r="M399" s="36" t="n">
        <f aca="false">M394+M398</f>
        <v>49.7652228729209</v>
      </c>
    </row>
    <row r="400" customFormat="false" ht="15" hidden="false" customHeight="false" outlineLevel="0" collapsed="false">
      <c r="A400" s="4" t="s">
        <v>498</v>
      </c>
      <c r="C400" s="48" t="n">
        <f aca="false">C399/C384</f>
        <v>5.92858021653543</v>
      </c>
      <c r="D400" s="48" t="n">
        <f aca="false">D399/C384</f>
        <v>4.98978069635827</v>
      </c>
      <c r="E400" s="48" t="n">
        <f aca="false">E399/C384</f>
        <v>5.59709068959154</v>
      </c>
      <c r="F400" s="48" t="n">
        <f aca="false">F399/C384</f>
        <v>5.2117269777313</v>
      </c>
      <c r="G400" s="48" t="n">
        <f aca="false">G399/C384</f>
        <v>4.79542614649975</v>
      </c>
      <c r="H400" s="48" t="n">
        <f aca="false">H399/C384</f>
        <v>4.34585440914124</v>
      </c>
      <c r="I400" s="48" t="n">
        <f aca="false">I399/C384</f>
        <v>3.75937455108883</v>
      </c>
      <c r="J400" s="48" t="n">
        <f aca="false">J399/C384</f>
        <v>3.11424670723118</v>
      </c>
      <c r="K400" s="48" t="n">
        <f aca="false">K399/C384</f>
        <v>2.40460607898776</v>
      </c>
      <c r="L400" s="48" t="n">
        <f aca="false">L399/C384</f>
        <v>1.62400138792</v>
      </c>
      <c r="M400" s="48" t="n">
        <f aca="false">M399/C384</f>
        <v>0.765336227745462</v>
      </c>
    </row>
    <row r="401" customFormat="false" ht="15" hidden="false" customHeight="false" outlineLevel="0" collapsed="false">
      <c r="A401" s="4" t="s">
        <v>499</v>
      </c>
      <c r="C401" s="14" t="n">
        <f aca="false">C400/cf_eps-1</f>
        <v>-0.209522637795276</v>
      </c>
      <c r="D401" s="14" t="n">
        <f aca="false">D400/cf_eps-1</f>
        <v>-0.334695907152231</v>
      </c>
      <c r="E401" s="14" t="n">
        <f aca="false">E400/cf_eps-1</f>
        <v>-0.253721241387795</v>
      </c>
      <c r="F401" s="14" t="n">
        <f aca="false">F400/cf_eps-1</f>
        <v>-0.305103069635827</v>
      </c>
      <c r="G401" s="14" t="n">
        <f aca="false">G400/cf_eps-1</f>
        <v>-0.360609847133366</v>
      </c>
      <c r="H401" s="14" t="n">
        <f aca="false">H400/cf_eps-1</f>
        <v>-0.420552745447835</v>
      </c>
      <c r="I401" s="14" t="n">
        <f aca="false">I400/cf_eps-1</f>
        <v>-0.498750059854823</v>
      </c>
      <c r="J401" s="14" t="n">
        <f aca="false">J400/cf_eps-1</f>
        <v>-0.58476710570251</v>
      </c>
      <c r="K401" s="14" t="n">
        <f aca="false">K400/cf_eps-1</f>
        <v>-0.679385856134966</v>
      </c>
      <c r="L401" s="14" t="n">
        <f aca="false">L400/cf_eps-1</f>
        <v>-0.783466481610667</v>
      </c>
      <c r="M401" s="14" t="n">
        <f aca="false">M400/cf_eps-1</f>
        <v>-0.897955169633938</v>
      </c>
    </row>
    <row r="402" customFormat="false" ht="15" hidden="false" customHeight="false" outlineLevel="0" collapsed="false">
      <c r="A402" s="9" t="s">
        <v>500</v>
      </c>
      <c r="C402" s="50" t="n">
        <f aca="false">C400</f>
        <v>5.92858021653543</v>
      </c>
      <c r="D402" s="50" t="n">
        <f aca="false">(D399+D395)/C384</f>
        <v>6.05092734990157</v>
      </c>
      <c r="E402" s="50" t="n">
        <f aca="false">(E399+E395)/C384</f>
        <v>6.65823734313484</v>
      </c>
      <c r="F402" s="50" t="n">
        <f aca="false">(F399+F395)/C384</f>
        <v>6.27287363127461</v>
      </c>
      <c r="G402" s="50" t="n">
        <f aca="false">(G399+G395)/C384</f>
        <v>5.85657280004306</v>
      </c>
      <c r="H402" s="50" t="n">
        <f aca="false">(H399+H395)/C384</f>
        <v>5.40700106268455</v>
      </c>
      <c r="I402" s="50" t="n">
        <f aca="false">(I399+I395)/C384</f>
        <v>4.82052120463214</v>
      </c>
      <c r="J402" s="50" t="n">
        <f aca="false">(J399+J395)/C384</f>
        <v>4.17539336077448</v>
      </c>
      <c r="K402" s="50" t="n">
        <f aca="false">(K399+K395)/C384</f>
        <v>3.46575273253106</v>
      </c>
      <c r="L402" s="50" t="n">
        <f aca="false">(L399+L395)/C384</f>
        <v>2.6851480414633</v>
      </c>
      <c r="M402" s="50" t="n">
        <f aca="false">(M399+M395)/C384</f>
        <v>1.82648288128877</v>
      </c>
    </row>
    <row r="403" customFormat="false" ht="15" hidden="false" customHeight="false" outlineLevel="0" collapsed="false">
      <c r="A403" s="9" t="s">
        <v>501</v>
      </c>
      <c r="C403" s="18" t="n">
        <f aca="false">C401</f>
        <v>-0.209522637795276</v>
      </c>
      <c r="D403" s="18" t="n">
        <f aca="false">D402/D397-1</f>
        <v>-0.294609562124407</v>
      </c>
      <c r="E403" s="18" t="n">
        <f aca="false">E402/E397-1</f>
        <v>-0.223812040144572</v>
      </c>
      <c r="F403" s="18" t="n">
        <f aca="false">F402/F397-1</f>
        <v>-0.268736042984381</v>
      </c>
      <c r="G403" s="18" t="n">
        <f aca="false">G402/G397-1</f>
        <v>-0.317266558829224</v>
      </c>
      <c r="H403" s="18" t="n">
        <f aca="false">H402/H397-1</f>
        <v>-0.36967565025171</v>
      </c>
      <c r="I403" s="18" t="n">
        <f aca="false">I402/I397-1</f>
        <v>-0.4380448868917</v>
      </c>
      <c r="J403" s="18" t="n">
        <f aca="false">J402/J397-1</f>
        <v>-0.513251047195689</v>
      </c>
      <c r="K403" s="18" t="n">
        <f aca="false">K402/K397-1</f>
        <v>-0.595977823530076</v>
      </c>
      <c r="L403" s="18" t="n">
        <f aca="false">L402/L397-1</f>
        <v>-0.686977277497903</v>
      </c>
      <c r="M403" s="18" t="n">
        <f aca="false">M402/M397-1</f>
        <v>-0.787076676862512</v>
      </c>
    </row>
    <row r="404" customFormat="false" ht="15" hidden="false" customHeight="false" outlineLevel="0" collapsed="false">
      <c r="A404" s="9" t="s">
        <v>502</v>
      </c>
      <c r="C404" s="50" t="n">
        <f aca="false">(C399+C387)/C384</f>
        <v>5.92858021653543</v>
      </c>
      <c r="D404" s="50" t="n">
        <f aca="false">(D399+C387)/C384</f>
        <v>4.98978069635827</v>
      </c>
      <c r="E404" s="50" t="n">
        <f aca="false">(E399+C387)/C384</f>
        <v>5.59709068959154</v>
      </c>
      <c r="F404" s="50" t="n">
        <f aca="false">(F399+C387)/C384</f>
        <v>5.2117269777313</v>
      </c>
      <c r="G404" s="50" t="n">
        <f aca="false">(G399+C387)/C384</f>
        <v>4.79542614649975</v>
      </c>
      <c r="H404" s="50" t="n">
        <f aca="false">(H399+C387)/C384</f>
        <v>4.34585440914124</v>
      </c>
      <c r="I404" s="50" t="n">
        <f aca="false">(I399+C387)/C384</f>
        <v>3.75937455108883</v>
      </c>
      <c r="J404" s="50" t="n">
        <f aca="false">(J399+C387)/C384</f>
        <v>3.11424670723118</v>
      </c>
      <c r="K404" s="50" t="n">
        <f aca="false">(K399+C387)/C384</f>
        <v>2.40460607898776</v>
      </c>
      <c r="L404" s="50" t="n">
        <f aca="false">(L399+C387)/C384</f>
        <v>1.62400138792</v>
      </c>
      <c r="M404" s="50" t="n">
        <f aca="false">(M399+C387)/C384</f>
        <v>0.765336227745462</v>
      </c>
    </row>
    <row r="405" customFormat="false" ht="15" hidden="false" customHeight="false" outlineLevel="0" collapsed="false">
      <c r="A405" s="9" t="s">
        <v>503</v>
      </c>
      <c r="C405" s="50" t="n">
        <f aca="false">(C399-C386+C387)/C384</f>
        <v>4.48680487204724</v>
      </c>
      <c r="D405" s="50" t="n">
        <f aca="false">(D399-C386+C387)/C384</f>
        <v>3.54800535187008</v>
      </c>
      <c r="E405" s="50" t="n">
        <f aca="false">(E399-C386+C387)/C384</f>
        <v>4.15531534510335</v>
      </c>
      <c r="F405" s="50" t="n">
        <f aca="false">(F399-C386+C387)/C384</f>
        <v>3.76995163324311</v>
      </c>
      <c r="G405" s="50" t="n">
        <f aca="false">(G399-C386+C387)/C384</f>
        <v>3.35365080201156</v>
      </c>
      <c r="H405" s="50" t="n">
        <f aca="false">(H399-C386+C387)/C384</f>
        <v>2.90407906465305</v>
      </c>
      <c r="I405" s="50" t="n">
        <f aca="false">(I399-C386+C387)/C384</f>
        <v>2.31759920660064</v>
      </c>
      <c r="J405" s="50" t="n">
        <f aca="false">(J399-C386+C387)/C384</f>
        <v>1.67247136274299</v>
      </c>
      <c r="K405" s="50" t="n">
        <f aca="false">(K399-C386+C387)/C384</f>
        <v>0.962830734499569</v>
      </c>
      <c r="L405" s="50" t="n">
        <f aca="false">(L399-C386+C387)/C384</f>
        <v>0.182226043431809</v>
      </c>
      <c r="M405" s="50" t="n">
        <f aca="false">(M399-C386+C387)/C384</f>
        <v>-0.676439116742727</v>
      </c>
    </row>
    <row r="406" customFormat="false" ht="15" hidden="false" customHeight="false" outlineLevel="0" collapsed="false">
      <c r="A406" s="9" t="s">
        <v>504</v>
      </c>
      <c r="C406" s="50" t="n">
        <f aca="false">C394/C384</f>
        <v>7.38188976377953</v>
      </c>
      <c r="D406" s="50" t="n">
        <f aca="false">D394/C384</f>
        <v>7.38188976377953</v>
      </c>
      <c r="E406" s="50" t="n">
        <f aca="false">E394/C384</f>
        <v>7.38188976377953</v>
      </c>
      <c r="F406" s="50" t="n">
        <f aca="false">F394/C384</f>
        <v>7.38188976377953</v>
      </c>
      <c r="G406" s="50" t="n">
        <f aca="false">G394/C384</f>
        <v>7.38188976377953</v>
      </c>
      <c r="H406" s="50" t="n">
        <f aca="false">H394/C384</f>
        <v>7.38188976377953</v>
      </c>
      <c r="I406" s="50" t="n">
        <f aca="false">I394/C384</f>
        <v>7.38188976377953</v>
      </c>
      <c r="J406" s="50" t="n">
        <f aca="false">J394/C384</f>
        <v>7.38188976377953</v>
      </c>
      <c r="K406" s="50" t="n">
        <f aca="false">K394/C384</f>
        <v>7.38188976377953</v>
      </c>
      <c r="L406" s="50" t="n">
        <f aca="false">L394/C384</f>
        <v>7.38188976377953</v>
      </c>
      <c r="M406" s="50" t="n">
        <f aca="false">M394/C384</f>
        <v>7.38188976377953</v>
      </c>
    </row>
    <row r="407" customFormat="false" ht="15" hidden="false" customHeight="false" outlineLevel="0" collapsed="false">
      <c r="A407" s="9" t="s">
        <v>505</v>
      </c>
      <c r="D407" s="36" t="n">
        <f aca="false">D380+D389*(1-a_tax)-D390-IF(D367=1,C388,0)</f>
        <v>-834.2395</v>
      </c>
      <c r="E407" s="36" t="n">
        <f aca="false">E380+E389*(1-a_tax)-E390-IF(E367=1,C388,0)</f>
        <v>-674.880525</v>
      </c>
      <c r="F407" s="36" t="n">
        <f aca="false">F380+F389*(1-a_tax)-F390-IF(F367=1,C388,0)</f>
        <v>-737.42724</v>
      </c>
      <c r="G407" s="36" t="n">
        <f aca="false">G380+G389*(1-a_tax)-G390-IF(G367=1,C388,0)</f>
        <v>-805.73449275</v>
      </c>
      <c r="H407" s="36" t="n">
        <f aca="false">H380+H389*(1-a_tax)-H390-IF(H367=1,C388,0)</f>
        <v>-880.32892365</v>
      </c>
      <c r="I407" s="36" t="n">
        <f aca="false">I380+I389*(1-a_tax)-I390-IF(I367=1,C388,0)</f>
        <v>-968.361816015001</v>
      </c>
      <c r="J407" s="36" t="n">
        <f aca="false">J380+J389*(1-a_tax)-J390-IF(J367=1,C388,0)</f>
        <v>-1065.1979976165</v>
      </c>
      <c r="K407" s="36" t="n">
        <f aca="false">K380+K389*(1-a_tax)-K390-IF(K367=1,C388,0)</f>
        <v>-1171.71779737815</v>
      </c>
      <c r="L407" s="36" t="n">
        <f aca="false">L380+L389*(1-a_tax)-L390-IF(L367=1,C388,0)</f>
        <v>-1288.88957711597</v>
      </c>
      <c r="M407" s="36" t="n">
        <f aca="false">M380+M389*(1-a_tax)-M390-IF(M367=1,C388,0)</f>
        <v>-1417.77853482756</v>
      </c>
    </row>
    <row r="408" customFormat="false" ht="15" hidden="false" customHeight="false" outlineLevel="0" collapsed="false">
      <c r="A408" s="4" t="s">
        <v>506</v>
      </c>
      <c r="D408" s="41" t="n">
        <f aca="false">D407-C385</f>
        <v>-928.7395</v>
      </c>
      <c r="E408" s="41" t="n">
        <f aca="false">E407-C385</f>
        <v>-769.380525</v>
      </c>
      <c r="F408" s="41" t="n">
        <f aca="false">F407-C385</f>
        <v>-831.92724</v>
      </c>
      <c r="G408" s="41" t="n">
        <f aca="false">G407-C385</f>
        <v>-900.23449275</v>
      </c>
      <c r="H408" s="41" t="n">
        <f aca="false">H407-C385</f>
        <v>-974.82892365</v>
      </c>
      <c r="I408" s="41" t="n">
        <f aca="false">I407-C385</f>
        <v>-1062.861816015</v>
      </c>
      <c r="J408" s="41" t="n">
        <f aca="false">J407-C385</f>
        <v>-1159.6979976165</v>
      </c>
      <c r="K408" s="41" t="n">
        <f aca="false">K407-C385</f>
        <v>-1266.21779737815</v>
      </c>
      <c r="L408" s="41" t="n">
        <f aca="false">L407-C385</f>
        <v>-1383.38957711597</v>
      </c>
      <c r="M408" s="41" t="n">
        <f aca="false">M407-C385</f>
        <v>-1512.27853482756</v>
      </c>
    </row>
    <row r="409" customFormat="false" ht="15" hidden="false" customHeight="false" outlineLevel="0" collapsed="false">
      <c r="A409" s="9" t="s">
        <v>507</v>
      </c>
      <c r="C409" s="36" t="n">
        <f aca="false">0</f>
        <v>0</v>
      </c>
      <c r="D409" s="36" t="n">
        <f aca="false">D395</f>
        <v>69</v>
      </c>
      <c r="E409" s="36" t="n">
        <f aca="false">E395</f>
        <v>69</v>
      </c>
      <c r="F409" s="36" t="n">
        <f aca="false">F395</f>
        <v>69</v>
      </c>
      <c r="G409" s="36" t="n">
        <f aca="false">G395</f>
        <v>69</v>
      </c>
      <c r="H409" s="36" t="n">
        <f aca="false">H395</f>
        <v>69</v>
      </c>
      <c r="I409" s="36" t="n">
        <f aca="false">I395</f>
        <v>69</v>
      </c>
      <c r="J409" s="36" t="n">
        <f aca="false">J395</f>
        <v>69</v>
      </c>
      <c r="K409" s="36" t="n">
        <f aca="false">K395</f>
        <v>69</v>
      </c>
      <c r="L409" s="36" t="n">
        <f aca="false">L395</f>
        <v>69</v>
      </c>
      <c r="M409" s="36" t="n">
        <f aca="false">M395</f>
        <v>69</v>
      </c>
    </row>
    <row r="410" customFormat="false" ht="15" hidden="false" customHeight="false" outlineLevel="0" collapsed="false">
      <c r="A410" s="9" t="s">
        <v>508</v>
      </c>
      <c r="D410" s="36" t="n">
        <f aca="false">D408+D409</f>
        <v>-859.7395</v>
      </c>
      <c r="E410" s="36" t="n">
        <f aca="false">E408+E409</f>
        <v>-700.380525</v>
      </c>
      <c r="F410" s="36" t="n">
        <f aca="false">F408+F409</f>
        <v>-762.92724</v>
      </c>
      <c r="G410" s="36" t="n">
        <f aca="false">G408+G409</f>
        <v>-831.23449275</v>
      </c>
      <c r="H410" s="36" t="n">
        <f aca="false">H408+H409</f>
        <v>-905.82892365</v>
      </c>
      <c r="I410" s="36" t="n">
        <f aca="false">I408+I409</f>
        <v>-993.861816015</v>
      </c>
      <c r="J410" s="36" t="n">
        <f aca="false">J408+J409</f>
        <v>-1090.6979976165</v>
      </c>
      <c r="K410" s="36" t="n">
        <f aca="false">K408+K409</f>
        <v>-1197.21779737815</v>
      </c>
      <c r="L410" s="36" t="n">
        <f aca="false">L408+L409</f>
        <v>-1314.38957711597</v>
      </c>
      <c r="M410" s="36" t="n">
        <f aca="false">M408+M409</f>
        <v>-1443.27853482756</v>
      </c>
    </row>
    <row r="411" customFormat="false" ht="15" hidden="false" customHeight="false" outlineLevel="0" collapsed="false">
      <c r="A411" s="9" t="s">
        <v>509</v>
      </c>
      <c r="D411" s="36" t="n">
        <f aca="false">IF(Scenarios!$F$15=1,D410,D408)</f>
        <v>-928.7395</v>
      </c>
      <c r="E411" s="36" t="n">
        <f aca="false">IF(Scenarios!$F$15=1,E410,E408)</f>
        <v>-769.380525</v>
      </c>
      <c r="F411" s="36" t="n">
        <f aca="false">IF(Scenarios!$F$15=1,F410,F408)</f>
        <v>-831.92724</v>
      </c>
      <c r="G411" s="36" t="n">
        <f aca="false">IF(Scenarios!$F$15=1,G410,G408)</f>
        <v>-900.23449275</v>
      </c>
      <c r="H411" s="36" t="n">
        <f aca="false">IF(Scenarios!$F$15=1,H410,H408)</f>
        <v>-974.82892365</v>
      </c>
      <c r="I411" s="36" t="n">
        <f aca="false">IF(Scenarios!$F$15=1,I410,I408)</f>
        <v>-1062.861816015</v>
      </c>
      <c r="J411" s="36" t="n">
        <f aca="false">IF(Scenarios!$F$15=1,J410,J408)</f>
        <v>-1159.6979976165</v>
      </c>
      <c r="K411" s="36" t="n">
        <f aca="false">IF(Scenarios!$F$15=1,K410,K408)</f>
        <v>-1266.21779737815</v>
      </c>
      <c r="L411" s="36" t="n">
        <f aca="false">IF(Scenarios!$F$15=1,L410,L408)</f>
        <v>-1383.38957711597</v>
      </c>
      <c r="M411" s="36" t="n">
        <f aca="false">IF(Scenarios!$F$15=1,M410,M408)</f>
        <v>-1512.27853482756</v>
      </c>
    </row>
    <row r="412" customFormat="false" ht="15" hidden="false" customHeight="false" outlineLevel="0" collapsed="false">
      <c r="A412" s="9" t="s">
        <v>510</v>
      </c>
      <c r="C412" s="36" t="n">
        <f aca="false">-Scenarios!$F$14</f>
        <v>-4000</v>
      </c>
      <c r="D412" s="36" t="n">
        <f aca="false">C412+D411</f>
        <v>-4928.7395</v>
      </c>
      <c r="E412" s="36" t="n">
        <f aca="false">D412+E411</f>
        <v>-5698.120025</v>
      </c>
      <c r="F412" s="36" t="n">
        <f aca="false">E412+F411</f>
        <v>-6530.047265</v>
      </c>
      <c r="G412" s="36" t="n">
        <f aca="false">F412+G411</f>
        <v>-7430.28175775</v>
      </c>
      <c r="H412" s="36" t="n">
        <f aca="false">G412+H411</f>
        <v>-8405.1106814</v>
      </c>
      <c r="I412" s="36" t="n">
        <f aca="false">H412+I411</f>
        <v>-9467.972497415</v>
      </c>
      <c r="J412" s="36" t="n">
        <f aca="false">I412+J411</f>
        <v>-10627.6704950315</v>
      </c>
      <c r="K412" s="36" t="n">
        <f aca="false">J412+K411</f>
        <v>-11893.8882924097</v>
      </c>
      <c r="L412" s="36" t="n">
        <f aca="false">K412+L411</f>
        <v>-13277.2778695256</v>
      </c>
      <c r="M412" s="36" t="n">
        <f aca="false">L412+M411</f>
        <v>-14789.5564043532</v>
      </c>
    </row>
    <row r="413" customFormat="false" ht="15" hidden="false" customHeight="false" outlineLevel="0" collapsed="false">
      <c r="A413" s="9" t="s">
        <v>511</v>
      </c>
      <c r="C413" s="43" t="n">
        <f aca="false">1</f>
        <v>1</v>
      </c>
      <c r="D413" s="43" t="n">
        <f aca="false">1/(1+Scenarios!$F$13)^D367</f>
        <v>0.869565217391304</v>
      </c>
      <c r="E413" s="43" t="n">
        <f aca="false">1/(1+Scenarios!$F$13)^E367</f>
        <v>0.756143667296787</v>
      </c>
      <c r="F413" s="43" t="n">
        <f aca="false">1/(1+Scenarios!$F$13)^F367</f>
        <v>0.657516232431988</v>
      </c>
      <c r="G413" s="43" t="n">
        <f aca="false">1/(1+Scenarios!$F$13)^G367</f>
        <v>0.571753245593033</v>
      </c>
      <c r="H413" s="43" t="n">
        <f aca="false">1/(1+Scenarios!$F$13)^H367</f>
        <v>0.49717673529829</v>
      </c>
      <c r="I413" s="43" t="n">
        <f aca="false">1/(1+Scenarios!$F$13)^I367</f>
        <v>0.432327595911556</v>
      </c>
      <c r="J413" s="43" t="n">
        <f aca="false">1/(1+Scenarios!$F$13)^J367</f>
        <v>0.375937039923093</v>
      </c>
      <c r="K413" s="43" t="n">
        <f aca="false">1/(1+Scenarios!$F$13)^K367</f>
        <v>0.326901773846168</v>
      </c>
      <c r="L413" s="43" t="n">
        <f aca="false">1/(1+Scenarios!$F$13)^L367</f>
        <v>0.284262412040146</v>
      </c>
      <c r="M413" s="43" t="n">
        <f aca="false">1/(1+Scenarios!$F$13)^M367</f>
        <v>0.247184706121866</v>
      </c>
    </row>
    <row r="414" customFormat="false" ht="15" hidden="false" customHeight="false" outlineLevel="0" collapsed="false">
      <c r="A414" s="9" t="s">
        <v>512</v>
      </c>
      <c r="C414" s="46" t="n">
        <f aca="false">99</f>
        <v>99</v>
      </c>
      <c r="D414" s="46" t="n">
        <f aca="false">IF(D398&gt;=0,D367,99)</f>
        <v>99</v>
      </c>
      <c r="E414" s="46" t="n">
        <f aca="false">IF(E398&gt;=0,E367,99)</f>
        <v>99</v>
      </c>
      <c r="F414" s="46" t="n">
        <f aca="false">IF(F398&gt;=0,F367,99)</f>
        <v>99</v>
      </c>
      <c r="G414" s="46" t="n">
        <f aca="false">IF(G398&gt;=0,G367,99)</f>
        <v>99</v>
      </c>
      <c r="H414" s="46" t="n">
        <f aca="false">IF(H398&gt;=0,H367,99)</f>
        <v>99</v>
      </c>
      <c r="I414" s="46" t="n">
        <f aca="false">IF(I398&gt;=0,I367,99)</f>
        <v>99</v>
      </c>
      <c r="J414" s="46" t="n">
        <f aca="false">IF(J398&gt;=0,J367,99)</f>
        <v>99</v>
      </c>
      <c r="K414" s="46" t="n">
        <f aca="false">IF(K398&gt;=0,K367,99)</f>
        <v>99</v>
      </c>
      <c r="L414" s="46" t="n">
        <f aca="false">IF(L398&gt;=0,L367,99)</f>
        <v>99</v>
      </c>
      <c r="M414" s="46" t="n">
        <f aca="false">IF(M398&gt;=0,M367,99)</f>
        <v>99</v>
      </c>
    </row>
    <row r="415" customFormat="false" ht="15" hidden="false" customHeight="false" outlineLevel="0" collapsed="false">
      <c r="A415" s="9" t="s">
        <v>513</v>
      </c>
      <c r="C415" s="46" t="n">
        <f aca="false">99</f>
        <v>99</v>
      </c>
      <c r="D415" s="46" t="n">
        <f aca="false">IF(D398+D395&gt;=0,D367,99)</f>
        <v>99</v>
      </c>
      <c r="E415" s="46" t="n">
        <f aca="false">IF(E398+E395&gt;=0,E367,99)</f>
        <v>99</v>
      </c>
      <c r="F415" s="46" t="n">
        <f aca="false">IF(F398+F395&gt;=0,F367,99)</f>
        <v>99</v>
      </c>
      <c r="G415" s="46" t="n">
        <f aca="false">IF(G398+G395&gt;=0,G367,99)</f>
        <v>99</v>
      </c>
      <c r="H415" s="46" t="n">
        <f aca="false">IF(H398+H395&gt;=0,H367,99)</f>
        <v>99</v>
      </c>
      <c r="I415" s="46" t="n">
        <f aca="false">IF(I398+I395&gt;=0,I367,99)</f>
        <v>99</v>
      </c>
      <c r="J415" s="46" t="n">
        <f aca="false">IF(J398+J395&gt;=0,J367,99)</f>
        <v>99</v>
      </c>
      <c r="K415" s="46" t="n">
        <f aca="false">IF(K398+K395&gt;=0,K367,99)</f>
        <v>99</v>
      </c>
      <c r="L415" s="46" t="n">
        <f aca="false">IF(L398+L395&gt;=0,L367,99)</f>
        <v>99</v>
      </c>
      <c r="M415" s="46" t="n">
        <f aca="false">IF(M398+M395&gt;=0,M367,99)</f>
        <v>99</v>
      </c>
    </row>
    <row r="416" customFormat="false" ht="15" hidden="false" customHeight="false" outlineLevel="0" collapsed="false">
      <c r="A416" s="9" t="s">
        <v>514</v>
      </c>
      <c r="C416" s="46" t="n">
        <f aca="false">99</f>
        <v>99</v>
      </c>
      <c r="D416" s="46" t="n">
        <f aca="false">IF(D408&gt;=0,D367,99)</f>
        <v>99</v>
      </c>
      <c r="E416" s="46" t="n">
        <f aca="false">IF(E408&gt;=0,E367,99)</f>
        <v>99</v>
      </c>
      <c r="F416" s="46" t="n">
        <f aca="false">IF(F408&gt;=0,F367,99)</f>
        <v>99</v>
      </c>
      <c r="G416" s="46" t="n">
        <f aca="false">IF(G408&gt;=0,G367,99)</f>
        <v>99</v>
      </c>
      <c r="H416" s="46" t="n">
        <f aca="false">IF(H408&gt;=0,H367,99)</f>
        <v>99</v>
      </c>
      <c r="I416" s="46" t="n">
        <f aca="false">IF(I408&gt;=0,I367,99)</f>
        <v>99</v>
      </c>
      <c r="J416" s="46" t="n">
        <f aca="false">IF(J408&gt;=0,J367,99)</f>
        <v>99</v>
      </c>
      <c r="K416" s="46" t="n">
        <f aca="false">IF(K408&gt;=0,K367,99)</f>
        <v>99</v>
      </c>
      <c r="L416" s="46" t="n">
        <f aca="false">IF(L408&gt;=0,L367,99)</f>
        <v>99</v>
      </c>
      <c r="M416" s="46" t="n">
        <f aca="false">IF(M408&gt;=0,M367,99)</f>
        <v>99</v>
      </c>
    </row>
    <row r="417" customFormat="false" ht="15" hidden="false" customHeight="false" outlineLevel="0" collapsed="false">
      <c r="A417" s="9" t="s">
        <v>515</v>
      </c>
      <c r="C417" s="46" t="n">
        <f aca="false">99</f>
        <v>99</v>
      </c>
      <c r="D417" s="46" t="n">
        <f aca="false">IF(D410&gt;=0,D367,99)</f>
        <v>99</v>
      </c>
      <c r="E417" s="46" t="n">
        <f aca="false">IF(E410&gt;=0,E367,99)</f>
        <v>99</v>
      </c>
      <c r="F417" s="46" t="n">
        <f aca="false">IF(F410&gt;=0,F367,99)</f>
        <v>99</v>
      </c>
      <c r="G417" s="46" t="n">
        <f aca="false">IF(G410&gt;=0,G367,99)</f>
        <v>99</v>
      </c>
      <c r="H417" s="46" t="n">
        <f aca="false">IF(H410&gt;=0,H367,99)</f>
        <v>99</v>
      </c>
      <c r="I417" s="46" t="n">
        <f aca="false">IF(I410&gt;=0,I367,99)</f>
        <v>99</v>
      </c>
      <c r="J417" s="46" t="n">
        <f aca="false">IF(J410&gt;=0,J367,99)</f>
        <v>99</v>
      </c>
      <c r="K417" s="46" t="n">
        <f aca="false">IF(K410&gt;=0,K367,99)</f>
        <v>99</v>
      </c>
      <c r="L417" s="46" t="n">
        <f aca="false">IF(L410&gt;=0,L367,99)</f>
        <v>99</v>
      </c>
      <c r="M417" s="46" t="n">
        <f aca="false">IF(M410&gt;=0,M367,99)</f>
        <v>99</v>
      </c>
    </row>
    <row r="418" customFormat="false" ht="15" hidden="false" customHeight="false" outlineLevel="0" collapsed="false">
      <c r="A418" s="9" t="s">
        <v>516</v>
      </c>
      <c r="C418" s="46" t="n">
        <f aca="false">99</f>
        <v>99</v>
      </c>
      <c r="D418" s="46" t="n">
        <f aca="false">IF(D412&gt;=0,D367,99)</f>
        <v>99</v>
      </c>
      <c r="E418" s="46" t="n">
        <f aca="false">IF(E412&gt;=0,E367,99)</f>
        <v>99</v>
      </c>
      <c r="F418" s="46" t="n">
        <f aca="false">IF(F412&gt;=0,F367,99)</f>
        <v>99</v>
      </c>
      <c r="G418" s="46" t="n">
        <f aca="false">IF(G412&gt;=0,G367,99)</f>
        <v>99</v>
      </c>
      <c r="H418" s="46" t="n">
        <f aca="false">IF(H412&gt;=0,H367,99)</f>
        <v>99</v>
      </c>
      <c r="I418" s="46" t="n">
        <f aca="false">IF(I412&gt;=0,I367,99)</f>
        <v>99</v>
      </c>
      <c r="J418" s="46" t="n">
        <f aca="false">IF(J412&gt;=0,J367,99)</f>
        <v>99</v>
      </c>
      <c r="K418" s="46" t="n">
        <f aca="false">IF(K412&gt;=0,K367,99)</f>
        <v>99</v>
      </c>
      <c r="L418" s="46" t="n">
        <f aca="false">IF(L412&gt;=0,L367,99)</f>
        <v>99</v>
      </c>
      <c r="M418" s="46" t="n">
        <f aca="false">IF(M412&gt;=0,M367,99)</f>
        <v>99</v>
      </c>
    </row>
    <row r="419" customFormat="false" ht="15" hidden="false" customHeight="false" outlineLevel="0" collapsed="false">
      <c r="A419" s="4" t="s">
        <v>517</v>
      </c>
      <c r="C419" s="23" t="n">
        <f aca="false">MIN(D414:M414)</f>
        <v>99</v>
      </c>
    </row>
    <row r="420" customFormat="false" ht="15" hidden="false" customHeight="false" outlineLevel="0" collapsed="false">
      <c r="A420" s="9" t="s">
        <v>518</v>
      </c>
      <c r="C420" s="46" t="n">
        <f aca="false">MIN(D415:M415)</f>
        <v>99</v>
      </c>
    </row>
    <row r="421" customFormat="false" ht="15" hidden="false" customHeight="false" outlineLevel="0" collapsed="false">
      <c r="A421" s="4" t="s">
        <v>519</v>
      </c>
      <c r="C421" s="23" t="n">
        <f aca="false">MIN(D416:M416)</f>
        <v>99</v>
      </c>
    </row>
    <row r="422" customFormat="false" ht="15" hidden="false" customHeight="false" outlineLevel="0" collapsed="false">
      <c r="A422" s="9" t="s">
        <v>520</v>
      </c>
      <c r="C422" s="46" t="n">
        <f aca="false">MIN(D417:M417)</f>
        <v>99</v>
      </c>
    </row>
    <row r="423" customFormat="false" ht="15" hidden="false" customHeight="false" outlineLevel="0" collapsed="false">
      <c r="A423" s="9" t="s">
        <v>521</v>
      </c>
      <c r="C423" s="46" t="n">
        <f aca="false">MIN(D418:M418)</f>
        <v>99</v>
      </c>
    </row>
    <row r="424" customFormat="false" ht="15" hidden="false" customHeight="false" outlineLevel="0" collapsed="false">
      <c r="A424" s="4" t="s">
        <v>522</v>
      </c>
      <c r="C424" s="15" t="n">
        <f aca="false">M412</f>
        <v>-14789.5564043532</v>
      </c>
    </row>
    <row r="425" customFormat="false" ht="15" hidden="false" customHeight="false" outlineLevel="0" collapsed="false">
      <c r="A425" s="9" t="s">
        <v>523</v>
      </c>
      <c r="C425" s="36" t="n">
        <f aca="false">SUMPRODUCT(D380:M380,D413:M413)</f>
        <v>42.171156891689</v>
      </c>
    </row>
    <row r="426" customFormat="false" ht="15" hidden="false" customHeight="false" outlineLevel="0" collapsed="false">
      <c r="A426" s="9" t="s">
        <v>524</v>
      </c>
      <c r="C426" s="36" t="n">
        <f aca="false">M380*(1+a_tg)/(Scenarios!$F$13-a_tg)</f>
        <v>432.61678927623</v>
      </c>
    </row>
    <row r="427" customFormat="false" ht="15" hidden="false" customHeight="false" outlineLevel="0" collapsed="false">
      <c r="A427" s="9" t="s">
        <v>314</v>
      </c>
      <c r="C427" s="36" t="n">
        <f aca="false">C426*M413</f>
        <v>106.93625392063</v>
      </c>
    </row>
    <row r="428" customFormat="false" ht="15" hidden="false" customHeight="false" outlineLevel="0" collapsed="false">
      <c r="A428" s="4" t="s">
        <v>525</v>
      </c>
      <c r="C428" s="15" t="n">
        <f aca="false">C425+C427</f>
        <v>149.107410812319</v>
      </c>
    </row>
    <row r="429" customFormat="false" ht="15" hidden="false" customHeight="false" outlineLevel="0" collapsed="false">
      <c r="A429" s="9" t="s">
        <v>526</v>
      </c>
      <c r="C429" s="32" t="n">
        <f aca="false">SUMPRODUCT(D390:M390,D413:M413)-a_recovery*M392*M413</f>
        <v>4440.97333652416</v>
      </c>
    </row>
    <row r="430" customFormat="false" ht="15" hidden="false" customHeight="false" outlineLevel="0" collapsed="false">
      <c r="A430" s="9" t="s">
        <v>527</v>
      </c>
      <c r="C430" s="36" t="n">
        <f aca="false">SUMPRODUCT(D389:M389,D413:M413)*(1-a_tax)</f>
        <v>0</v>
      </c>
    </row>
    <row r="431" customFormat="false" ht="15" hidden="false" customHeight="false" outlineLevel="0" collapsed="false">
      <c r="A431" s="9" t="s">
        <v>528</v>
      </c>
      <c r="C431" s="36" t="n">
        <f aca="false">C388*D413</f>
        <v>139.130434782609</v>
      </c>
    </row>
    <row r="432" customFormat="false" ht="15" hidden="false" customHeight="false" outlineLevel="0" collapsed="false">
      <c r="A432" s="4" t="s">
        <v>529</v>
      </c>
      <c r="C432" s="20" t="n">
        <f aca="false">C428+C430-C429-C431-Scenarios!$F$14</f>
        <v>-8430.99636049445</v>
      </c>
    </row>
    <row r="433" customFormat="false" ht="15" hidden="false" customHeight="false" outlineLevel="0" collapsed="false">
      <c r="A433" s="9" t="s">
        <v>530</v>
      </c>
      <c r="C433" s="32" t="n">
        <f aca="false">C432+SUMPRODUCT(D409:M409,D413:M413)</f>
        <v>-8084.70132531051</v>
      </c>
    </row>
    <row r="434" customFormat="false" ht="15" hidden="false" customHeight="false" outlineLevel="0" collapsed="false">
      <c r="A434" s="4" t="s">
        <v>531</v>
      </c>
      <c r="C434" s="59" t="n">
        <f aca="false">Scenarios!$F$14/D370</f>
        <v>36.7309458218549</v>
      </c>
    </row>
    <row r="435" customFormat="false" ht="15" hidden="false" customHeight="false" outlineLevel="0" collapsed="false">
      <c r="A435" s="9" t="s">
        <v>532</v>
      </c>
      <c r="C435" s="17" t="n">
        <f aca="false">(Scenarios!$F$14+C429)/D370</f>
        <v>77.5112335768977</v>
      </c>
    </row>
    <row r="436" customFormat="false" ht="15" hidden="false" customHeight="false" outlineLevel="0" collapsed="false">
      <c r="A436" s="4" t="s">
        <v>533</v>
      </c>
      <c r="C436" s="15" t="n">
        <f aca="false">(C432+C429)/SUMPRODUCT(D413:M413)</f>
        <v>-795.020317018731</v>
      </c>
    </row>
    <row r="437" customFormat="false" ht="15" hidden="false" customHeight="false" outlineLevel="0" collapsed="false">
      <c r="A437" s="4" t="s">
        <v>534</v>
      </c>
      <c r="C437" s="25" t="n">
        <f aca="false">D400</f>
        <v>4.98978069635827</v>
      </c>
    </row>
    <row r="438" customFormat="false" ht="15" hidden="false" customHeight="false" outlineLevel="0" collapsed="false">
      <c r="A438" s="9" t="s">
        <v>535</v>
      </c>
      <c r="C438" s="50" t="n">
        <f aca="false">F400</f>
        <v>5.2117269777313</v>
      </c>
    </row>
    <row r="439" customFormat="false" ht="15" hidden="false" customHeight="false" outlineLevel="0" collapsed="false">
      <c r="A439" s="4" t="s">
        <v>536</v>
      </c>
      <c r="C439" s="20" t="n">
        <f aca="false">D408</f>
        <v>-928.7395</v>
      </c>
    </row>
    <row r="440" customFormat="false" ht="15" hidden="false" customHeight="false" outlineLevel="0" collapsed="false">
      <c r="A440" s="9" t="s">
        <v>537</v>
      </c>
      <c r="C440" s="32" t="n">
        <f aca="false">cf_cash-Scenarios!$F$10-C388</f>
        <v>6640</v>
      </c>
    </row>
    <row r="441" customFormat="false" ht="15" hidden="false" customHeight="false" outlineLevel="0" collapsed="false">
      <c r="A441" s="9" t="s">
        <v>538</v>
      </c>
      <c r="C441" s="32" t="n">
        <f aca="false">cf_debt+Scenarios!$F$11</f>
        <v>350</v>
      </c>
    </row>
    <row r="442" customFormat="false" ht="15" hidden="false" customHeight="false" outlineLevel="0" collapsed="false">
      <c r="A442" s="9" t="s">
        <v>539</v>
      </c>
      <c r="C442" s="34" t="n">
        <f aca="false">C441/cf_ebitda</f>
        <v>0.546875</v>
      </c>
    </row>
    <row r="443" customFormat="false" ht="15" hidden="false" customHeight="false" outlineLevel="0" collapsed="false">
      <c r="A443" s="9" t="s">
        <v>540</v>
      </c>
      <c r="C443" s="32" t="n">
        <f aca="false">C440+SUM(D411:F411)+3*cf_pat</f>
        <v>5549.952735</v>
      </c>
    </row>
    <row r="445" customFormat="false" ht="15" hidden="false" customHeight="false" outlineLevel="0" collapsed="false">
      <c r="A445" s="7" t="s">
        <v>874</v>
      </c>
      <c r="B445" s="8"/>
      <c r="C445" s="8"/>
      <c r="D445" s="8"/>
      <c r="E445" s="8"/>
      <c r="F445" s="8"/>
      <c r="G445" s="8"/>
      <c r="H445" s="8"/>
      <c r="I445" s="8"/>
      <c r="J445" s="8"/>
      <c r="K445" s="8"/>
      <c r="L445" s="8"/>
      <c r="M445" s="8"/>
      <c r="N445" s="8"/>
    </row>
    <row r="446" customFormat="false" ht="15" hidden="false" customHeight="false" outlineLevel="0" collapsed="false">
      <c r="A446" s="4" t="s">
        <v>284</v>
      </c>
      <c r="C446" s="39" t="n">
        <v>0</v>
      </c>
      <c r="D446" s="39" t="n">
        <v>1</v>
      </c>
      <c r="E446" s="39" t="n">
        <v>2</v>
      </c>
      <c r="F446" s="39" t="n">
        <v>3</v>
      </c>
      <c r="G446" s="39" t="n">
        <v>4</v>
      </c>
      <c r="H446" s="39" t="n">
        <v>5</v>
      </c>
      <c r="I446" s="39" t="n">
        <v>6</v>
      </c>
      <c r="J446" s="39" t="n">
        <v>7</v>
      </c>
      <c r="K446" s="39" t="n">
        <v>8</v>
      </c>
      <c r="L446" s="39" t="n">
        <v>9</v>
      </c>
      <c r="M446" s="39" t="n">
        <v>10</v>
      </c>
    </row>
    <row r="447" customFormat="false" ht="15" hidden="false" customHeight="false" outlineLevel="0" collapsed="false">
      <c r="A447" s="9" t="s">
        <v>285</v>
      </c>
      <c r="C447" s="40" t="n">
        <f aca="false">cf_arr</f>
        <v>220</v>
      </c>
      <c r="D447" s="36" t="n">
        <f aca="false">C447*(1+Scenarios!$B$39)</f>
        <v>264</v>
      </c>
      <c r="E447" s="36" t="n">
        <f aca="false">D447*(1+Scenarios!$B$39)</f>
        <v>316.8</v>
      </c>
      <c r="F447" s="36" t="n">
        <f aca="false">E447*(1+Scenarios!$B$39)</f>
        <v>380.16</v>
      </c>
      <c r="G447" s="36" t="n">
        <f aca="false">F447*(1+Scenarios!$B$39)</f>
        <v>456.192</v>
      </c>
      <c r="H447" s="36" t="n">
        <f aca="false">G447*(1+Scenarios!$B$39)</f>
        <v>547.4304</v>
      </c>
      <c r="I447" s="36" t="n">
        <f aca="false">H447*(1+Scenarios!$B$39)</f>
        <v>656.91648</v>
      </c>
      <c r="J447" s="36" t="n">
        <f aca="false">I447*(1+Scenarios!$B$39)</f>
        <v>788.299776</v>
      </c>
      <c r="K447" s="36" t="n">
        <f aca="false">J447*(1+Scenarios!$B$39)</f>
        <v>945.9597312</v>
      </c>
      <c r="L447" s="36" t="n">
        <f aca="false">K447*(1+Scenarios!$B$39)</f>
        <v>1135.15167744</v>
      </c>
      <c r="M447" s="36" t="n">
        <f aca="false">L447*(1+Scenarios!$B$39)</f>
        <v>1362.182012928</v>
      </c>
    </row>
    <row r="448" customFormat="false" ht="15" hidden="false" customHeight="false" outlineLevel="0" collapsed="false">
      <c r="A448" s="9" t="s">
        <v>286</v>
      </c>
      <c r="C448" s="18" t="n">
        <f aca="false">1</f>
        <v>1</v>
      </c>
      <c r="D448" s="18" t="n">
        <f aca="false">IF(D446&gt;=a_churn_year,1-Scenarios!$B$40,1)</f>
        <v>0.625</v>
      </c>
      <c r="E448" s="18" t="n">
        <f aca="false">IF(E446&gt;=a_churn_year,1-Scenarios!$B$40,1)</f>
        <v>0.625</v>
      </c>
      <c r="F448" s="18" t="n">
        <f aca="false">IF(F446&gt;=a_churn_year,1-Scenarios!$B$40,1)</f>
        <v>0.625</v>
      </c>
      <c r="G448" s="18" t="n">
        <f aca="false">IF(G446&gt;=a_churn_year,1-Scenarios!$B$40,1)</f>
        <v>0.625</v>
      </c>
      <c r="H448" s="18" t="n">
        <f aca="false">IF(H446&gt;=a_churn_year,1-Scenarios!$B$40,1)</f>
        <v>0.625</v>
      </c>
      <c r="I448" s="18" t="n">
        <f aca="false">IF(I446&gt;=a_churn_year,1-Scenarios!$B$40,1)</f>
        <v>0.625</v>
      </c>
      <c r="J448" s="18" t="n">
        <f aca="false">IF(J446&gt;=a_churn_year,1-Scenarios!$B$40,1)</f>
        <v>0.625</v>
      </c>
      <c r="K448" s="18" t="n">
        <f aca="false">IF(K446&gt;=a_churn_year,1-Scenarios!$B$40,1)</f>
        <v>0.625</v>
      </c>
      <c r="L448" s="18" t="n">
        <f aca="false">IF(L446&gt;=a_churn_year,1-Scenarios!$B$40,1)</f>
        <v>0.625</v>
      </c>
      <c r="M448" s="18" t="n">
        <f aca="false">IF(M446&gt;=a_churn_year,1-Scenarios!$B$40,1)</f>
        <v>0.625</v>
      </c>
    </row>
    <row r="449" customFormat="false" ht="15" hidden="false" customHeight="false" outlineLevel="0" collapsed="false">
      <c r="A449" s="4" t="s">
        <v>287</v>
      </c>
      <c r="C449" s="41" t="n">
        <f aca="false">C447*C448</f>
        <v>220</v>
      </c>
      <c r="D449" s="41" t="n">
        <f aca="false">D447*D448</f>
        <v>165</v>
      </c>
      <c r="E449" s="41" t="n">
        <f aca="false">E447*E448</f>
        <v>198</v>
      </c>
      <c r="F449" s="41" t="n">
        <f aca="false">F447*F448</f>
        <v>237.6</v>
      </c>
      <c r="G449" s="41" t="n">
        <f aca="false">G447*G448</f>
        <v>285.12</v>
      </c>
      <c r="H449" s="41" t="n">
        <f aca="false">H447*H448</f>
        <v>342.144</v>
      </c>
      <c r="I449" s="41" t="n">
        <f aca="false">I447*I448</f>
        <v>410.5728</v>
      </c>
      <c r="J449" s="41" t="n">
        <f aca="false">J447*J448</f>
        <v>492.68736</v>
      </c>
      <c r="K449" s="41" t="n">
        <f aca="false">K447*K448</f>
        <v>591.224832</v>
      </c>
      <c r="L449" s="41" t="n">
        <f aca="false">L447*L448</f>
        <v>709.4697984</v>
      </c>
      <c r="M449" s="41" t="n">
        <f aca="false">M447*M448</f>
        <v>851.36375808</v>
      </c>
    </row>
    <row r="450" customFormat="false" ht="15" hidden="false" customHeight="false" outlineLevel="0" collapsed="false">
      <c r="A450" s="9" t="s">
        <v>288</v>
      </c>
      <c r="C450" s="18" t="n">
        <f aca="false">MIN(a_m0+a_mstep*C446,a_mcap)</f>
        <v>0</v>
      </c>
      <c r="D450" s="18" t="n">
        <f aca="false">MIN(a_m0+a_mstep*D446,a_mcap)</f>
        <v>0.05</v>
      </c>
      <c r="E450" s="18" t="n">
        <f aca="false">MIN(a_m0+a_mstep*E446,a_mcap)</f>
        <v>0.1</v>
      </c>
      <c r="F450" s="18" t="n">
        <f aca="false">MIN(a_m0+a_mstep*F446,a_mcap)</f>
        <v>0.15</v>
      </c>
      <c r="G450" s="18" t="n">
        <f aca="false">MIN(a_m0+a_mstep*G446,a_mcap)</f>
        <v>0.2</v>
      </c>
      <c r="H450" s="18" t="n">
        <f aca="false">MIN(a_m0+a_mstep*H446,a_mcap)</f>
        <v>0.25</v>
      </c>
      <c r="I450" s="18" t="n">
        <f aca="false">MIN(a_m0+a_mstep*I446,a_mcap)</f>
        <v>0.25</v>
      </c>
      <c r="J450" s="18" t="n">
        <f aca="false">MIN(a_m0+a_mstep*J446,a_mcap)</f>
        <v>0.25</v>
      </c>
      <c r="K450" s="18" t="n">
        <f aca="false">MIN(a_m0+a_mstep*K446,a_mcap)</f>
        <v>0.25</v>
      </c>
      <c r="L450" s="18" t="n">
        <f aca="false">MIN(a_m0+a_mstep*L446,a_mcap)</f>
        <v>0.25</v>
      </c>
      <c r="M450" s="18" t="n">
        <f aca="false">MIN(a_m0+a_mstep*M446,a_mcap)</f>
        <v>0.25</v>
      </c>
    </row>
    <row r="451" customFormat="false" ht="15" hidden="false" customHeight="false" outlineLevel="0" collapsed="false">
      <c r="A451" s="9" t="s">
        <v>289</v>
      </c>
      <c r="C451" s="36" t="n">
        <f aca="false">IF(C446=a_churn_year,a_sticky*(C447-C449)*(1-C450),0)</f>
        <v>0</v>
      </c>
      <c r="D451" s="36" t="n">
        <f aca="false">IF(D446=a_churn_year,a_sticky*(D447-D449)*(1-D450),0)</f>
        <v>47.025</v>
      </c>
      <c r="E451" s="36" t="n">
        <f aca="false">IF(E446=a_churn_year,a_sticky*(E447-E449)*(1-E450),0)</f>
        <v>0</v>
      </c>
      <c r="F451" s="36" t="n">
        <f aca="false">IF(F446=a_churn_year,a_sticky*(F447-F449)*(1-F450),0)</f>
        <v>0</v>
      </c>
      <c r="G451" s="36" t="n">
        <f aca="false">IF(G446=a_churn_year,a_sticky*(G447-G449)*(1-G450),0)</f>
        <v>0</v>
      </c>
      <c r="H451" s="36" t="n">
        <f aca="false">IF(H446=a_churn_year,a_sticky*(H447-H449)*(1-H450),0)</f>
        <v>0</v>
      </c>
      <c r="I451" s="36" t="n">
        <f aca="false">IF(I446=a_churn_year,a_sticky*(I447-I449)*(1-I450),0)</f>
        <v>0</v>
      </c>
      <c r="J451" s="36" t="n">
        <f aca="false">IF(J446=a_churn_year,a_sticky*(J447-J449)*(1-J450),0)</f>
        <v>0</v>
      </c>
      <c r="K451" s="36" t="n">
        <f aca="false">IF(K446=a_churn_year,a_sticky*(K447-K449)*(1-K450),0)</f>
        <v>0</v>
      </c>
      <c r="L451" s="36" t="n">
        <f aca="false">IF(L446=a_churn_year,a_sticky*(L447-L449)*(1-L450),0)</f>
        <v>0</v>
      </c>
      <c r="M451" s="36" t="n">
        <f aca="false">IF(M446=a_churn_year,a_sticky*(M447-M449)*(1-M450),0)</f>
        <v>0</v>
      </c>
    </row>
    <row r="452" customFormat="false" ht="15" hidden="false" customHeight="false" outlineLevel="0" collapsed="false">
      <c r="A452" s="4" t="s">
        <v>290</v>
      </c>
      <c r="C452" s="41" t="n">
        <f aca="false">C449*C450-C451</f>
        <v>0</v>
      </c>
      <c r="D452" s="41" t="n">
        <f aca="false">D449*D450-D451</f>
        <v>-38.775</v>
      </c>
      <c r="E452" s="41" t="n">
        <f aca="false">E449*E450-E451</f>
        <v>19.8</v>
      </c>
      <c r="F452" s="41" t="n">
        <f aca="false">F449*F450-F451</f>
        <v>35.64</v>
      </c>
      <c r="G452" s="41" t="n">
        <f aca="false">G449*G450-G451</f>
        <v>57.024</v>
      </c>
      <c r="H452" s="41" t="n">
        <f aca="false">H449*H450-H451</f>
        <v>85.536</v>
      </c>
      <c r="I452" s="41" t="n">
        <f aca="false">I449*I450-I451</f>
        <v>102.6432</v>
      </c>
      <c r="J452" s="41" t="n">
        <f aca="false">J449*J450-J451</f>
        <v>123.17184</v>
      </c>
      <c r="K452" s="41" t="n">
        <f aca="false">K449*K450-K451</f>
        <v>147.806208</v>
      </c>
      <c r="L452" s="41" t="n">
        <f aca="false">L449*L450-L451</f>
        <v>177.3674496</v>
      </c>
      <c r="M452" s="41" t="n">
        <f aca="false">M449*M450-M451</f>
        <v>212.84093952</v>
      </c>
    </row>
    <row r="453" customFormat="false" ht="15" hidden="false" customHeight="false" outlineLevel="0" collapsed="false">
      <c r="A453" s="9" t="s">
        <v>291</v>
      </c>
      <c r="C453" s="36" t="n">
        <f aca="false">C449*a_da</f>
        <v>6.6</v>
      </c>
      <c r="D453" s="36" t="n">
        <f aca="false">D449*a_da</f>
        <v>4.95</v>
      </c>
      <c r="E453" s="36" t="n">
        <f aca="false">E449*a_da</f>
        <v>5.94</v>
      </c>
      <c r="F453" s="36" t="n">
        <f aca="false">F449*a_da</f>
        <v>7.128</v>
      </c>
      <c r="G453" s="36" t="n">
        <f aca="false">G449*a_da</f>
        <v>8.5536</v>
      </c>
      <c r="H453" s="36" t="n">
        <f aca="false">H449*a_da</f>
        <v>10.26432</v>
      </c>
      <c r="I453" s="36" t="n">
        <f aca="false">I449*a_da</f>
        <v>12.317184</v>
      </c>
      <c r="J453" s="36" t="n">
        <f aca="false">J449*a_da</f>
        <v>14.7806208</v>
      </c>
      <c r="K453" s="36" t="n">
        <f aca="false">K449*a_da</f>
        <v>17.73674496</v>
      </c>
      <c r="L453" s="36" t="n">
        <f aca="false">L449*a_da</f>
        <v>21.284093952</v>
      </c>
      <c r="M453" s="36" t="n">
        <f aca="false">M449*a_da</f>
        <v>25.5409127424</v>
      </c>
    </row>
    <row r="454" customFormat="false" ht="15" hidden="false" customHeight="false" outlineLevel="0" collapsed="false">
      <c r="A454" s="9" t="s">
        <v>292</v>
      </c>
      <c r="C454" s="36" t="n">
        <f aca="false">C452-C453</f>
        <v>-6.6</v>
      </c>
      <c r="D454" s="36" t="n">
        <f aca="false">D452-D453</f>
        <v>-43.725</v>
      </c>
      <c r="E454" s="36" t="n">
        <f aca="false">E452-E453</f>
        <v>13.86</v>
      </c>
      <c r="F454" s="36" t="n">
        <f aca="false">F452-F453</f>
        <v>28.512</v>
      </c>
      <c r="G454" s="36" t="n">
        <f aca="false">G452-G453</f>
        <v>48.4704</v>
      </c>
      <c r="H454" s="36" t="n">
        <f aca="false">H452-H453</f>
        <v>75.27168</v>
      </c>
      <c r="I454" s="36" t="n">
        <f aca="false">I452-I453</f>
        <v>90.326016</v>
      </c>
      <c r="J454" s="36" t="n">
        <f aca="false">J452-J453</f>
        <v>108.3912192</v>
      </c>
      <c r="K454" s="36" t="n">
        <f aca="false">K452-K453</f>
        <v>130.06946304</v>
      </c>
      <c r="L454" s="36" t="n">
        <f aca="false">L452-L453</f>
        <v>156.083355648</v>
      </c>
      <c r="M454" s="36" t="n">
        <f aca="false">M452-M453</f>
        <v>187.3000267776</v>
      </c>
    </row>
    <row r="455" customFormat="false" ht="15" hidden="false" customHeight="false" outlineLevel="0" collapsed="false">
      <c r="A455" s="9" t="s">
        <v>293</v>
      </c>
      <c r="C455" s="36" t="n">
        <f aca="false">MAX(0,C454)*a_tax</f>
        <v>0</v>
      </c>
      <c r="D455" s="36" t="n">
        <f aca="false">MAX(0,D454)*a_tax</f>
        <v>0</v>
      </c>
      <c r="E455" s="36" t="n">
        <f aca="false">MAX(0,E454)*a_tax</f>
        <v>3.465</v>
      </c>
      <c r="F455" s="36" t="n">
        <f aca="false">MAX(0,F454)*a_tax</f>
        <v>7.128</v>
      </c>
      <c r="G455" s="36" t="n">
        <f aca="false">MAX(0,G454)*a_tax</f>
        <v>12.1176</v>
      </c>
      <c r="H455" s="36" t="n">
        <f aca="false">MAX(0,H454)*a_tax</f>
        <v>18.81792</v>
      </c>
      <c r="I455" s="36" t="n">
        <f aca="false">MAX(0,I454)*a_tax</f>
        <v>22.581504</v>
      </c>
      <c r="J455" s="36" t="n">
        <f aca="false">MAX(0,J454)*a_tax</f>
        <v>27.0978048</v>
      </c>
      <c r="K455" s="36" t="n">
        <f aca="false">MAX(0,K454)*a_tax</f>
        <v>32.51736576</v>
      </c>
      <c r="L455" s="36" t="n">
        <f aca="false">MAX(0,L454)*a_tax</f>
        <v>39.020838912</v>
      </c>
      <c r="M455" s="36" t="n">
        <f aca="false">MAX(0,M454)*a_tax</f>
        <v>46.8250066944</v>
      </c>
    </row>
    <row r="456" customFormat="false" ht="15" hidden="false" customHeight="false" outlineLevel="0" collapsed="false">
      <c r="A456" s="4" t="s">
        <v>294</v>
      </c>
      <c r="C456" s="42" t="n">
        <f aca="false">cf_lim_pat</f>
        <v>0</v>
      </c>
      <c r="D456" s="41" t="n">
        <f aca="false">D454-D455</f>
        <v>-43.725</v>
      </c>
      <c r="E456" s="41" t="n">
        <f aca="false">E454-E455</f>
        <v>10.395</v>
      </c>
      <c r="F456" s="41" t="n">
        <f aca="false">F454-F455</f>
        <v>21.384</v>
      </c>
      <c r="G456" s="41" t="n">
        <f aca="false">G454-G455</f>
        <v>36.3528</v>
      </c>
      <c r="H456" s="41" t="n">
        <f aca="false">H454-H455</f>
        <v>56.45376</v>
      </c>
      <c r="I456" s="41" t="n">
        <f aca="false">I454-I455</f>
        <v>67.744512</v>
      </c>
      <c r="J456" s="41" t="n">
        <f aca="false">J454-J455</f>
        <v>81.2934144</v>
      </c>
      <c r="K456" s="41" t="n">
        <f aca="false">K454-K455</f>
        <v>97.55209728</v>
      </c>
      <c r="L456" s="41" t="n">
        <f aca="false">L454-L455</f>
        <v>117.062516736</v>
      </c>
      <c r="M456" s="41" t="n">
        <f aca="false">M454-M455</f>
        <v>140.4750200832</v>
      </c>
    </row>
    <row r="457" customFormat="false" ht="15" hidden="false" customHeight="false" outlineLevel="0" collapsed="false">
      <c r="A457" s="9" t="s">
        <v>295</v>
      </c>
      <c r="C457" s="36" t="n">
        <f aca="false">C449*a_capex</f>
        <v>6.6</v>
      </c>
      <c r="D457" s="36" t="n">
        <f aca="false">D449*a_capex</f>
        <v>4.95</v>
      </c>
      <c r="E457" s="36" t="n">
        <f aca="false">E449*a_capex</f>
        <v>5.94</v>
      </c>
      <c r="F457" s="36" t="n">
        <f aca="false">F449*a_capex</f>
        <v>7.128</v>
      </c>
      <c r="G457" s="36" t="n">
        <f aca="false">G449*a_capex</f>
        <v>8.5536</v>
      </c>
      <c r="H457" s="36" t="n">
        <f aca="false">H449*a_capex</f>
        <v>10.26432</v>
      </c>
      <c r="I457" s="36" t="n">
        <f aca="false">I449*a_capex</f>
        <v>12.317184</v>
      </c>
      <c r="J457" s="36" t="n">
        <f aca="false">J449*a_capex</f>
        <v>14.7806208</v>
      </c>
      <c r="K457" s="36" t="n">
        <f aca="false">K449*a_capex</f>
        <v>17.73674496</v>
      </c>
      <c r="L457" s="36" t="n">
        <f aca="false">L449*a_capex</f>
        <v>21.284093952</v>
      </c>
      <c r="M457" s="36" t="n">
        <f aca="false">M449*a_capex</f>
        <v>25.5409127424</v>
      </c>
    </row>
    <row r="458" customFormat="false" ht="15" hidden="false" customHeight="false" outlineLevel="0" collapsed="false">
      <c r="A458" s="9" t="s">
        <v>296</v>
      </c>
      <c r="C458" s="36" t="n">
        <f aca="false">0</f>
        <v>0</v>
      </c>
      <c r="D458" s="36" t="n">
        <f aca="false">a_wc*(D449-C449)</f>
        <v>-2.75</v>
      </c>
      <c r="E458" s="36" t="n">
        <f aca="false">a_wc*(E449-D449)</f>
        <v>1.65</v>
      </c>
      <c r="F458" s="36" t="n">
        <f aca="false">a_wc*(F449-E449)</f>
        <v>1.98</v>
      </c>
      <c r="G458" s="36" t="n">
        <f aca="false">a_wc*(G449-F449)</f>
        <v>2.376</v>
      </c>
      <c r="H458" s="36" t="n">
        <f aca="false">a_wc*(H449-G449)</f>
        <v>2.8512</v>
      </c>
      <c r="I458" s="36" t="n">
        <f aca="false">a_wc*(I449-H449)</f>
        <v>3.42144</v>
      </c>
      <c r="J458" s="36" t="n">
        <f aca="false">a_wc*(J449-I449)</f>
        <v>4.105728</v>
      </c>
      <c r="K458" s="36" t="n">
        <f aca="false">a_wc*(K449-J449)</f>
        <v>4.9268736</v>
      </c>
      <c r="L458" s="36" t="n">
        <f aca="false">a_wc*(L449-K449)</f>
        <v>5.91224832</v>
      </c>
      <c r="M458" s="36" t="n">
        <f aca="false">a_wc*(M449-L449)</f>
        <v>7.094697984</v>
      </c>
    </row>
    <row r="459" customFormat="false" ht="15" hidden="false" customHeight="false" outlineLevel="0" collapsed="false">
      <c r="A459" s="4" t="s">
        <v>297</v>
      </c>
      <c r="C459" s="36" t="n">
        <f aca="false">0</f>
        <v>0</v>
      </c>
      <c r="D459" s="41" t="n">
        <f aca="false">D456+D453-D457-D458</f>
        <v>-40.975</v>
      </c>
      <c r="E459" s="41" t="n">
        <f aca="false">E456+E453-E457-E458</f>
        <v>8.745</v>
      </c>
      <c r="F459" s="41" t="n">
        <f aca="false">F456+F453-F457-F458</f>
        <v>19.404</v>
      </c>
      <c r="G459" s="41" t="n">
        <f aca="false">G456+G453-G457-G458</f>
        <v>33.9768</v>
      </c>
      <c r="H459" s="41" t="n">
        <f aca="false">H456+H453-H457-H458</f>
        <v>53.60256</v>
      </c>
      <c r="I459" s="41" t="n">
        <f aca="false">I456+I453-I457-I458</f>
        <v>64.323072</v>
      </c>
      <c r="J459" s="41" t="n">
        <f aca="false">J456+J453-J457-J458</f>
        <v>77.1876864</v>
      </c>
      <c r="K459" s="41" t="n">
        <f aca="false">K456+K453-K457-K458</f>
        <v>92.62522368</v>
      </c>
      <c r="L459" s="41" t="n">
        <f aca="false">L456+L453-L457-L458</f>
        <v>111.150268416</v>
      </c>
      <c r="M459" s="41" t="n">
        <f aca="false">M456+M453-M457-M458</f>
        <v>133.3803220992</v>
      </c>
    </row>
    <row r="461" customFormat="false" ht="15" hidden="false" customHeight="false" outlineLevel="0" collapsed="false">
      <c r="A461" s="7" t="s">
        <v>875</v>
      </c>
      <c r="B461" s="8"/>
      <c r="C461" s="8"/>
      <c r="D461" s="8"/>
      <c r="E461" s="8"/>
      <c r="F461" s="8"/>
      <c r="G461" s="8"/>
      <c r="H461" s="8"/>
      <c r="I461" s="8"/>
      <c r="J461" s="8"/>
      <c r="K461" s="8"/>
      <c r="L461" s="8"/>
      <c r="M461" s="8"/>
      <c r="N461" s="8"/>
    </row>
    <row r="462" customFormat="false" ht="15" hidden="false" customHeight="false" outlineLevel="0" collapsed="false">
      <c r="A462" s="9" t="s">
        <v>482</v>
      </c>
      <c r="C462" s="35" t="n">
        <f aca="false">lv_mix_eq/(c_price*(1-a_issue_disc))</f>
        <v>1.024</v>
      </c>
    </row>
    <row r="463" customFormat="false" ht="15" hidden="false" customHeight="false" outlineLevel="0" collapsed="false">
      <c r="A463" s="9" t="s">
        <v>449</v>
      </c>
      <c r="C463" s="35" t="n">
        <f aca="false">cf_shares+C462</f>
        <v>65.024</v>
      </c>
    </row>
    <row r="464" customFormat="false" ht="15" hidden="false" customHeight="false" outlineLevel="0" collapsed="false">
      <c r="A464" s="9" t="s">
        <v>483</v>
      </c>
      <c r="C464" s="36" t="n">
        <f aca="false">lv_mix_cash*a_yield*(1-a_tax)+lv_mix_debt*a_kd*(1-a_tax)</f>
        <v>94.5</v>
      </c>
    </row>
    <row r="465" customFormat="false" ht="15" hidden="false" customHeight="false" outlineLevel="0" collapsed="false">
      <c r="A465" s="9" t="s">
        <v>484</v>
      </c>
      <c r="C465" s="36" t="n">
        <f aca="false">lv_price*a_ppa_share/a_ppa_life*(1-a_tax)</f>
        <v>93.75</v>
      </c>
    </row>
    <row r="466" customFormat="false" ht="15" hidden="false" customHeight="false" outlineLevel="0" collapsed="false">
      <c r="A466" s="9" t="s">
        <v>485</v>
      </c>
      <c r="C466" s="36" t="n">
        <f aca="false">a_ppa_on*C465</f>
        <v>0</v>
      </c>
    </row>
    <row r="467" customFormat="false" ht="15" hidden="false" customHeight="false" outlineLevel="0" collapsed="false">
      <c r="A467" s="9" t="s">
        <v>486</v>
      </c>
      <c r="C467" s="36" t="n">
        <f aca="false">lv_price*a_fees_pct+a_integ_full</f>
        <v>160</v>
      </c>
    </row>
    <row r="468" customFormat="false" ht="15" hidden="false" customHeight="false" outlineLevel="0" collapsed="false">
      <c r="A468" s="9" t="s">
        <v>487</v>
      </c>
      <c r="C468" s="36" t="n">
        <f aca="false">0</f>
        <v>0</v>
      </c>
      <c r="D468" s="36" t="n">
        <f aca="false">a_syn_on*(a_syn_partner_rev_y3+a_syn_xsell_y3)*a_mcap*IF(D446=1,a_syn_ramp1,IF(D446=2,a_syn_ramp2,1))+a_syn_on*IF(D446&gt;=2,a_syn_cost,0)</f>
        <v>0</v>
      </c>
      <c r="E468" s="36" t="n">
        <f aca="false">a_syn_on*(a_syn_partner_rev_y3+a_syn_xsell_y3)*a_mcap*IF(E446=1,a_syn_ramp1,IF(E446=2,a_syn_ramp2,1))+a_syn_on*IF(E446&gt;=2,a_syn_cost,0)</f>
        <v>0</v>
      </c>
      <c r="F468" s="36" t="n">
        <f aca="false">a_syn_on*(a_syn_partner_rev_y3+a_syn_xsell_y3)*a_mcap*IF(F446=1,a_syn_ramp1,IF(F446=2,a_syn_ramp2,1))+a_syn_on*IF(F446&gt;=2,a_syn_cost,0)</f>
        <v>0</v>
      </c>
      <c r="G468" s="36" t="n">
        <f aca="false">a_syn_on*(a_syn_partner_rev_y3+a_syn_xsell_y3)*a_mcap*IF(G446=1,a_syn_ramp1,IF(G446=2,a_syn_ramp2,1))+a_syn_on*IF(G446&gt;=2,a_syn_cost,0)</f>
        <v>0</v>
      </c>
      <c r="H468" s="36" t="n">
        <f aca="false">a_syn_on*(a_syn_partner_rev_y3+a_syn_xsell_y3)*a_mcap*IF(H446=1,a_syn_ramp1,IF(H446=2,a_syn_ramp2,1))+a_syn_on*IF(H446&gt;=2,a_syn_cost,0)</f>
        <v>0</v>
      </c>
      <c r="I468" s="36" t="n">
        <f aca="false">a_syn_on*(a_syn_partner_rev_y3+a_syn_xsell_y3)*a_mcap*IF(I446=1,a_syn_ramp1,IF(I446=2,a_syn_ramp2,1))+a_syn_on*IF(I446&gt;=2,a_syn_cost,0)</f>
        <v>0</v>
      </c>
      <c r="J468" s="36" t="n">
        <f aca="false">a_syn_on*(a_syn_partner_rev_y3+a_syn_xsell_y3)*a_mcap*IF(J446=1,a_syn_ramp1,IF(J446=2,a_syn_ramp2,1))+a_syn_on*IF(J446&gt;=2,a_syn_cost,0)</f>
        <v>0</v>
      </c>
      <c r="K468" s="36" t="n">
        <f aca="false">a_syn_on*(a_syn_partner_rev_y3+a_syn_xsell_y3)*a_mcap*IF(K446=1,a_syn_ramp1,IF(K446=2,a_syn_ramp2,1))+a_syn_on*IF(K446&gt;=2,a_syn_cost,0)</f>
        <v>0</v>
      </c>
      <c r="L468" s="36" t="n">
        <f aca="false">a_syn_on*(a_syn_partner_rev_y3+a_syn_xsell_y3)*a_mcap*IF(L446=1,a_syn_ramp1,IF(L446=2,a_syn_ramp2,1))+a_syn_on*IF(L446&gt;=2,a_syn_cost,0)</f>
        <v>0</v>
      </c>
      <c r="M468" s="36" t="n">
        <f aca="false">a_syn_on*(a_syn_partner_rev_y3+a_syn_xsell_y3)*a_mcap*IF(M446=1,a_syn_ramp1,IF(M446=2,a_syn_ramp2,1))+a_syn_on*IF(M446&gt;=2,a_syn_cost,0)</f>
        <v>0</v>
      </c>
    </row>
    <row r="469" customFormat="false" ht="15" hidden="false" customHeight="false" outlineLevel="0" collapsed="false">
      <c r="A469" s="9" t="s">
        <v>488</v>
      </c>
      <c r="C469" s="36" t="n">
        <f aca="false">0</f>
        <v>0</v>
      </c>
      <c r="D469" s="36" t="n">
        <f aca="false">CHOOSE(Scenarios!$B$42,Scenarios!$B$41,Scenarios!$B$41*D449/cf_arr,Scenarios!$B$41*(1-a_tax))</f>
        <v>750</v>
      </c>
      <c r="E469" s="36" t="n">
        <f aca="false">CHOOSE(Scenarios!$B$42,Scenarios!$B$41,Scenarios!$B$41*E449/cf_arr,Scenarios!$B$41*(1-a_tax))</f>
        <v>750</v>
      </c>
      <c r="F469" s="36" t="n">
        <f aca="false">CHOOSE(Scenarios!$B$42,Scenarios!$B$41,Scenarios!$B$41*F449/cf_arr,Scenarios!$B$41*(1-a_tax))</f>
        <v>750</v>
      </c>
      <c r="G469" s="36" t="n">
        <f aca="false">CHOOSE(Scenarios!$B$42,Scenarios!$B$41,Scenarios!$B$41*G449/cf_arr,Scenarios!$B$41*(1-a_tax))</f>
        <v>750</v>
      </c>
      <c r="H469" s="36" t="n">
        <f aca="false">CHOOSE(Scenarios!$B$42,Scenarios!$B$41,Scenarios!$B$41*H449/cf_arr,Scenarios!$B$41*(1-a_tax))</f>
        <v>750</v>
      </c>
      <c r="I469" s="36" t="n">
        <f aca="false">CHOOSE(Scenarios!$B$42,Scenarios!$B$41,Scenarios!$B$41*I449/cf_arr,Scenarios!$B$41*(1-a_tax))</f>
        <v>750</v>
      </c>
      <c r="J469" s="36" t="n">
        <f aca="false">CHOOSE(Scenarios!$B$42,Scenarios!$B$41,Scenarios!$B$41*J449/cf_arr,Scenarios!$B$41*(1-a_tax))</f>
        <v>750</v>
      </c>
      <c r="K469" s="36" t="n">
        <f aca="false">CHOOSE(Scenarios!$B$42,Scenarios!$B$41,Scenarios!$B$41*K449/cf_arr,Scenarios!$B$41*(1-a_tax))</f>
        <v>750</v>
      </c>
      <c r="L469" s="36" t="n">
        <f aca="false">CHOOSE(Scenarios!$B$42,Scenarios!$B$41,Scenarios!$B$41*L449/cf_arr,Scenarios!$B$41*(1-a_tax))</f>
        <v>750</v>
      </c>
      <c r="M469" s="36" t="n">
        <f aca="false">CHOOSE(Scenarios!$B$42,Scenarios!$B$41,Scenarios!$B$41*M449/cf_arr,Scenarios!$B$41*(1-a_tax))</f>
        <v>750</v>
      </c>
    </row>
    <row r="470" customFormat="false" ht="15" hidden="false" customHeight="false" outlineLevel="0" collapsed="false">
      <c r="A470" s="9" t="s">
        <v>489</v>
      </c>
      <c r="C470" s="36" t="n">
        <f aca="false">0</f>
        <v>0</v>
      </c>
      <c r="D470" s="36" t="n">
        <f aca="false">IF(Scenarios!$B$42=3,Scenarios!$B$41*(1-a_tax),0)</f>
        <v>0</v>
      </c>
      <c r="E470" s="36" t="n">
        <f aca="false">IF(Scenarios!$B$42=3,Scenarios!$B$41*(1-a_tax),0)</f>
        <v>0</v>
      </c>
      <c r="F470" s="36" t="n">
        <f aca="false">IF(Scenarios!$B$42=3,Scenarios!$B$41*(1-a_tax),0)</f>
        <v>0</v>
      </c>
      <c r="G470" s="36" t="n">
        <f aca="false">IF(Scenarios!$B$42=3,Scenarios!$B$41*(1-a_tax),0)</f>
        <v>0</v>
      </c>
      <c r="H470" s="36" t="n">
        <f aca="false">IF(Scenarios!$B$42=3,Scenarios!$B$41*(1-a_tax),0)</f>
        <v>0</v>
      </c>
      <c r="I470" s="36" t="n">
        <f aca="false">IF(Scenarios!$B$42=3,Scenarios!$B$41*(1-a_tax),0)</f>
        <v>0</v>
      </c>
      <c r="J470" s="36" t="n">
        <f aca="false">IF(Scenarios!$B$42=3,Scenarios!$B$41*(1-a_tax),0)</f>
        <v>0</v>
      </c>
      <c r="K470" s="36" t="n">
        <f aca="false">IF(Scenarios!$B$42=3,Scenarios!$B$41*(1-a_tax),0)</f>
        <v>0</v>
      </c>
      <c r="L470" s="36" t="n">
        <f aca="false">IF(Scenarios!$B$42=3,Scenarios!$B$41*(1-a_tax),0)</f>
        <v>0</v>
      </c>
      <c r="M470" s="36" t="n">
        <f aca="false">IF(Scenarios!$B$42=3,Scenarios!$B$41*(1-a_tax),0)</f>
        <v>0</v>
      </c>
    </row>
    <row r="471" customFormat="false" ht="15" hidden="false" customHeight="false" outlineLevel="0" collapsed="false">
      <c r="A471" s="9" t="s">
        <v>490</v>
      </c>
      <c r="C471" s="36" t="n">
        <f aca="false">0</f>
        <v>0</v>
      </c>
      <c r="D471" s="36" t="n">
        <f aca="false">IF(Scenarios!$B$42=3,0,C471+D469)</f>
        <v>750</v>
      </c>
      <c r="E471" s="36" t="n">
        <f aca="false">IF(Scenarios!$B$42=3,0,D471+E469)</f>
        <v>1500</v>
      </c>
      <c r="F471" s="36" t="n">
        <f aca="false">IF(Scenarios!$B$42=3,0,E471+F469)</f>
        <v>2250</v>
      </c>
      <c r="G471" s="36" t="n">
        <f aca="false">IF(Scenarios!$B$42=3,0,F471+G469)</f>
        <v>3000</v>
      </c>
      <c r="H471" s="36" t="n">
        <f aca="false">IF(Scenarios!$B$42=3,0,G471+H469)</f>
        <v>3750</v>
      </c>
      <c r="I471" s="36" t="n">
        <f aca="false">IF(Scenarios!$B$42=3,0,H471+I469)</f>
        <v>4500</v>
      </c>
      <c r="J471" s="36" t="n">
        <f aca="false">IF(Scenarios!$B$42=3,0,I471+J469)</f>
        <v>5250</v>
      </c>
      <c r="K471" s="36" t="n">
        <f aca="false">IF(Scenarios!$B$42=3,0,J471+K469)</f>
        <v>6000</v>
      </c>
      <c r="L471" s="36" t="n">
        <f aca="false">IF(Scenarios!$B$42=3,0,K471+L469)</f>
        <v>6750</v>
      </c>
      <c r="M471" s="36" t="n">
        <f aca="false">IF(Scenarios!$B$42=3,0,L471+M469)</f>
        <v>7500</v>
      </c>
    </row>
    <row r="472" customFormat="false" ht="15" hidden="false" customHeight="false" outlineLevel="0" collapsed="false">
      <c r="A472" s="9" t="s">
        <v>491</v>
      </c>
      <c r="C472" s="36" t="n">
        <f aca="false">0</f>
        <v>0</v>
      </c>
      <c r="D472" s="36" t="n">
        <f aca="false">C471*a_yield*(1-a_tax)</f>
        <v>0</v>
      </c>
      <c r="E472" s="36" t="n">
        <f aca="false">D471*a_yield*(1-a_tax)</f>
        <v>33.75</v>
      </c>
      <c r="F472" s="36" t="n">
        <f aca="false">E471*a_yield*(1-a_tax)</f>
        <v>67.5</v>
      </c>
      <c r="G472" s="36" t="n">
        <f aca="false">F471*a_yield*(1-a_tax)</f>
        <v>101.25</v>
      </c>
      <c r="H472" s="36" t="n">
        <f aca="false">G471*a_yield*(1-a_tax)</f>
        <v>135</v>
      </c>
      <c r="I472" s="36" t="n">
        <f aca="false">H471*a_yield*(1-a_tax)</f>
        <v>168.75</v>
      </c>
      <c r="J472" s="36" t="n">
        <f aca="false">I471*a_yield*(1-a_tax)</f>
        <v>202.5</v>
      </c>
      <c r="K472" s="36" t="n">
        <f aca="false">J471*a_yield*(1-a_tax)</f>
        <v>236.25</v>
      </c>
      <c r="L472" s="36" t="n">
        <f aca="false">K471*a_yield*(1-a_tax)</f>
        <v>270</v>
      </c>
      <c r="M472" s="36" t="n">
        <f aca="false">L471*a_yield*(1-a_tax)</f>
        <v>303.75</v>
      </c>
    </row>
    <row r="473" customFormat="false" ht="15" hidden="false" customHeight="false" outlineLevel="0" collapsed="false">
      <c r="A473" s="9" t="s">
        <v>492</v>
      </c>
      <c r="C473" s="36" t="n">
        <f aca="false">cf_pat</f>
        <v>480</v>
      </c>
      <c r="D473" s="36" t="n">
        <f aca="false">cf_pat*(1+a_pat_growth)^D446</f>
        <v>480</v>
      </c>
      <c r="E473" s="36" t="n">
        <f aca="false">cf_pat*(1+a_pat_growth)^E446</f>
        <v>480</v>
      </c>
      <c r="F473" s="36" t="n">
        <f aca="false">cf_pat*(1+a_pat_growth)^F446</f>
        <v>480</v>
      </c>
      <c r="G473" s="36" t="n">
        <f aca="false">cf_pat*(1+a_pat_growth)^G446</f>
        <v>480</v>
      </c>
      <c r="H473" s="36" t="n">
        <f aca="false">cf_pat*(1+a_pat_growth)^H446</f>
        <v>480</v>
      </c>
      <c r="I473" s="36" t="n">
        <f aca="false">cf_pat*(1+a_pat_growth)^I446</f>
        <v>480</v>
      </c>
      <c r="J473" s="36" t="n">
        <f aca="false">cf_pat*(1+a_pat_growth)^J446</f>
        <v>480</v>
      </c>
      <c r="K473" s="36" t="n">
        <f aca="false">cf_pat*(1+a_pat_growth)^K446</f>
        <v>480</v>
      </c>
      <c r="L473" s="36" t="n">
        <f aca="false">cf_pat*(1+a_pat_growth)^L446</f>
        <v>480</v>
      </c>
      <c r="M473" s="36" t="n">
        <f aca="false">cf_pat*(1+a_pat_growth)^M446</f>
        <v>480</v>
      </c>
    </row>
    <row r="474" customFormat="false" ht="15" hidden="false" customHeight="false" outlineLevel="0" collapsed="false">
      <c r="A474" s="9" t="s">
        <v>493</v>
      </c>
      <c r="C474" s="36" t="n">
        <f aca="false">0</f>
        <v>0</v>
      </c>
      <c r="D474" s="36" t="n">
        <f aca="false">cf_mdr*a_mdr_flow*(1-a_tax)</f>
        <v>69</v>
      </c>
      <c r="E474" s="36" t="n">
        <f aca="false">cf_mdr*a_mdr_flow*(1-a_tax)</f>
        <v>69</v>
      </c>
      <c r="F474" s="36" t="n">
        <f aca="false">cf_mdr*a_mdr_flow*(1-a_tax)</f>
        <v>69</v>
      </c>
      <c r="G474" s="36" t="n">
        <f aca="false">cf_mdr*a_mdr_flow*(1-a_tax)</f>
        <v>69</v>
      </c>
      <c r="H474" s="36" t="n">
        <f aca="false">cf_mdr*a_mdr_flow*(1-a_tax)</f>
        <v>69</v>
      </c>
      <c r="I474" s="36" t="n">
        <f aca="false">cf_mdr*a_mdr_flow*(1-a_tax)</f>
        <v>69</v>
      </c>
      <c r="J474" s="36" t="n">
        <f aca="false">cf_mdr*a_mdr_flow*(1-a_tax)</f>
        <v>69</v>
      </c>
      <c r="K474" s="36" t="n">
        <f aca="false">cf_mdr*a_mdr_flow*(1-a_tax)</f>
        <v>69</v>
      </c>
      <c r="L474" s="36" t="n">
        <f aca="false">cf_mdr*a_mdr_flow*(1-a_tax)</f>
        <v>69</v>
      </c>
      <c r="M474" s="36" t="n">
        <f aca="false">cf_mdr*a_mdr_flow*(1-a_tax)</f>
        <v>69</v>
      </c>
    </row>
    <row r="475" customFormat="false" ht="15" hidden="false" customHeight="false" outlineLevel="0" collapsed="false">
      <c r="A475" s="9" t="s">
        <v>494</v>
      </c>
      <c r="C475" s="50" t="n">
        <f aca="false">cf_eps</f>
        <v>7.5</v>
      </c>
      <c r="D475" s="50" t="n">
        <f aca="false">D473/cf_shares</f>
        <v>7.5</v>
      </c>
      <c r="E475" s="50" t="n">
        <f aca="false">E473/cf_shares</f>
        <v>7.5</v>
      </c>
      <c r="F475" s="50" t="n">
        <f aca="false">F473/cf_shares</f>
        <v>7.5</v>
      </c>
      <c r="G475" s="50" t="n">
        <f aca="false">G473/cf_shares</f>
        <v>7.5</v>
      </c>
      <c r="H475" s="50" t="n">
        <f aca="false">H473/cf_shares</f>
        <v>7.5</v>
      </c>
      <c r="I475" s="50" t="n">
        <f aca="false">I473/cf_shares</f>
        <v>7.5</v>
      </c>
      <c r="J475" s="50" t="n">
        <f aca="false">J473/cf_shares</f>
        <v>7.5</v>
      </c>
      <c r="K475" s="50" t="n">
        <f aca="false">K473/cf_shares</f>
        <v>7.5</v>
      </c>
      <c r="L475" s="50" t="n">
        <f aca="false">L473/cf_shares</f>
        <v>7.5</v>
      </c>
      <c r="M475" s="50" t="n">
        <f aca="false">M473/cf_shares</f>
        <v>7.5</v>
      </c>
    </row>
    <row r="476" customFormat="false" ht="15" hidden="false" customHeight="false" outlineLevel="0" collapsed="false">
      <c r="A476" s="9" t="s">
        <v>495</v>
      </c>
      <c r="C476" s="50" t="n">
        <f aca="false">cf_eps</f>
        <v>7.5</v>
      </c>
      <c r="D476" s="50" t="n">
        <f aca="false">(D473+D474)/cf_shares</f>
        <v>8.578125</v>
      </c>
      <c r="E476" s="50" t="n">
        <f aca="false">(E473+E474)/cf_shares</f>
        <v>8.578125</v>
      </c>
      <c r="F476" s="50" t="n">
        <f aca="false">(F473+F474)/cf_shares</f>
        <v>8.578125</v>
      </c>
      <c r="G476" s="50" t="n">
        <f aca="false">(G473+G474)/cf_shares</f>
        <v>8.578125</v>
      </c>
      <c r="H476" s="50" t="n">
        <f aca="false">(H473+H474)/cf_shares</f>
        <v>8.578125</v>
      </c>
      <c r="I476" s="50" t="n">
        <f aca="false">(I473+I474)/cf_shares</f>
        <v>8.578125</v>
      </c>
      <c r="J476" s="50" t="n">
        <f aca="false">(J473+J474)/cf_shares</f>
        <v>8.578125</v>
      </c>
      <c r="K476" s="50" t="n">
        <f aca="false">(K473+K474)/cf_shares</f>
        <v>8.578125</v>
      </c>
      <c r="L476" s="50" t="n">
        <f aca="false">(L473+L474)/cf_shares</f>
        <v>8.578125</v>
      </c>
      <c r="M476" s="50" t="n">
        <f aca="false">(M473+M474)/cf_shares</f>
        <v>8.578125</v>
      </c>
    </row>
    <row r="477" customFormat="false" ht="15" hidden="false" customHeight="false" outlineLevel="0" collapsed="false">
      <c r="A477" s="4" t="s">
        <v>496</v>
      </c>
      <c r="C477" s="41" t="n">
        <f aca="false">-C464-C466</f>
        <v>-94.5</v>
      </c>
      <c r="D477" s="41" t="n">
        <f aca="false">D456+D468*(1-a_tax)-C464-C466-D470-D472</f>
        <v>-138.225</v>
      </c>
      <c r="E477" s="41" t="n">
        <f aca="false">E456+E468*(1-a_tax)-C464-C466-E470-E472</f>
        <v>-117.855</v>
      </c>
      <c r="F477" s="41" t="n">
        <f aca="false">F456+F468*(1-a_tax)-C464-C466-F470-F472</f>
        <v>-140.616</v>
      </c>
      <c r="G477" s="41" t="n">
        <f aca="false">G456+G468*(1-a_tax)-C464-C466-G470-G472</f>
        <v>-159.3972</v>
      </c>
      <c r="H477" s="41" t="n">
        <f aca="false">H456+H468*(1-a_tax)-C464-C466-H470-H472</f>
        <v>-173.04624</v>
      </c>
      <c r="I477" s="41" t="n">
        <f aca="false">I456+I468*(1-a_tax)-C464-C466-I470-I472</f>
        <v>-195.505488</v>
      </c>
      <c r="J477" s="41" t="n">
        <f aca="false">J456+J468*(1-a_tax)-C464-C466-J470-J472</f>
        <v>-215.7065856</v>
      </c>
      <c r="K477" s="41" t="n">
        <f aca="false">K456+K468*(1-a_tax)-C464-C466-K470-K472</f>
        <v>-233.19790272</v>
      </c>
      <c r="L477" s="41" t="n">
        <f aca="false">L456+L468*(1-a_tax)-C464-C466-L470-L472</f>
        <v>-247.437483264</v>
      </c>
      <c r="M477" s="41" t="n">
        <f aca="false">M456+M468*(1-a_tax)-C464-C466-M470-M472</f>
        <v>-257.7749799168</v>
      </c>
    </row>
    <row r="478" customFormat="false" ht="15" hidden="false" customHeight="false" outlineLevel="0" collapsed="false">
      <c r="A478" s="9" t="s">
        <v>497</v>
      </c>
      <c r="C478" s="36" t="n">
        <f aca="false">C473+C477</f>
        <v>385.5</v>
      </c>
      <c r="D478" s="36" t="n">
        <f aca="false">D473+D477</f>
        <v>341.775</v>
      </c>
      <c r="E478" s="36" t="n">
        <f aca="false">E473+E477</f>
        <v>362.145</v>
      </c>
      <c r="F478" s="36" t="n">
        <f aca="false">F473+F477</f>
        <v>339.384</v>
      </c>
      <c r="G478" s="36" t="n">
        <f aca="false">G473+G477</f>
        <v>320.6028</v>
      </c>
      <c r="H478" s="36" t="n">
        <f aca="false">H473+H477</f>
        <v>306.95376</v>
      </c>
      <c r="I478" s="36" t="n">
        <f aca="false">I473+I477</f>
        <v>284.494512</v>
      </c>
      <c r="J478" s="36" t="n">
        <f aca="false">J473+J477</f>
        <v>264.2934144</v>
      </c>
      <c r="K478" s="36" t="n">
        <f aca="false">K473+K477</f>
        <v>246.80209728</v>
      </c>
      <c r="L478" s="36" t="n">
        <f aca="false">L473+L477</f>
        <v>232.562516736</v>
      </c>
      <c r="M478" s="36" t="n">
        <f aca="false">M473+M477</f>
        <v>222.2250200832</v>
      </c>
    </row>
    <row r="479" customFormat="false" ht="15" hidden="false" customHeight="false" outlineLevel="0" collapsed="false">
      <c r="A479" s="4" t="s">
        <v>498</v>
      </c>
      <c r="C479" s="48" t="n">
        <f aca="false">C478/C463</f>
        <v>5.92858021653543</v>
      </c>
      <c r="D479" s="48" t="n">
        <f aca="false">D478/C463</f>
        <v>5.25613619586614</v>
      </c>
      <c r="E479" s="48" t="n">
        <f aca="false">E478/C463</f>
        <v>5.56940514271654</v>
      </c>
      <c r="F479" s="48" t="n">
        <f aca="false">F478/C463</f>
        <v>5.21936515748032</v>
      </c>
      <c r="G479" s="48" t="n">
        <f aca="false">G478/C463</f>
        <v>4.93053026574803</v>
      </c>
      <c r="H479" s="48" t="n">
        <f aca="false">H478/C463</f>
        <v>4.72062253937008</v>
      </c>
      <c r="I479" s="48" t="n">
        <f aca="false">I478/C463</f>
        <v>4.37522317913386</v>
      </c>
      <c r="J479" s="48" t="n">
        <f aca="false">J478/C463</f>
        <v>4.06455177165354</v>
      </c>
      <c r="K479" s="48" t="n">
        <f aca="false">K478/C463</f>
        <v>3.79555390748031</v>
      </c>
      <c r="L479" s="48" t="n">
        <f aca="false">L478/C463</f>
        <v>3.57656429527559</v>
      </c>
      <c r="M479" s="48" t="n">
        <f aca="false">M478/C463</f>
        <v>3.41758458543307</v>
      </c>
    </row>
    <row r="480" customFormat="false" ht="15" hidden="false" customHeight="false" outlineLevel="0" collapsed="false">
      <c r="A480" s="4" t="s">
        <v>499</v>
      </c>
      <c r="C480" s="14" t="n">
        <f aca="false">C479/cf_eps-1</f>
        <v>-0.209522637795276</v>
      </c>
      <c r="D480" s="14" t="n">
        <f aca="false">D479/cf_eps-1</f>
        <v>-0.299181840551181</v>
      </c>
      <c r="E480" s="14" t="n">
        <f aca="false">E479/cf_eps-1</f>
        <v>-0.257412647637795</v>
      </c>
      <c r="F480" s="14" t="n">
        <f aca="false">F479/cf_eps-1</f>
        <v>-0.304084645669291</v>
      </c>
      <c r="G480" s="14" t="n">
        <f aca="false">G479/cf_eps-1</f>
        <v>-0.342595964566929</v>
      </c>
      <c r="H480" s="14" t="n">
        <f aca="false">H479/cf_eps-1</f>
        <v>-0.370583661417323</v>
      </c>
      <c r="I480" s="14" t="n">
        <f aca="false">I479/cf_eps-1</f>
        <v>-0.416636909448819</v>
      </c>
      <c r="J480" s="14" t="n">
        <f aca="false">J479/cf_eps-1</f>
        <v>-0.458059763779528</v>
      </c>
      <c r="K480" s="14" t="n">
        <f aca="false">K479/cf_eps-1</f>
        <v>-0.493926145669291</v>
      </c>
      <c r="L480" s="14" t="n">
        <f aca="false">L479/cf_eps-1</f>
        <v>-0.523124760629921</v>
      </c>
      <c r="M480" s="14" t="n">
        <f aca="false">M479/cf_eps-1</f>
        <v>-0.544322055275591</v>
      </c>
    </row>
    <row r="481" customFormat="false" ht="15" hidden="false" customHeight="false" outlineLevel="0" collapsed="false">
      <c r="A481" s="9" t="s">
        <v>500</v>
      </c>
      <c r="C481" s="50" t="n">
        <f aca="false">C479</f>
        <v>5.92858021653543</v>
      </c>
      <c r="D481" s="50" t="n">
        <f aca="false">(D478+D474)/C463</f>
        <v>6.31728284940945</v>
      </c>
      <c r="E481" s="50" t="n">
        <f aca="false">(E478+E474)/C463</f>
        <v>6.63055179625984</v>
      </c>
      <c r="F481" s="50" t="n">
        <f aca="false">(F478+F474)/C463</f>
        <v>6.28051181102362</v>
      </c>
      <c r="G481" s="50" t="n">
        <f aca="false">(G478+G474)/C463</f>
        <v>5.99167691929134</v>
      </c>
      <c r="H481" s="50" t="n">
        <f aca="false">(H478+H474)/C463</f>
        <v>5.78176919291339</v>
      </c>
      <c r="I481" s="50" t="n">
        <f aca="false">(I478+I474)/C463</f>
        <v>5.43636983267717</v>
      </c>
      <c r="J481" s="50" t="n">
        <f aca="false">(J478+J474)/C463</f>
        <v>5.12569842519685</v>
      </c>
      <c r="K481" s="50" t="n">
        <f aca="false">(K478+K474)/C463</f>
        <v>4.85670056102362</v>
      </c>
      <c r="L481" s="50" t="n">
        <f aca="false">(L478+L474)/C463</f>
        <v>4.6377109488189</v>
      </c>
      <c r="M481" s="50" t="n">
        <f aca="false">(M478+M474)/C463</f>
        <v>4.47873123897638</v>
      </c>
    </row>
    <row r="482" customFormat="false" ht="15" hidden="false" customHeight="false" outlineLevel="0" collapsed="false">
      <c r="A482" s="9" t="s">
        <v>501</v>
      </c>
      <c r="C482" s="18" t="n">
        <f aca="false">C480</f>
        <v>-0.209522637795276</v>
      </c>
      <c r="D482" s="18" t="n">
        <f aca="false">D481/D476-1</f>
        <v>-0.263559012090702</v>
      </c>
      <c r="E482" s="18" t="n">
        <f aca="false">E481/E476-1</f>
        <v>-0.227039499160966</v>
      </c>
      <c r="F482" s="18" t="n">
        <f aca="false">F481/F476-1</f>
        <v>-0.267845617658448</v>
      </c>
      <c r="G482" s="18" t="n">
        <f aca="false">G481/G476-1</f>
        <v>-0.301516716148186</v>
      </c>
      <c r="H482" s="18" t="n">
        <f aca="false">H481/H476-1</f>
        <v>-0.325986833613012</v>
      </c>
      <c r="I482" s="18" t="n">
        <f aca="false">I481/I476-1</f>
        <v>-0.366251968503937</v>
      </c>
      <c r="J482" s="18" t="n">
        <f aca="false">J481/J476-1</f>
        <v>-0.402468671743901</v>
      </c>
      <c r="K482" s="18" t="n">
        <f aca="false">K481/K476-1</f>
        <v>-0.433827257002711</v>
      </c>
      <c r="L482" s="18" t="n">
        <f aca="false">L481/L476-1</f>
        <v>-0.459356100684136</v>
      </c>
      <c r="M482" s="18" t="n">
        <f aca="false">M481/M476-1</f>
        <v>-0.477889254472699</v>
      </c>
    </row>
    <row r="483" customFormat="false" ht="15" hidden="false" customHeight="false" outlineLevel="0" collapsed="false">
      <c r="A483" s="9" t="s">
        <v>502</v>
      </c>
      <c r="C483" s="50" t="n">
        <f aca="false">(C478+C466)/C463</f>
        <v>5.92858021653543</v>
      </c>
      <c r="D483" s="50" t="n">
        <f aca="false">(D478+C466)/C463</f>
        <v>5.25613619586614</v>
      </c>
      <c r="E483" s="50" t="n">
        <f aca="false">(E478+C466)/C463</f>
        <v>5.56940514271654</v>
      </c>
      <c r="F483" s="50" t="n">
        <f aca="false">(F478+C466)/C463</f>
        <v>5.21936515748032</v>
      </c>
      <c r="G483" s="50" t="n">
        <f aca="false">(G478+C466)/C463</f>
        <v>4.93053026574803</v>
      </c>
      <c r="H483" s="50" t="n">
        <f aca="false">(H478+C466)/C463</f>
        <v>4.72062253937008</v>
      </c>
      <c r="I483" s="50" t="n">
        <f aca="false">(I478+C466)/C463</f>
        <v>4.37522317913386</v>
      </c>
      <c r="J483" s="50" t="n">
        <f aca="false">(J478+C466)/C463</f>
        <v>4.06455177165354</v>
      </c>
      <c r="K483" s="50" t="n">
        <f aca="false">(K478+C466)/C463</f>
        <v>3.79555390748031</v>
      </c>
      <c r="L483" s="50" t="n">
        <f aca="false">(L478+C466)/C463</f>
        <v>3.57656429527559</v>
      </c>
      <c r="M483" s="50" t="n">
        <f aca="false">(M478+C466)/C463</f>
        <v>3.41758458543307</v>
      </c>
    </row>
    <row r="484" customFormat="false" ht="15" hidden="false" customHeight="false" outlineLevel="0" collapsed="false">
      <c r="A484" s="9" t="s">
        <v>503</v>
      </c>
      <c r="C484" s="50" t="n">
        <f aca="false">(C478-C465+C466)/C463</f>
        <v>4.48680487204724</v>
      </c>
      <c r="D484" s="50" t="n">
        <f aca="false">(D478-C465+C466)/C463</f>
        <v>3.81436085137795</v>
      </c>
      <c r="E484" s="50" t="n">
        <f aca="false">(E478-C465+C466)/C463</f>
        <v>4.12762979822835</v>
      </c>
      <c r="F484" s="50" t="n">
        <f aca="false">(F478-C465+C466)/C463</f>
        <v>3.77758981299213</v>
      </c>
      <c r="G484" s="50" t="n">
        <f aca="false">(G478-C465+C466)/C463</f>
        <v>3.48875492125984</v>
      </c>
      <c r="H484" s="50" t="n">
        <f aca="false">(H478-C465+C466)/C463</f>
        <v>3.27884719488189</v>
      </c>
      <c r="I484" s="50" t="n">
        <f aca="false">(I478-C465+C466)/C463</f>
        <v>2.93344783464567</v>
      </c>
      <c r="J484" s="50" t="n">
        <f aca="false">(J478-C465+C466)/C463</f>
        <v>2.62277642716535</v>
      </c>
      <c r="K484" s="50" t="n">
        <f aca="false">(K478-C465+C466)/C463</f>
        <v>2.35377856299213</v>
      </c>
      <c r="L484" s="50" t="n">
        <f aca="false">(L478-C465+C466)/C463</f>
        <v>2.1347889507874</v>
      </c>
      <c r="M484" s="50" t="n">
        <f aca="false">(M478-C465+C466)/C463</f>
        <v>1.97580924094488</v>
      </c>
    </row>
    <row r="485" customFormat="false" ht="15" hidden="false" customHeight="false" outlineLevel="0" collapsed="false">
      <c r="A485" s="9" t="s">
        <v>504</v>
      </c>
      <c r="C485" s="50" t="n">
        <f aca="false">C473/C463</f>
        <v>7.38188976377953</v>
      </c>
      <c r="D485" s="50" t="n">
        <f aca="false">D473/C463</f>
        <v>7.38188976377953</v>
      </c>
      <c r="E485" s="50" t="n">
        <f aca="false">E473/C463</f>
        <v>7.38188976377953</v>
      </c>
      <c r="F485" s="50" t="n">
        <f aca="false">F473/C463</f>
        <v>7.38188976377953</v>
      </c>
      <c r="G485" s="50" t="n">
        <f aca="false">G473/C463</f>
        <v>7.38188976377953</v>
      </c>
      <c r="H485" s="50" t="n">
        <f aca="false">H473/C463</f>
        <v>7.38188976377953</v>
      </c>
      <c r="I485" s="50" t="n">
        <f aca="false">I473/C463</f>
        <v>7.38188976377953</v>
      </c>
      <c r="J485" s="50" t="n">
        <f aca="false">J473/C463</f>
        <v>7.38188976377953</v>
      </c>
      <c r="K485" s="50" t="n">
        <f aca="false">K473/C463</f>
        <v>7.38188976377953</v>
      </c>
      <c r="L485" s="50" t="n">
        <f aca="false">L473/C463</f>
        <v>7.38188976377953</v>
      </c>
      <c r="M485" s="50" t="n">
        <f aca="false">M473/C463</f>
        <v>7.38188976377953</v>
      </c>
    </row>
    <row r="486" customFormat="false" ht="15" hidden="false" customHeight="false" outlineLevel="0" collapsed="false">
      <c r="A486" s="9" t="s">
        <v>505</v>
      </c>
      <c r="D486" s="36" t="n">
        <f aca="false">D459+D468*(1-a_tax)-D469-IF(D446=1,C467,0)</f>
        <v>-950.975</v>
      </c>
      <c r="E486" s="36" t="n">
        <f aca="false">E459+E468*(1-a_tax)-E469-IF(E446=1,C467,0)</f>
        <v>-741.255</v>
      </c>
      <c r="F486" s="36" t="n">
        <f aca="false">F459+F468*(1-a_tax)-F469-IF(F446=1,C467,0)</f>
        <v>-730.596</v>
      </c>
      <c r="G486" s="36" t="n">
        <f aca="false">G459+G468*(1-a_tax)-G469-IF(G446=1,C467,0)</f>
        <v>-716.0232</v>
      </c>
      <c r="H486" s="36" t="n">
        <f aca="false">H459+H468*(1-a_tax)-H469-IF(H446=1,C467,0)</f>
        <v>-696.39744</v>
      </c>
      <c r="I486" s="36" t="n">
        <f aca="false">I459+I468*(1-a_tax)-I469-IF(I446=1,C467,0)</f>
        <v>-685.676928</v>
      </c>
      <c r="J486" s="36" t="n">
        <f aca="false">J459+J468*(1-a_tax)-J469-IF(J446=1,C467,0)</f>
        <v>-672.8123136</v>
      </c>
      <c r="K486" s="36" t="n">
        <f aca="false">K459+K468*(1-a_tax)-K469-IF(K446=1,C467,0)</f>
        <v>-657.37477632</v>
      </c>
      <c r="L486" s="36" t="n">
        <f aca="false">L459+L468*(1-a_tax)-L469-IF(L446=1,C467,0)</f>
        <v>-638.849731584</v>
      </c>
      <c r="M486" s="36" t="n">
        <f aca="false">M459+M468*(1-a_tax)-M469-IF(M446=1,C467,0)</f>
        <v>-616.6196779008</v>
      </c>
    </row>
    <row r="487" customFormat="false" ht="15" hidden="false" customHeight="false" outlineLevel="0" collapsed="false">
      <c r="A487" s="4" t="s">
        <v>506</v>
      </c>
      <c r="D487" s="41" t="n">
        <f aca="false">D486-C464</f>
        <v>-1045.475</v>
      </c>
      <c r="E487" s="41" t="n">
        <f aca="false">E486-C464</f>
        <v>-835.755</v>
      </c>
      <c r="F487" s="41" t="n">
        <f aca="false">F486-C464</f>
        <v>-825.096</v>
      </c>
      <c r="G487" s="41" t="n">
        <f aca="false">G486-C464</f>
        <v>-810.5232</v>
      </c>
      <c r="H487" s="41" t="n">
        <f aca="false">H486-C464</f>
        <v>-790.89744</v>
      </c>
      <c r="I487" s="41" t="n">
        <f aca="false">I486-C464</f>
        <v>-780.176928</v>
      </c>
      <c r="J487" s="41" t="n">
        <f aca="false">J486-C464</f>
        <v>-767.3123136</v>
      </c>
      <c r="K487" s="41" t="n">
        <f aca="false">K486-C464</f>
        <v>-751.87477632</v>
      </c>
      <c r="L487" s="41" t="n">
        <f aca="false">L486-C464</f>
        <v>-733.349731584</v>
      </c>
      <c r="M487" s="41" t="n">
        <f aca="false">M486-C464</f>
        <v>-711.1196779008</v>
      </c>
    </row>
    <row r="488" customFormat="false" ht="15" hidden="false" customHeight="false" outlineLevel="0" collapsed="false">
      <c r="A488" s="9" t="s">
        <v>507</v>
      </c>
      <c r="C488" s="36" t="n">
        <f aca="false">0</f>
        <v>0</v>
      </c>
      <c r="D488" s="36" t="n">
        <f aca="false">D474</f>
        <v>69</v>
      </c>
      <c r="E488" s="36" t="n">
        <f aca="false">E474</f>
        <v>69</v>
      </c>
      <c r="F488" s="36" t="n">
        <f aca="false">F474</f>
        <v>69</v>
      </c>
      <c r="G488" s="36" t="n">
        <f aca="false">G474</f>
        <v>69</v>
      </c>
      <c r="H488" s="36" t="n">
        <f aca="false">H474</f>
        <v>69</v>
      </c>
      <c r="I488" s="36" t="n">
        <f aca="false">I474</f>
        <v>69</v>
      </c>
      <c r="J488" s="36" t="n">
        <f aca="false">J474</f>
        <v>69</v>
      </c>
      <c r="K488" s="36" t="n">
        <f aca="false">K474</f>
        <v>69</v>
      </c>
      <c r="L488" s="36" t="n">
        <f aca="false">L474</f>
        <v>69</v>
      </c>
      <c r="M488" s="36" t="n">
        <f aca="false">M474</f>
        <v>69</v>
      </c>
    </row>
    <row r="489" customFormat="false" ht="15" hidden="false" customHeight="false" outlineLevel="0" collapsed="false">
      <c r="A489" s="9" t="s">
        <v>508</v>
      </c>
      <c r="D489" s="36" t="n">
        <f aca="false">D487+D488</f>
        <v>-976.475</v>
      </c>
      <c r="E489" s="36" t="n">
        <f aca="false">E487+E488</f>
        <v>-766.755</v>
      </c>
      <c r="F489" s="36" t="n">
        <f aca="false">F487+F488</f>
        <v>-756.096</v>
      </c>
      <c r="G489" s="36" t="n">
        <f aca="false">G487+G488</f>
        <v>-741.5232</v>
      </c>
      <c r="H489" s="36" t="n">
        <f aca="false">H487+H488</f>
        <v>-721.89744</v>
      </c>
      <c r="I489" s="36" t="n">
        <f aca="false">I487+I488</f>
        <v>-711.176928</v>
      </c>
      <c r="J489" s="36" t="n">
        <f aca="false">J487+J488</f>
        <v>-698.3123136</v>
      </c>
      <c r="K489" s="36" t="n">
        <f aca="false">K487+K488</f>
        <v>-682.87477632</v>
      </c>
      <c r="L489" s="36" t="n">
        <f aca="false">L487+L488</f>
        <v>-664.349731584</v>
      </c>
      <c r="M489" s="36" t="n">
        <f aca="false">M487+M488</f>
        <v>-642.1196779008</v>
      </c>
    </row>
    <row r="490" customFormat="false" ht="15" hidden="false" customHeight="false" outlineLevel="0" collapsed="false">
      <c r="A490" s="9" t="s">
        <v>509</v>
      </c>
      <c r="D490" s="36" t="n">
        <f aca="false">IF(lv_mdr_in_deal=1,D489,D487)</f>
        <v>-1045.475</v>
      </c>
      <c r="E490" s="36" t="n">
        <f aca="false">IF(lv_mdr_in_deal=1,E489,E487)</f>
        <v>-835.755</v>
      </c>
      <c r="F490" s="36" t="n">
        <f aca="false">IF(lv_mdr_in_deal=1,F489,F487)</f>
        <v>-825.096</v>
      </c>
      <c r="G490" s="36" t="n">
        <f aca="false">IF(lv_mdr_in_deal=1,G489,G487)</f>
        <v>-810.5232</v>
      </c>
      <c r="H490" s="36" t="n">
        <f aca="false">IF(lv_mdr_in_deal=1,H489,H487)</f>
        <v>-790.89744</v>
      </c>
      <c r="I490" s="36" t="n">
        <f aca="false">IF(lv_mdr_in_deal=1,I489,I487)</f>
        <v>-780.176928</v>
      </c>
      <c r="J490" s="36" t="n">
        <f aca="false">IF(lv_mdr_in_deal=1,J489,J487)</f>
        <v>-767.3123136</v>
      </c>
      <c r="K490" s="36" t="n">
        <f aca="false">IF(lv_mdr_in_deal=1,K489,K487)</f>
        <v>-751.87477632</v>
      </c>
      <c r="L490" s="36" t="n">
        <f aca="false">IF(lv_mdr_in_deal=1,L489,L487)</f>
        <v>-733.349731584</v>
      </c>
      <c r="M490" s="36" t="n">
        <f aca="false">IF(lv_mdr_in_deal=1,M489,M487)</f>
        <v>-711.1196779008</v>
      </c>
    </row>
    <row r="491" customFormat="false" ht="15" hidden="false" customHeight="false" outlineLevel="0" collapsed="false">
      <c r="A491" s="9" t="s">
        <v>510</v>
      </c>
      <c r="C491" s="36" t="n">
        <f aca="false">-lv_price</f>
        <v>-4000</v>
      </c>
      <c r="D491" s="36" t="n">
        <f aca="false">C491+D490</f>
        <v>-5045.475</v>
      </c>
      <c r="E491" s="36" t="n">
        <f aca="false">D491+E490</f>
        <v>-5881.23</v>
      </c>
      <c r="F491" s="36" t="n">
        <f aca="false">E491+F490</f>
        <v>-6706.326</v>
      </c>
      <c r="G491" s="36" t="n">
        <f aca="false">F491+G490</f>
        <v>-7516.8492</v>
      </c>
      <c r="H491" s="36" t="n">
        <f aca="false">G491+H490</f>
        <v>-8307.74664</v>
      </c>
      <c r="I491" s="36" t="n">
        <f aca="false">H491+I490</f>
        <v>-9087.923568</v>
      </c>
      <c r="J491" s="36" t="n">
        <f aca="false">I491+J490</f>
        <v>-9855.2358816</v>
      </c>
      <c r="K491" s="36" t="n">
        <f aca="false">J491+K490</f>
        <v>-10607.11065792</v>
      </c>
      <c r="L491" s="36" t="n">
        <f aca="false">K491+L490</f>
        <v>-11340.460389504</v>
      </c>
      <c r="M491" s="36" t="n">
        <f aca="false">L491+M490</f>
        <v>-12051.5800674048</v>
      </c>
    </row>
    <row r="492" customFormat="false" ht="15" hidden="false" customHeight="false" outlineLevel="0" collapsed="false">
      <c r="A492" s="9" t="s">
        <v>511</v>
      </c>
      <c r="C492" s="43" t="n">
        <f aca="false">1</f>
        <v>1</v>
      </c>
      <c r="D492" s="43" t="n">
        <f aca="false">1/(1+Scenarios!$B$43)^D446</f>
        <v>0.884955752212389</v>
      </c>
      <c r="E492" s="43" t="n">
        <f aca="false">1/(1+Scenarios!$B$43)^E446</f>
        <v>0.783146683373796</v>
      </c>
      <c r="F492" s="43" t="n">
        <f aca="false">1/(1+Scenarios!$B$43)^F446</f>
        <v>0.693050162277696</v>
      </c>
      <c r="G492" s="43" t="n">
        <f aca="false">1/(1+Scenarios!$B$43)^G446</f>
        <v>0.613318727679377</v>
      </c>
      <c r="H492" s="43" t="n">
        <f aca="false">1/(1+Scenarios!$B$43)^H446</f>
        <v>0.542759935999449</v>
      </c>
      <c r="I492" s="43" t="n">
        <f aca="false">1/(1+Scenarios!$B$43)^I446</f>
        <v>0.48031852743314</v>
      </c>
      <c r="J492" s="43" t="n">
        <f aca="false">1/(1+Scenarios!$B$43)^J446</f>
        <v>0.425060643746142</v>
      </c>
      <c r="K492" s="43" t="n">
        <f aca="false">1/(1+Scenarios!$B$43)^K446</f>
        <v>0.37615986172225</v>
      </c>
      <c r="L492" s="43" t="n">
        <f aca="false">1/(1+Scenarios!$B$43)^L446</f>
        <v>0.332884833382522</v>
      </c>
      <c r="M492" s="43" t="n">
        <f aca="false">1/(1+Scenarios!$B$43)^M446</f>
        <v>0.294588348126126</v>
      </c>
    </row>
    <row r="493" customFormat="false" ht="15" hidden="false" customHeight="false" outlineLevel="0" collapsed="false">
      <c r="A493" s="9" t="s">
        <v>512</v>
      </c>
      <c r="C493" s="46" t="n">
        <f aca="false">99</f>
        <v>99</v>
      </c>
      <c r="D493" s="46" t="n">
        <f aca="false">IF(D477&gt;=0,D446,99)</f>
        <v>99</v>
      </c>
      <c r="E493" s="46" t="n">
        <f aca="false">IF(E477&gt;=0,E446,99)</f>
        <v>99</v>
      </c>
      <c r="F493" s="46" t="n">
        <f aca="false">IF(F477&gt;=0,F446,99)</f>
        <v>99</v>
      </c>
      <c r="G493" s="46" t="n">
        <f aca="false">IF(G477&gt;=0,G446,99)</f>
        <v>99</v>
      </c>
      <c r="H493" s="46" t="n">
        <f aca="false">IF(H477&gt;=0,H446,99)</f>
        <v>99</v>
      </c>
      <c r="I493" s="46" t="n">
        <f aca="false">IF(I477&gt;=0,I446,99)</f>
        <v>99</v>
      </c>
      <c r="J493" s="46" t="n">
        <f aca="false">IF(J477&gt;=0,J446,99)</f>
        <v>99</v>
      </c>
      <c r="K493" s="46" t="n">
        <f aca="false">IF(K477&gt;=0,K446,99)</f>
        <v>99</v>
      </c>
      <c r="L493" s="46" t="n">
        <f aca="false">IF(L477&gt;=0,L446,99)</f>
        <v>99</v>
      </c>
      <c r="M493" s="46" t="n">
        <f aca="false">IF(M477&gt;=0,M446,99)</f>
        <v>99</v>
      </c>
    </row>
    <row r="494" customFormat="false" ht="15" hidden="false" customHeight="false" outlineLevel="0" collapsed="false">
      <c r="A494" s="9" t="s">
        <v>513</v>
      </c>
      <c r="C494" s="46" t="n">
        <f aca="false">99</f>
        <v>99</v>
      </c>
      <c r="D494" s="46" t="n">
        <f aca="false">IF(D477+D474&gt;=0,D446,99)</f>
        <v>99</v>
      </c>
      <c r="E494" s="46" t="n">
        <f aca="false">IF(E477+E474&gt;=0,E446,99)</f>
        <v>99</v>
      </c>
      <c r="F494" s="46" t="n">
        <f aca="false">IF(F477+F474&gt;=0,F446,99)</f>
        <v>99</v>
      </c>
      <c r="G494" s="46" t="n">
        <f aca="false">IF(G477+G474&gt;=0,G446,99)</f>
        <v>99</v>
      </c>
      <c r="H494" s="46" t="n">
        <f aca="false">IF(H477+H474&gt;=0,H446,99)</f>
        <v>99</v>
      </c>
      <c r="I494" s="46" t="n">
        <f aca="false">IF(I477+I474&gt;=0,I446,99)</f>
        <v>99</v>
      </c>
      <c r="J494" s="46" t="n">
        <f aca="false">IF(J477+J474&gt;=0,J446,99)</f>
        <v>99</v>
      </c>
      <c r="K494" s="46" t="n">
        <f aca="false">IF(K477+K474&gt;=0,K446,99)</f>
        <v>99</v>
      </c>
      <c r="L494" s="46" t="n">
        <f aca="false">IF(L477+L474&gt;=0,L446,99)</f>
        <v>99</v>
      </c>
      <c r="M494" s="46" t="n">
        <f aca="false">IF(M477+M474&gt;=0,M446,99)</f>
        <v>99</v>
      </c>
    </row>
    <row r="495" customFormat="false" ht="15" hidden="false" customHeight="false" outlineLevel="0" collapsed="false">
      <c r="A495" s="9" t="s">
        <v>514</v>
      </c>
      <c r="C495" s="46" t="n">
        <f aca="false">99</f>
        <v>99</v>
      </c>
      <c r="D495" s="46" t="n">
        <f aca="false">IF(D487&gt;=0,D446,99)</f>
        <v>99</v>
      </c>
      <c r="E495" s="46" t="n">
        <f aca="false">IF(E487&gt;=0,E446,99)</f>
        <v>99</v>
      </c>
      <c r="F495" s="46" t="n">
        <f aca="false">IF(F487&gt;=0,F446,99)</f>
        <v>99</v>
      </c>
      <c r="G495" s="46" t="n">
        <f aca="false">IF(G487&gt;=0,G446,99)</f>
        <v>99</v>
      </c>
      <c r="H495" s="46" t="n">
        <f aca="false">IF(H487&gt;=0,H446,99)</f>
        <v>99</v>
      </c>
      <c r="I495" s="46" t="n">
        <f aca="false">IF(I487&gt;=0,I446,99)</f>
        <v>99</v>
      </c>
      <c r="J495" s="46" t="n">
        <f aca="false">IF(J487&gt;=0,J446,99)</f>
        <v>99</v>
      </c>
      <c r="K495" s="46" t="n">
        <f aca="false">IF(K487&gt;=0,K446,99)</f>
        <v>99</v>
      </c>
      <c r="L495" s="46" t="n">
        <f aca="false">IF(L487&gt;=0,L446,99)</f>
        <v>99</v>
      </c>
      <c r="M495" s="46" t="n">
        <f aca="false">IF(M487&gt;=0,M446,99)</f>
        <v>99</v>
      </c>
    </row>
    <row r="496" customFormat="false" ht="15" hidden="false" customHeight="false" outlineLevel="0" collapsed="false">
      <c r="A496" s="9" t="s">
        <v>515</v>
      </c>
      <c r="C496" s="46" t="n">
        <f aca="false">99</f>
        <v>99</v>
      </c>
      <c r="D496" s="46" t="n">
        <f aca="false">IF(D489&gt;=0,D446,99)</f>
        <v>99</v>
      </c>
      <c r="E496" s="46" t="n">
        <f aca="false">IF(E489&gt;=0,E446,99)</f>
        <v>99</v>
      </c>
      <c r="F496" s="46" t="n">
        <f aca="false">IF(F489&gt;=0,F446,99)</f>
        <v>99</v>
      </c>
      <c r="G496" s="46" t="n">
        <f aca="false">IF(G489&gt;=0,G446,99)</f>
        <v>99</v>
      </c>
      <c r="H496" s="46" t="n">
        <f aca="false">IF(H489&gt;=0,H446,99)</f>
        <v>99</v>
      </c>
      <c r="I496" s="46" t="n">
        <f aca="false">IF(I489&gt;=0,I446,99)</f>
        <v>99</v>
      </c>
      <c r="J496" s="46" t="n">
        <f aca="false">IF(J489&gt;=0,J446,99)</f>
        <v>99</v>
      </c>
      <c r="K496" s="46" t="n">
        <f aca="false">IF(K489&gt;=0,K446,99)</f>
        <v>99</v>
      </c>
      <c r="L496" s="46" t="n">
        <f aca="false">IF(L489&gt;=0,L446,99)</f>
        <v>99</v>
      </c>
      <c r="M496" s="46" t="n">
        <f aca="false">IF(M489&gt;=0,M446,99)</f>
        <v>99</v>
      </c>
    </row>
    <row r="497" customFormat="false" ht="15" hidden="false" customHeight="false" outlineLevel="0" collapsed="false">
      <c r="A497" s="9" t="s">
        <v>516</v>
      </c>
      <c r="C497" s="46" t="n">
        <f aca="false">99</f>
        <v>99</v>
      </c>
      <c r="D497" s="46" t="n">
        <f aca="false">IF(D491&gt;=0,D446,99)</f>
        <v>99</v>
      </c>
      <c r="E497" s="46" t="n">
        <f aca="false">IF(E491&gt;=0,E446,99)</f>
        <v>99</v>
      </c>
      <c r="F497" s="46" t="n">
        <f aca="false">IF(F491&gt;=0,F446,99)</f>
        <v>99</v>
      </c>
      <c r="G497" s="46" t="n">
        <f aca="false">IF(G491&gt;=0,G446,99)</f>
        <v>99</v>
      </c>
      <c r="H497" s="46" t="n">
        <f aca="false">IF(H491&gt;=0,H446,99)</f>
        <v>99</v>
      </c>
      <c r="I497" s="46" t="n">
        <f aca="false">IF(I491&gt;=0,I446,99)</f>
        <v>99</v>
      </c>
      <c r="J497" s="46" t="n">
        <f aca="false">IF(J491&gt;=0,J446,99)</f>
        <v>99</v>
      </c>
      <c r="K497" s="46" t="n">
        <f aca="false">IF(K491&gt;=0,K446,99)</f>
        <v>99</v>
      </c>
      <c r="L497" s="46" t="n">
        <f aca="false">IF(L491&gt;=0,L446,99)</f>
        <v>99</v>
      </c>
      <c r="M497" s="46" t="n">
        <f aca="false">IF(M491&gt;=0,M446,99)</f>
        <v>99</v>
      </c>
    </row>
    <row r="498" customFormat="false" ht="15" hidden="false" customHeight="false" outlineLevel="0" collapsed="false">
      <c r="A498" s="4" t="s">
        <v>517</v>
      </c>
      <c r="C498" s="23" t="n">
        <f aca="false">MIN(D493:M493)</f>
        <v>99</v>
      </c>
    </row>
    <row r="499" customFormat="false" ht="15" hidden="false" customHeight="false" outlineLevel="0" collapsed="false">
      <c r="A499" s="9" t="s">
        <v>518</v>
      </c>
      <c r="C499" s="46" t="n">
        <f aca="false">MIN(D494:M494)</f>
        <v>99</v>
      </c>
    </row>
    <row r="500" customFormat="false" ht="15" hidden="false" customHeight="false" outlineLevel="0" collapsed="false">
      <c r="A500" s="4" t="s">
        <v>519</v>
      </c>
      <c r="C500" s="23" t="n">
        <f aca="false">MIN(D495:M495)</f>
        <v>99</v>
      </c>
    </row>
    <row r="501" customFormat="false" ht="15" hidden="false" customHeight="false" outlineLevel="0" collapsed="false">
      <c r="A501" s="9" t="s">
        <v>520</v>
      </c>
      <c r="C501" s="46" t="n">
        <f aca="false">MIN(D496:M496)</f>
        <v>99</v>
      </c>
    </row>
    <row r="502" customFormat="false" ht="15" hidden="false" customHeight="false" outlineLevel="0" collapsed="false">
      <c r="A502" s="9" t="s">
        <v>521</v>
      </c>
      <c r="C502" s="46" t="n">
        <f aca="false">MIN(D497:M497)</f>
        <v>99</v>
      </c>
    </row>
    <row r="503" customFormat="false" ht="15" hidden="false" customHeight="false" outlineLevel="0" collapsed="false">
      <c r="A503" s="4" t="s">
        <v>522</v>
      </c>
      <c r="C503" s="15" t="n">
        <f aca="false">M491</f>
        <v>-12051.5800674048</v>
      </c>
    </row>
    <row r="504" customFormat="false" ht="15" hidden="false" customHeight="false" outlineLevel="0" collapsed="false">
      <c r="A504" s="9" t="s">
        <v>523</v>
      </c>
      <c r="C504" s="36" t="n">
        <f aca="false">SUMPRODUCT(D459:M459,D492:M492)</f>
        <v>208.806860496414</v>
      </c>
    </row>
    <row r="505" customFormat="false" ht="15" hidden="false" customHeight="false" outlineLevel="0" collapsed="false">
      <c r="A505" s="9" t="s">
        <v>524</v>
      </c>
      <c r="C505" s="36" t="n">
        <f aca="false">M459*(1+a_tg)/(Scenarios!$B$43-a_tg)</f>
        <v>1750.616727552</v>
      </c>
    </row>
    <row r="506" customFormat="false" ht="15" hidden="false" customHeight="false" outlineLevel="0" collapsed="false">
      <c r="A506" s="9" t="s">
        <v>314</v>
      </c>
      <c r="C506" s="36" t="n">
        <f aca="false">C505*M492</f>
        <v>515.711289971507</v>
      </c>
    </row>
    <row r="507" customFormat="false" ht="15" hidden="false" customHeight="false" outlineLevel="0" collapsed="false">
      <c r="A507" s="4" t="s">
        <v>525</v>
      </c>
      <c r="C507" s="15" t="n">
        <f aca="false">C504+C506</f>
        <v>724.518150467921</v>
      </c>
    </row>
    <row r="508" customFormat="false" ht="15" hidden="false" customHeight="false" outlineLevel="0" collapsed="false">
      <c r="A508" s="9" t="s">
        <v>526</v>
      </c>
      <c r="C508" s="32" t="n">
        <f aca="false">SUMPRODUCT(D469:M469,D492:M492)-a_recovery*M471*M492</f>
        <v>4069.68260696466</v>
      </c>
    </row>
    <row r="509" customFormat="false" ht="15" hidden="false" customHeight="false" outlineLevel="0" collapsed="false">
      <c r="A509" s="9" t="s">
        <v>527</v>
      </c>
      <c r="C509" s="36" t="n">
        <f aca="false">SUMPRODUCT(D468:M468,D492:M492)*(1-a_tax)</f>
        <v>0</v>
      </c>
    </row>
    <row r="510" customFormat="false" ht="15" hidden="false" customHeight="false" outlineLevel="0" collapsed="false">
      <c r="A510" s="9" t="s">
        <v>528</v>
      </c>
      <c r="C510" s="36" t="n">
        <f aca="false">C467*D492</f>
        <v>141.592920353982</v>
      </c>
    </row>
    <row r="511" customFormat="false" ht="15" hidden="false" customHeight="false" outlineLevel="0" collapsed="false">
      <c r="A511" s="4" t="s">
        <v>529</v>
      </c>
      <c r="C511" s="20" t="n">
        <f aca="false">C507+C509-C508-C510-lv_price</f>
        <v>-7486.75737685072</v>
      </c>
    </row>
    <row r="512" customFormat="false" ht="15" hidden="false" customHeight="false" outlineLevel="0" collapsed="false">
      <c r="A512" s="9" t="s">
        <v>530</v>
      </c>
      <c r="C512" s="32" t="n">
        <f aca="false">C511+SUMPRODUCT(D488:M488,D492:M492)</f>
        <v>-7112.34657700998</v>
      </c>
    </row>
    <row r="513" customFormat="false" ht="15" hidden="false" customHeight="false" outlineLevel="0" collapsed="false">
      <c r="A513" s="4" t="s">
        <v>531</v>
      </c>
      <c r="C513" s="59" t="n">
        <f aca="false">lv_price/D449</f>
        <v>24.2424242424242</v>
      </c>
    </row>
    <row r="514" customFormat="false" ht="15" hidden="false" customHeight="false" outlineLevel="0" collapsed="false">
      <c r="A514" s="9" t="s">
        <v>532</v>
      </c>
      <c r="C514" s="17" t="n">
        <f aca="false">(lv_price+C508)/D449</f>
        <v>48.9071673149374</v>
      </c>
    </row>
    <row r="515" customFormat="false" ht="15" hidden="false" customHeight="false" outlineLevel="0" collapsed="false">
      <c r="A515" s="4" t="s">
        <v>533</v>
      </c>
      <c r="C515" s="15" t="n">
        <f aca="false">(C511+C508)/SUMPRODUCT(D492:M492)</f>
        <v>-629.731191574665</v>
      </c>
    </row>
    <row r="516" customFormat="false" ht="15" hidden="false" customHeight="false" outlineLevel="0" collapsed="false">
      <c r="A516" s="4" t="s">
        <v>534</v>
      </c>
      <c r="C516" s="25" t="n">
        <f aca="false">D479</f>
        <v>5.25613619586614</v>
      </c>
    </row>
    <row r="517" customFormat="false" ht="15" hidden="false" customHeight="false" outlineLevel="0" collapsed="false">
      <c r="A517" s="9" t="s">
        <v>535</v>
      </c>
      <c r="C517" s="50" t="n">
        <f aca="false">F479</f>
        <v>5.21936515748032</v>
      </c>
    </row>
    <row r="518" customFormat="false" ht="15" hidden="false" customHeight="false" outlineLevel="0" collapsed="false">
      <c r="A518" s="4" t="s">
        <v>536</v>
      </c>
      <c r="C518" s="20" t="n">
        <f aca="false">D487</f>
        <v>-1045.475</v>
      </c>
    </row>
    <row r="519" customFormat="false" ht="15" hidden="false" customHeight="false" outlineLevel="0" collapsed="false">
      <c r="A519" s="9" t="s">
        <v>537</v>
      </c>
      <c r="C519" s="32" t="n">
        <f aca="false">cf_cash-lv_mix_cash-C467</f>
        <v>6640</v>
      </c>
    </row>
    <row r="520" customFormat="false" ht="15" hidden="false" customHeight="false" outlineLevel="0" collapsed="false">
      <c r="A520" s="9" t="s">
        <v>538</v>
      </c>
      <c r="C520" s="32" t="n">
        <f aca="false">cf_debt+lv_mix_debt</f>
        <v>350</v>
      </c>
    </row>
    <row r="521" customFormat="false" ht="15" hidden="false" customHeight="false" outlineLevel="0" collapsed="false">
      <c r="A521" s="9" t="s">
        <v>539</v>
      </c>
      <c r="C521" s="34" t="n">
        <f aca="false">C520/cf_ebitda</f>
        <v>0.546875</v>
      </c>
    </row>
    <row r="522" customFormat="false" ht="15" hidden="false" customHeight="false" outlineLevel="0" collapsed="false">
      <c r="A522" s="9" t="s">
        <v>540</v>
      </c>
      <c r="C522" s="32" t="n">
        <f aca="false">C519+SUM(D490:F490)+3*cf_pat</f>
        <v>5373.674</v>
      </c>
    </row>
    <row r="524" customFormat="false" ht="15" hidden="false" customHeight="false" outlineLevel="0" collapsed="false">
      <c r="A524" s="7" t="s">
        <v>876</v>
      </c>
      <c r="B524" s="8"/>
      <c r="C524" s="8"/>
      <c r="D524" s="8"/>
      <c r="E524" s="8"/>
      <c r="F524" s="8"/>
      <c r="G524" s="8"/>
      <c r="H524" s="8"/>
      <c r="I524" s="8"/>
      <c r="J524" s="8"/>
      <c r="K524" s="8"/>
      <c r="L524" s="8"/>
      <c r="M524" s="8"/>
      <c r="N524" s="8"/>
    </row>
    <row r="525" customFormat="false" ht="15" hidden="false" customHeight="false" outlineLevel="0" collapsed="false">
      <c r="A525" s="4" t="s">
        <v>284</v>
      </c>
      <c r="C525" s="39" t="n">
        <v>0</v>
      </c>
      <c r="D525" s="39" t="n">
        <v>1</v>
      </c>
      <c r="E525" s="39" t="n">
        <v>2</v>
      </c>
      <c r="F525" s="39" t="n">
        <v>3</v>
      </c>
      <c r="G525" s="39" t="n">
        <v>4</v>
      </c>
      <c r="H525" s="39" t="n">
        <v>5</v>
      </c>
      <c r="I525" s="39" t="n">
        <v>6</v>
      </c>
      <c r="J525" s="39" t="n">
        <v>7</v>
      </c>
      <c r="K525" s="39" t="n">
        <v>8</v>
      </c>
      <c r="L525" s="39" t="n">
        <v>9</v>
      </c>
      <c r="M525" s="39" t="n">
        <v>10</v>
      </c>
    </row>
    <row r="526" customFormat="false" ht="15" hidden="false" customHeight="false" outlineLevel="0" collapsed="false">
      <c r="A526" s="9" t="s">
        <v>285</v>
      </c>
      <c r="C526" s="40" t="n">
        <f aca="false">cf_arr</f>
        <v>220</v>
      </c>
      <c r="D526" s="36" t="n">
        <f aca="false">C526*(1+Scenarios!$C$39)</f>
        <v>264</v>
      </c>
      <c r="E526" s="36" t="n">
        <f aca="false">D526*(1+Scenarios!$C$39)</f>
        <v>316.8</v>
      </c>
      <c r="F526" s="36" t="n">
        <f aca="false">E526*(1+Scenarios!$C$39)</f>
        <v>380.16</v>
      </c>
      <c r="G526" s="36" t="n">
        <f aca="false">F526*(1+Scenarios!$C$39)</f>
        <v>456.192</v>
      </c>
      <c r="H526" s="36" t="n">
        <f aca="false">G526*(1+Scenarios!$C$39)</f>
        <v>547.4304</v>
      </c>
      <c r="I526" s="36" t="n">
        <f aca="false">H526*(1+Scenarios!$C$39)</f>
        <v>656.91648</v>
      </c>
      <c r="J526" s="36" t="n">
        <f aca="false">I526*(1+Scenarios!$C$39)</f>
        <v>788.299776</v>
      </c>
      <c r="K526" s="36" t="n">
        <f aca="false">J526*(1+Scenarios!$C$39)</f>
        <v>945.9597312</v>
      </c>
      <c r="L526" s="36" t="n">
        <f aca="false">K526*(1+Scenarios!$C$39)</f>
        <v>1135.15167744</v>
      </c>
      <c r="M526" s="36" t="n">
        <f aca="false">L526*(1+Scenarios!$C$39)</f>
        <v>1362.182012928</v>
      </c>
    </row>
    <row r="527" customFormat="false" ht="15" hidden="false" customHeight="false" outlineLevel="0" collapsed="false">
      <c r="A527" s="9" t="s">
        <v>286</v>
      </c>
      <c r="C527" s="18" t="n">
        <f aca="false">1</f>
        <v>1</v>
      </c>
      <c r="D527" s="18" t="n">
        <f aca="false">IF(D525&gt;=a_churn_year,1-Scenarios!$C$40,1)</f>
        <v>0.55</v>
      </c>
      <c r="E527" s="18" t="n">
        <f aca="false">IF(E525&gt;=a_churn_year,1-Scenarios!$C$40,1)</f>
        <v>0.55</v>
      </c>
      <c r="F527" s="18" t="n">
        <f aca="false">IF(F525&gt;=a_churn_year,1-Scenarios!$C$40,1)</f>
        <v>0.55</v>
      </c>
      <c r="G527" s="18" t="n">
        <f aca="false">IF(G525&gt;=a_churn_year,1-Scenarios!$C$40,1)</f>
        <v>0.55</v>
      </c>
      <c r="H527" s="18" t="n">
        <f aca="false">IF(H525&gt;=a_churn_year,1-Scenarios!$C$40,1)</f>
        <v>0.55</v>
      </c>
      <c r="I527" s="18" t="n">
        <f aca="false">IF(I525&gt;=a_churn_year,1-Scenarios!$C$40,1)</f>
        <v>0.55</v>
      </c>
      <c r="J527" s="18" t="n">
        <f aca="false">IF(J525&gt;=a_churn_year,1-Scenarios!$C$40,1)</f>
        <v>0.55</v>
      </c>
      <c r="K527" s="18" t="n">
        <f aca="false">IF(K525&gt;=a_churn_year,1-Scenarios!$C$40,1)</f>
        <v>0.55</v>
      </c>
      <c r="L527" s="18" t="n">
        <f aca="false">IF(L525&gt;=a_churn_year,1-Scenarios!$C$40,1)</f>
        <v>0.55</v>
      </c>
      <c r="M527" s="18" t="n">
        <f aca="false">IF(M525&gt;=a_churn_year,1-Scenarios!$C$40,1)</f>
        <v>0.55</v>
      </c>
    </row>
    <row r="528" customFormat="false" ht="15" hidden="false" customHeight="false" outlineLevel="0" collapsed="false">
      <c r="A528" s="4" t="s">
        <v>287</v>
      </c>
      <c r="C528" s="41" t="n">
        <f aca="false">C526*C527</f>
        <v>220</v>
      </c>
      <c r="D528" s="41" t="n">
        <f aca="false">D526*D527</f>
        <v>145.2</v>
      </c>
      <c r="E528" s="41" t="n">
        <f aca="false">E526*E527</f>
        <v>174.24</v>
      </c>
      <c r="F528" s="41" t="n">
        <f aca="false">F526*F527</f>
        <v>209.088</v>
      </c>
      <c r="G528" s="41" t="n">
        <f aca="false">G526*G527</f>
        <v>250.9056</v>
      </c>
      <c r="H528" s="41" t="n">
        <f aca="false">H526*H527</f>
        <v>301.08672</v>
      </c>
      <c r="I528" s="41" t="n">
        <f aca="false">I526*I527</f>
        <v>361.304064</v>
      </c>
      <c r="J528" s="41" t="n">
        <f aca="false">J526*J527</f>
        <v>433.5648768</v>
      </c>
      <c r="K528" s="41" t="n">
        <f aca="false">K526*K527</f>
        <v>520.27785216</v>
      </c>
      <c r="L528" s="41" t="n">
        <f aca="false">L526*L527</f>
        <v>624.333422592</v>
      </c>
      <c r="M528" s="41" t="n">
        <f aca="false">M526*M527</f>
        <v>749.2001071104</v>
      </c>
    </row>
    <row r="529" customFormat="false" ht="15" hidden="false" customHeight="false" outlineLevel="0" collapsed="false">
      <c r="A529" s="9" t="s">
        <v>288</v>
      </c>
      <c r="C529" s="18" t="n">
        <f aca="false">MIN(a_m0+a_mstep*C525,a_mcap)</f>
        <v>0</v>
      </c>
      <c r="D529" s="18" t="n">
        <f aca="false">MIN(a_m0+a_mstep*D525,a_mcap)</f>
        <v>0.05</v>
      </c>
      <c r="E529" s="18" t="n">
        <f aca="false">MIN(a_m0+a_mstep*E525,a_mcap)</f>
        <v>0.1</v>
      </c>
      <c r="F529" s="18" t="n">
        <f aca="false">MIN(a_m0+a_mstep*F525,a_mcap)</f>
        <v>0.15</v>
      </c>
      <c r="G529" s="18" t="n">
        <f aca="false">MIN(a_m0+a_mstep*G525,a_mcap)</f>
        <v>0.2</v>
      </c>
      <c r="H529" s="18" t="n">
        <f aca="false">MIN(a_m0+a_mstep*H525,a_mcap)</f>
        <v>0.25</v>
      </c>
      <c r="I529" s="18" t="n">
        <f aca="false">MIN(a_m0+a_mstep*I525,a_mcap)</f>
        <v>0.25</v>
      </c>
      <c r="J529" s="18" t="n">
        <f aca="false">MIN(a_m0+a_mstep*J525,a_mcap)</f>
        <v>0.25</v>
      </c>
      <c r="K529" s="18" t="n">
        <f aca="false">MIN(a_m0+a_mstep*K525,a_mcap)</f>
        <v>0.25</v>
      </c>
      <c r="L529" s="18" t="n">
        <f aca="false">MIN(a_m0+a_mstep*L525,a_mcap)</f>
        <v>0.25</v>
      </c>
      <c r="M529" s="18" t="n">
        <f aca="false">MIN(a_m0+a_mstep*M525,a_mcap)</f>
        <v>0.25</v>
      </c>
    </row>
    <row r="530" customFormat="false" ht="15" hidden="false" customHeight="false" outlineLevel="0" collapsed="false">
      <c r="A530" s="9" t="s">
        <v>289</v>
      </c>
      <c r="C530" s="36" t="n">
        <f aca="false">IF(C525=a_churn_year,a_sticky*(C526-C528)*(1-C529),0)</f>
        <v>0</v>
      </c>
      <c r="D530" s="36" t="n">
        <f aca="false">IF(D525=a_churn_year,a_sticky*(D526-D528)*(1-D529),0)</f>
        <v>56.43</v>
      </c>
      <c r="E530" s="36" t="n">
        <f aca="false">IF(E525=a_churn_year,a_sticky*(E526-E528)*(1-E529),0)</f>
        <v>0</v>
      </c>
      <c r="F530" s="36" t="n">
        <f aca="false">IF(F525=a_churn_year,a_sticky*(F526-F528)*(1-F529),0)</f>
        <v>0</v>
      </c>
      <c r="G530" s="36" t="n">
        <f aca="false">IF(G525=a_churn_year,a_sticky*(G526-G528)*(1-G529),0)</f>
        <v>0</v>
      </c>
      <c r="H530" s="36" t="n">
        <f aca="false">IF(H525=a_churn_year,a_sticky*(H526-H528)*(1-H529),0)</f>
        <v>0</v>
      </c>
      <c r="I530" s="36" t="n">
        <f aca="false">IF(I525=a_churn_year,a_sticky*(I526-I528)*(1-I529),0)</f>
        <v>0</v>
      </c>
      <c r="J530" s="36" t="n">
        <f aca="false">IF(J525=a_churn_year,a_sticky*(J526-J528)*(1-J529),0)</f>
        <v>0</v>
      </c>
      <c r="K530" s="36" t="n">
        <f aca="false">IF(K525=a_churn_year,a_sticky*(K526-K528)*(1-K529),0)</f>
        <v>0</v>
      </c>
      <c r="L530" s="36" t="n">
        <f aca="false">IF(L525=a_churn_year,a_sticky*(L526-L528)*(1-L529),0)</f>
        <v>0</v>
      </c>
      <c r="M530" s="36" t="n">
        <f aca="false">IF(M525=a_churn_year,a_sticky*(M526-M528)*(1-M529),0)</f>
        <v>0</v>
      </c>
    </row>
    <row r="531" customFormat="false" ht="15" hidden="false" customHeight="false" outlineLevel="0" collapsed="false">
      <c r="A531" s="4" t="s">
        <v>290</v>
      </c>
      <c r="C531" s="41" t="n">
        <f aca="false">C528*C529-C530</f>
        <v>0</v>
      </c>
      <c r="D531" s="41" t="n">
        <f aca="false">D528*D529-D530</f>
        <v>-49.17</v>
      </c>
      <c r="E531" s="41" t="n">
        <f aca="false">E528*E529-E530</f>
        <v>17.424</v>
      </c>
      <c r="F531" s="41" t="n">
        <f aca="false">F528*F529-F530</f>
        <v>31.3632</v>
      </c>
      <c r="G531" s="41" t="n">
        <f aca="false">G528*G529-G530</f>
        <v>50.18112</v>
      </c>
      <c r="H531" s="41" t="n">
        <f aca="false">H528*H529-H530</f>
        <v>75.27168</v>
      </c>
      <c r="I531" s="41" t="n">
        <f aca="false">I528*I529-I530</f>
        <v>90.326016</v>
      </c>
      <c r="J531" s="41" t="n">
        <f aca="false">J528*J529-J530</f>
        <v>108.3912192</v>
      </c>
      <c r="K531" s="41" t="n">
        <f aca="false">K528*K529-K530</f>
        <v>130.06946304</v>
      </c>
      <c r="L531" s="41" t="n">
        <f aca="false">L528*L529-L530</f>
        <v>156.083355648</v>
      </c>
      <c r="M531" s="41" t="n">
        <f aca="false">M528*M529-M530</f>
        <v>187.3000267776</v>
      </c>
    </row>
    <row r="532" customFormat="false" ht="15" hidden="false" customHeight="false" outlineLevel="0" collapsed="false">
      <c r="A532" s="9" t="s">
        <v>291</v>
      </c>
      <c r="C532" s="36" t="n">
        <f aca="false">C528*a_da</f>
        <v>6.6</v>
      </c>
      <c r="D532" s="36" t="n">
        <f aca="false">D528*a_da</f>
        <v>4.356</v>
      </c>
      <c r="E532" s="36" t="n">
        <f aca="false">E528*a_da</f>
        <v>5.2272</v>
      </c>
      <c r="F532" s="36" t="n">
        <f aca="false">F528*a_da</f>
        <v>6.27264</v>
      </c>
      <c r="G532" s="36" t="n">
        <f aca="false">G528*a_da</f>
        <v>7.527168</v>
      </c>
      <c r="H532" s="36" t="n">
        <f aca="false">H528*a_da</f>
        <v>9.0326016</v>
      </c>
      <c r="I532" s="36" t="n">
        <f aca="false">I528*a_da</f>
        <v>10.83912192</v>
      </c>
      <c r="J532" s="36" t="n">
        <f aca="false">J528*a_da</f>
        <v>13.006946304</v>
      </c>
      <c r="K532" s="36" t="n">
        <f aca="false">K528*a_da</f>
        <v>15.6083355648</v>
      </c>
      <c r="L532" s="36" t="n">
        <f aca="false">L528*a_da</f>
        <v>18.73000267776</v>
      </c>
      <c r="M532" s="36" t="n">
        <f aca="false">M528*a_da</f>
        <v>22.476003213312</v>
      </c>
    </row>
    <row r="533" customFormat="false" ht="15" hidden="false" customHeight="false" outlineLevel="0" collapsed="false">
      <c r="A533" s="9" t="s">
        <v>292</v>
      </c>
      <c r="C533" s="36" t="n">
        <f aca="false">C531-C532</f>
        <v>-6.6</v>
      </c>
      <c r="D533" s="36" t="n">
        <f aca="false">D531-D532</f>
        <v>-53.526</v>
      </c>
      <c r="E533" s="36" t="n">
        <f aca="false">E531-E532</f>
        <v>12.1968</v>
      </c>
      <c r="F533" s="36" t="n">
        <f aca="false">F531-F532</f>
        <v>25.09056</v>
      </c>
      <c r="G533" s="36" t="n">
        <f aca="false">G531-G532</f>
        <v>42.653952</v>
      </c>
      <c r="H533" s="36" t="n">
        <f aca="false">H531-H532</f>
        <v>66.2390784</v>
      </c>
      <c r="I533" s="36" t="n">
        <f aca="false">I531-I532</f>
        <v>79.48689408</v>
      </c>
      <c r="J533" s="36" t="n">
        <f aca="false">J531-J532</f>
        <v>95.384272896</v>
      </c>
      <c r="K533" s="36" t="n">
        <f aca="false">K531-K532</f>
        <v>114.4611274752</v>
      </c>
      <c r="L533" s="36" t="n">
        <f aca="false">L531-L532</f>
        <v>137.35335297024</v>
      </c>
      <c r="M533" s="36" t="n">
        <f aca="false">M531-M532</f>
        <v>164.824023564288</v>
      </c>
    </row>
    <row r="534" customFormat="false" ht="15" hidden="false" customHeight="false" outlineLevel="0" collapsed="false">
      <c r="A534" s="9" t="s">
        <v>293</v>
      </c>
      <c r="C534" s="36" t="n">
        <f aca="false">MAX(0,C533)*a_tax</f>
        <v>0</v>
      </c>
      <c r="D534" s="36" t="n">
        <f aca="false">MAX(0,D533)*a_tax</f>
        <v>0</v>
      </c>
      <c r="E534" s="36" t="n">
        <f aca="false">MAX(0,E533)*a_tax</f>
        <v>3.0492</v>
      </c>
      <c r="F534" s="36" t="n">
        <f aca="false">MAX(0,F533)*a_tax</f>
        <v>6.27264</v>
      </c>
      <c r="G534" s="36" t="n">
        <f aca="false">MAX(0,G533)*a_tax</f>
        <v>10.663488</v>
      </c>
      <c r="H534" s="36" t="n">
        <f aca="false">MAX(0,H533)*a_tax</f>
        <v>16.5597696</v>
      </c>
      <c r="I534" s="36" t="n">
        <f aca="false">MAX(0,I533)*a_tax</f>
        <v>19.87172352</v>
      </c>
      <c r="J534" s="36" t="n">
        <f aca="false">MAX(0,J533)*a_tax</f>
        <v>23.846068224</v>
      </c>
      <c r="K534" s="36" t="n">
        <f aca="false">MAX(0,K533)*a_tax</f>
        <v>28.6152818688</v>
      </c>
      <c r="L534" s="36" t="n">
        <f aca="false">MAX(0,L533)*a_tax</f>
        <v>34.33833824256</v>
      </c>
      <c r="M534" s="36" t="n">
        <f aca="false">MAX(0,M533)*a_tax</f>
        <v>41.206005891072</v>
      </c>
    </row>
    <row r="535" customFormat="false" ht="15" hidden="false" customHeight="false" outlineLevel="0" collapsed="false">
      <c r="A535" s="4" t="s">
        <v>294</v>
      </c>
      <c r="C535" s="42" t="n">
        <f aca="false">cf_lim_pat</f>
        <v>0</v>
      </c>
      <c r="D535" s="41" t="n">
        <f aca="false">D533-D534</f>
        <v>-53.526</v>
      </c>
      <c r="E535" s="41" t="n">
        <f aca="false">E533-E534</f>
        <v>9.1476</v>
      </c>
      <c r="F535" s="41" t="n">
        <f aca="false">F533-F534</f>
        <v>18.81792</v>
      </c>
      <c r="G535" s="41" t="n">
        <f aca="false">G533-G534</f>
        <v>31.990464</v>
      </c>
      <c r="H535" s="41" t="n">
        <f aca="false">H533-H534</f>
        <v>49.6793088</v>
      </c>
      <c r="I535" s="41" t="n">
        <f aca="false">I533-I534</f>
        <v>59.61517056</v>
      </c>
      <c r="J535" s="41" t="n">
        <f aca="false">J533-J534</f>
        <v>71.538204672</v>
      </c>
      <c r="K535" s="41" t="n">
        <f aca="false">K533-K534</f>
        <v>85.8458456064</v>
      </c>
      <c r="L535" s="41" t="n">
        <f aca="false">L533-L534</f>
        <v>103.01501472768</v>
      </c>
      <c r="M535" s="41" t="n">
        <f aca="false">M533-M534</f>
        <v>123.618017673216</v>
      </c>
    </row>
    <row r="536" customFormat="false" ht="15" hidden="false" customHeight="false" outlineLevel="0" collapsed="false">
      <c r="A536" s="9" t="s">
        <v>295</v>
      </c>
      <c r="C536" s="36" t="n">
        <f aca="false">C528*a_capex</f>
        <v>6.6</v>
      </c>
      <c r="D536" s="36" t="n">
        <f aca="false">D528*a_capex</f>
        <v>4.356</v>
      </c>
      <c r="E536" s="36" t="n">
        <f aca="false">E528*a_capex</f>
        <v>5.2272</v>
      </c>
      <c r="F536" s="36" t="n">
        <f aca="false">F528*a_capex</f>
        <v>6.27264</v>
      </c>
      <c r="G536" s="36" t="n">
        <f aca="false">G528*a_capex</f>
        <v>7.527168</v>
      </c>
      <c r="H536" s="36" t="n">
        <f aca="false">H528*a_capex</f>
        <v>9.0326016</v>
      </c>
      <c r="I536" s="36" t="n">
        <f aca="false">I528*a_capex</f>
        <v>10.83912192</v>
      </c>
      <c r="J536" s="36" t="n">
        <f aca="false">J528*a_capex</f>
        <v>13.006946304</v>
      </c>
      <c r="K536" s="36" t="n">
        <f aca="false">K528*a_capex</f>
        <v>15.6083355648</v>
      </c>
      <c r="L536" s="36" t="n">
        <f aca="false">L528*a_capex</f>
        <v>18.73000267776</v>
      </c>
      <c r="M536" s="36" t="n">
        <f aca="false">M528*a_capex</f>
        <v>22.476003213312</v>
      </c>
    </row>
    <row r="537" customFormat="false" ht="15" hidden="false" customHeight="false" outlineLevel="0" collapsed="false">
      <c r="A537" s="9" t="s">
        <v>296</v>
      </c>
      <c r="C537" s="36" t="n">
        <f aca="false">0</f>
        <v>0</v>
      </c>
      <c r="D537" s="36" t="n">
        <f aca="false">a_wc*(D528-C528)</f>
        <v>-3.74</v>
      </c>
      <c r="E537" s="36" t="n">
        <f aca="false">a_wc*(E528-D528)</f>
        <v>1.452</v>
      </c>
      <c r="F537" s="36" t="n">
        <f aca="false">a_wc*(F528-E528)</f>
        <v>1.7424</v>
      </c>
      <c r="G537" s="36" t="n">
        <f aca="false">a_wc*(G528-F528)</f>
        <v>2.09088</v>
      </c>
      <c r="H537" s="36" t="n">
        <f aca="false">a_wc*(H528-G528)</f>
        <v>2.509056</v>
      </c>
      <c r="I537" s="36" t="n">
        <f aca="false">a_wc*(I528-H528)</f>
        <v>3.0108672</v>
      </c>
      <c r="J537" s="36" t="n">
        <f aca="false">a_wc*(J528-I528)</f>
        <v>3.61304064</v>
      </c>
      <c r="K537" s="36" t="n">
        <f aca="false">a_wc*(K528-J528)</f>
        <v>4.335648768</v>
      </c>
      <c r="L537" s="36" t="n">
        <f aca="false">a_wc*(L528-K528)</f>
        <v>5.2027785216</v>
      </c>
      <c r="M537" s="36" t="n">
        <f aca="false">a_wc*(M528-L528)</f>
        <v>6.24333422592</v>
      </c>
    </row>
    <row r="538" customFormat="false" ht="15" hidden="false" customHeight="false" outlineLevel="0" collapsed="false">
      <c r="A538" s="4" t="s">
        <v>297</v>
      </c>
      <c r="C538" s="36" t="n">
        <f aca="false">0</f>
        <v>0</v>
      </c>
      <c r="D538" s="41" t="n">
        <f aca="false">D535+D532-D536-D537</f>
        <v>-49.786</v>
      </c>
      <c r="E538" s="41" t="n">
        <f aca="false">E535+E532-E536-E537</f>
        <v>7.6956</v>
      </c>
      <c r="F538" s="41" t="n">
        <f aca="false">F535+F532-F536-F537</f>
        <v>17.07552</v>
      </c>
      <c r="G538" s="41" t="n">
        <f aca="false">G535+G532-G536-G537</f>
        <v>29.899584</v>
      </c>
      <c r="H538" s="41" t="n">
        <f aca="false">H535+H532-H536-H537</f>
        <v>47.1702528</v>
      </c>
      <c r="I538" s="41" t="n">
        <f aca="false">I535+I532-I536-I537</f>
        <v>56.60430336</v>
      </c>
      <c r="J538" s="41" t="n">
        <f aca="false">J535+J532-J536-J537</f>
        <v>67.925164032</v>
      </c>
      <c r="K538" s="41" t="n">
        <f aca="false">K535+K532-K536-K537</f>
        <v>81.5101968384</v>
      </c>
      <c r="L538" s="41" t="n">
        <f aca="false">L535+L532-L536-L537</f>
        <v>97.81223620608</v>
      </c>
      <c r="M538" s="41" t="n">
        <f aca="false">M535+M532-M536-M537</f>
        <v>117.374683447296</v>
      </c>
    </row>
    <row r="540" customFormat="false" ht="15" hidden="false" customHeight="false" outlineLevel="0" collapsed="false">
      <c r="A540" s="7" t="s">
        <v>877</v>
      </c>
      <c r="B540" s="8"/>
      <c r="C540" s="8"/>
      <c r="D540" s="8"/>
      <c r="E540" s="8"/>
      <c r="F540" s="8"/>
      <c r="G540" s="8"/>
      <c r="H540" s="8"/>
      <c r="I540" s="8"/>
      <c r="J540" s="8"/>
      <c r="K540" s="8"/>
      <c r="L540" s="8"/>
      <c r="M540" s="8"/>
      <c r="N540" s="8"/>
    </row>
    <row r="541" customFormat="false" ht="15" hidden="false" customHeight="false" outlineLevel="0" collapsed="false">
      <c r="A541" s="9" t="s">
        <v>482</v>
      </c>
      <c r="C541" s="35" t="n">
        <f aca="false">lv_mix_eq/(c_price*(1-a_issue_disc))</f>
        <v>1.024</v>
      </c>
    </row>
    <row r="542" customFormat="false" ht="15" hidden="false" customHeight="false" outlineLevel="0" collapsed="false">
      <c r="A542" s="9" t="s">
        <v>449</v>
      </c>
      <c r="C542" s="35" t="n">
        <f aca="false">cf_shares+C541</f>
        <v>65.024</v>
      </c>
    </row>
    <row r="543" customFormat="false" ht="15" hidden="false" customHeight="false" outlineLevel="0" collapsed="false">
      <c r="A543" s="9" t="s">
        <v>483</v>
      </c>
      <c r="C543" s="36" t="n">
        <f aca="false">lv_mix_cash*a_yield*(1-a_tax)+lv_mix_debt*a_kd*(1-a_tax)</f>
        <v>94.5</v>
      </c>
    </row>
    <row r="544" customFormat="false" ht="15" hidden="false" customHeight="false" outlineLevel="0" collapsed="false">
      <c r="A544" s="9" t="s">
        <v>484</v>
      </c>
      <c r="C544" s="36" t="n">
        <f aca="false">lv_price*a_ppa_share/a_ppa_life*(1-a_tax)</f>
        <v>93.75</v>
      </c>
    </row>
    <row r="545" customFormat="false" ht="15" hidden="false" customHeight="false" outlineLevel="0" collapsed="false">
      <c r="A545" s="9" t="s">
        <v>485</v>
      </c>
      <c r="C545" s="36" t="n">
        <f aca="false">a_ppa_on*C544</f>
        <v>0</v>
      </c>
    </row>
    <row r="546" customFormat="false" ht="15" hidden="false" customHeight="false" outlineLevel="0" collapsed="false">
      <c r="A546" s="9" t="s">
        <v>486</v>
      </c>
      <c r="C546" s="36" t="n">
        <f aca="false">lv_price*a_fees_pct+a_integ_full</f>
        <v>160</v>
      </c>
    </row>
    <row r="547" customFormat="false" ht="15" hidden="false" customHeight="false" outlineLevel="0" collapsed="false">
      <c r="A547" s="9" t="s">
        <v>487</v>
      </c>
      <c r="C547" s="36" t="n">
        <f aca="false">0</f>
        <v>0</v>
      </c>
      <c r="D547" s="36" t="n">
        <f aca="false">a_syn_on*(a_syn_partner_rev_y3+a_syn_xsell_y3)*a_mcap*IF(D525=1,a_syn_ramp1,IF(D525=2,a_syn_ramp2,1))+a_syn_on*IF(D525&gt;=2,a_syn_cost,0)</f>
        <v>0</v>
      </c>
      <c r="E547" s="36" t="n">
        <f aca="false">a_syn_on*(a_syn_partner_rev_y3+a_syn_xsell_y3)*a_mcap*IF(E525=1,a_syn_ramp1,IF(E525=2,a_syn_ramp2,1))+a_syn_on*IF(E525&gt;=2,a_syn_cost,0)</f>
        <v>0</v>
      </c>
      <c r="F547" s="36" t="n">
        <f aca="false">a_syn_on*(a_syn_partner_rev_y3+a_syn_xsell_y3)*a_mcap*IF(F525=1,a_syn_ramp1,IF(F525=2,a_syn_ramp2,1))+a_syn_on*IF(F525&gt;=2,a_syn_cost,0)</f>
        <v>0</v>
      </c>
      <c r="G547" s="36" t="n">
        <f aca="false">a_syn_on*(a_syn_partner_rev_y3+a_syn_xsell_y3)*a_mcap*IF(G525=1,a_syn_ramp1,IF(G525=2,a_syn_ramp2,1))+a_syn_on*IF(G525&gt;=2,a_syn_cost,0)</f>
        <v>0</v>
      </c>
      <c r="H547" s="36" t="n">
        <f aca="false">a_syn_on*(a_syn_partner_rev_y3+a_syn_xsell_y3)*a_mcap*IF(H525=1,a_syn_ramp1,IF(H525=2,a_syn_ramp2,1))+a_syn_on*IF(H525&gt;=2,a_syn_cost,0)</f>
        <v>0</v>
      </c>
      <c r="I547" s="36" t="n">
        <f aca="false">a_syn_on*(a_syn_partner_rev_y3+a_syn_xsell_y3)*a_mcap*IF(I525=1,a_syn_ramp1,IF(I525=2,a_syn_ramp2,1))+a_syn_on*IF(I525&gt;=2,a_syn_cost,0)</f>
        <v>0</v>
      </c>
      <c r="J547" s="36" t="n">
        <f aca="false">a_syn_on*(a_syn_partner_rev_y3+a_syn_xsell_y3)*a_mcap*IF(J525=1,a_syn_ramp1,IF(J525=2,a_syn_ramp2,1))+a_syn_on*IF(J525&gt;=2,a_syn_cost,0)</f>
        <v>0</v>
      </c>
      <c r="K547" s="36" t="n">
        <f aca="false">a_syn_on*(a_syn_partner_rev_y3+a_syn_xsell_y3)*a_mcap*IF(K525=1,a_syn_ramp1,IF(K525=2,a_syn_ramp2,1))+a_syn_on*IF(K525&gt;=2,a_syn_cost,0)</f>
        <v>0</v>
      </c>
      <c r="L547" s="36" t="n">
        <f aca="false">a_syn_on*(a_syn_partner_rev_y3+a_syn_xsell_y3)*a_mcap*IF(L525=1,a_syn_ramp1,IF(L525=2,a_syn_ramp2,1))+a_syn_on*IF(L525&gt;=2,a_syn_cost,0)</f>
        <v>0</v>
      </c>
      <c r="M547" s="36" t="n">
        <f aca="false">a_syn_on*(a_syn_partner_rev_y3+a_syn_xsell_y3)*a_mcap*IF(M525=1,a_syn_ramp1,IF(M525=2,a_syn_ramp2,1))+a_syn_on*IF(M525&gt;=2,a_syn_cost,0)</f>
        <v>0</v>
      </c>
    </row>
    <row r="548" customFormat="false" ht="15" hidden="false" customHeight="false" outlineLevel="0" collapsed="false">
      <c r="A548" s="9" t="s">
        <v>488</v>
      </c>
      <c r="C548" s="36" t="n">
        <f aca="false">0</f>
        <v>0</v>
      </c>
      <c r="D548" s="36" t="n">
        <f aca="false">CHOOSE(Scenarios!$C$42,Scenarios!$C$41,Scenarios!$C$41*D528/cf_arr,Scenarios!$C$41*(1-a_tax))</f>
        <v>750</v>
      </c>
      <c r="E548" s="36" t="n">
        <f aca="false">CHOOSE(Scenarios!$C$42,Scenarios!$C$41,Scenarios!$C$41*E528/cf_arr,Scenarios!$C$41*(1-a_tax))</f>
        <v>750</v>
      </c>
      <c r="F548" s="36" t="n">
        <f aca="false">CHOOSE(Scenarios!$C$42,Scenarios!$C$41,Scenarios!$C$41*F528/cf_arr,Scenarios!$C$41*(1-a_tax))</f>
        <v>750</v>
      </c>
      <c r="G548" s="36" t="n">
        <f aca="false">CHOOSE(Scenarios!$C$42,Scenarios!$C$41,Scenarios!$C$41*G528/cf_arr,Scenarios!$C$41*(1-a_tax))</f>
        <v>750</v>
      </c>
      <c r="H548" s="36" t="n">
        <f aca="false">CHOOSE(Scenarios!$C$42,Scenarios!$C$41,Scenarios!$C$41*H528/cf_arr,Scenarios!$C$41*(1-a_tax))</f>
        <v>750</v>
      </c>
      <c r="I548" s="36" t="n">
        <f aca="false">CHOOSE(Scenarios!$C$42,Scenarios!$C$41,Scenarios!$C$41*I528/cf_arr,Scenarios!$C$41*(1-a_tax))</f>
        <v>750</v>
      </c>
      <c r="J548" s="36" t="n">
        <f aca="false">CHOOSE(Scenarios!$C$42,Scenarios!$C$41,Scenarios!$C$41*J528/cf_arr,Scenarios!$C$41*(1-a_tax))</f>
        <v>750</v>
      </c>
      <c r="K548" s="36" t="n">
        <f aca="false">CHOOSE(Scenarios!$C$42,Scenarios!$C$41,Scenarios!$C$41*K528/cf_arr,Scenarios!$C$41*(1-a_tax))</f>
        <v>750</v>
      </c>
      <c r="L548" s="36" t="n">
        <f aca="false">CHOOSE(Scenarios!$C$42,Scenarios!$C$41,Scenarios!$C$41*L528/cf_arr,Scenarios!$C$41*(1-a_tax))</f>
        <v>750</v>
      </c>
      <c r="M548" s="36" t="n">
        <f aca="false">CHOOSE(Scenarios!$C$42,Scenarios!$C$41,Scenarios!$C$41*M528/cf_arr,Scenarios!$C$41*(1-a_tax))</f>
        <v>750</v>
      </c>
    </row>
    <row r="549" customFormat="false" ht="15" hidden="false" customHeight="false" outlineLevel="0" collapsed="false">
      <c r="A549" s="9" t="s">
        <v>489</v>
      </c>
      <c r="C549" s="36" t="n">
        <f aca="false">0</f>
        <v>0</v>
      </c>
      <c r="D549" s="36" t="n">
        <f aca="false">IF(Scenarios!$C$42=3,Scenarios!$C$41*(1-a_tax),0)</f>
        <v>0</v>
      </c>
      <c r="E549" s="36" t="n">
        <f aca="false">IF(Scenarios!$C$42=3,Scenarios!$C$41*(1-a_tax),0)</f>
        <v>0</v>
      </c>
      <c r="F549" s="36" t="n">
        <f aca="false">IF(Scenarios!$C$42=3,Scenarios!$C$41*(1-a_tax),0)</f>
        <v>0</v>
      </c>
      <c r="G549" s="36" t="n">
        <f aca="false">IF(Scenarios!$C$42=3,Scenarios!$C$41*(1-a_tax),0)</f>
        <v>0</v>
      </c>
      <c r="H549" s="36" t="n">
        <f aca="false">IF(Scenarios!$C$42=3,Scenarios!$C$41*(1-a_tax),0)</f>
        <v>0</v>
      </c>
      <c r="I549" s="36" t="n">
        <f aca="false">IF(Scenarios!$C$42=3,Scenarios!$C$41*(1-a_tax),0)</f>
        <v>0</v>
      </c>
      <c r="J549" s="36" t="n">
        <f aca="false">IF(Scenarios!$C$42=3,Scenarios!$C$41*(1-a_tax),0)</f>
        <v>0</v>
      </c>
      <c r="K549" s="36" t="n">
        <f aca="false">IF(Scenarios!$C$42=3,Scenarios!$C$41*(1-a_tax),0)</f>
        <v>0</v>
      </c>
      <c r="L549" s="36" t="n">
        <f aca="false">IF(Scenarios!$C$42=3,Scenarios!$C$41*(1-a_tax),0)</f>
        <v>0</v>
      </c>
      <c r="M549" s="36" t="n">
        <f aca="false">IF(Scenarios!$C$42=3,Scenarios!$C$41*(1-a_tax),0)</f>
        <v>0</v>
      </c>
    </row>
    <row r="550" customFormat="false" ht="15" hidden="false" customHeight="false" outlineLevel="0" collapsed="false">
      <c r="A550" s="9" t="s">
        <v>490</v>
      </c>
      <c r="C550" s="36" t="n">
        <f aca="false">0</f>
        <v>0</v>
      </c>
      <c r="D550" s="36" t="n">
        <f aca="false">IF(Scenarios!$C$42=3,0,C550+D548)</f>
        <v>750</v>
      </c>
      <c r="E550" s="36" t="n">
        <f aca="false">IF(Scenarios!$C$42=3,0,D550+E548)</f>
        <v>1500</v>
      </c>
      <c r="F550" s="36" t="n">
        <f aca="false">IF(Scenarios!$C$42=3,0,E550+F548)</f>
        <v>2250</v>
      </c>
      <c r="G550" s="36" t="n">
        <f aca="false">IF(Scenarios!$C$42=3,0,F550+G548)</f>
        <v>3000</v>
      </c>
      <c r="H550" s="36" t="n">
        <f aca="false">IF(Scenarios!$C$42=3,0,G550+H548)</f>
        <v>3750</v>
      </c>
      <c r="I550" s="36" t="n">
        <f aca="false">IF(Scenarios!$C$42=3,0,H550+I548)</f>
        <v>4500</v>
      </c>
      <c r="J550" s="36" t="n">
        <f aca="false">IF(Scenarios!$C$42=3,0,I550+J548)</f>
        <v>5250</v>
      </c>
      <c r="K550" s="36" t="n">
        <f aca="false">IF(Scenarios!$C$42=3,0,J550+K548)</f>
        <v>6000</v>
      </c>
      <c r="L550" s="36" t="n">
        <f aca="false">IF(Scenarios!$C$42=3,0,K550+L548)</f>
        <v>6750</v>
      </c>
      <c r="M550" s="36" t="n">
        <f aca="false">IF(Scenarios!$C$42=3,0,L550+M548)</f>
        <v>7500</v>
      </c>
    </row>
    <row r="551" customFormat="false" ht="15" hidden="false" customHeight="false" outlineLevel="0" collapsed="false">
      <c r="A551" s="9" t="s">
        <v>491</v>
      </c>
      <c r="C551" s="36" t="n">
        <f aca="false">0</f>
        <v>0</v>
      </c>
      <c r="D551" s="36" t="n">
        <f aca="false">C550*a_yield*(1-a_tax)</f>
        <v>0</v>
      </c>
      <c r="E551" s="36" t="n">
        <f aca="false">D550*a_yield*(1-a_tax)</f>
        <v>33.75</v>
      </c>
      <c r="F551" s="36" t="n">
        <f aca="false">E550*a_yield*(1-a_tax)</f>
        <v>67.5</v>
      </c>
      <c r="G551" s="36" t="n">
        <f aca="false">F550*a_yield*(1-a_tax)</f>
        <v>101.25</v>
      </c>
      <c r="H551" s="36" t="n">
        <f aca="false">G550*a_yield*(1-a_tax)</f>
        <v>135</v>
      </c>
      <c r="I551" s="36" t="n">
        <f aca="false">H550*a_yield*(1-a_tax)</f>
        <v>168.75</v>
      </c>
      <c r="J551" s="36" t="n">
        <f aca="false">I550*a_yield*(1-a_tax)</f>
        <v>202.5</v>
      </c>
      <c r="K551" s="36" t="n">
        <f aca="false">J550*a_yield*(1-a_tax)</f>
        <v>236.25</v>
      </c>
      <c r="L551" s="36" t="n">
        <f aca="false">K550*a_yield*(1-a_tax)</f>
        <v>270</v>
      </c>
      <c r="M551" s="36" t="n">
        <f aca="false">L550*a_yield*(1-a_tax)</f>
        <v>303.75</v>
      </c>
    </row>
    <row r="552" customFormat="false" ht="15" hidden="false" customHeight="false" outlineLevel="0" collapsed="false">
      <c r="A552" s="9" t="s">
        <v>492</v>
      </c>
      <c r="C552" s="36" t="n">
        <f aca="false">cf_pat</f>
        <v>480</v>
      </c>
      <c r="D552" s="36" t="n">
        <f aca="false">cf_pat*(1+a_pat_growth)^D525</f>
        <v>480</v>
      </c>
      <c r="E552" s="36" t="n">
        <f aca="false">cf_pat*(1+a_pat_growth)^E525</f>
        <v>480</v>
      </c>
      <c r="F552" s="36" t="n">
        <f aca="false">cf_pat*(1+a_pat_growth)^F525</f>
        <v>480</v>
      </c>
      <c r="G552" s="36" t="n">
        <f aca="false">cf_pat*(1+a_pat_growth)^G525</f>
        <v>480</v>
      </c>
      <c r="H552" s="36" t="n">
        <f aca="false">cf_pat*(1+a_pat_growth)^H525</f>
        <v>480</v>
      </c>
      <c r="I552" s="36" t="n">
        <f aca="false">cf_pat*(1+a_pat_growth)^I525</f>
        <v>480</v>
      </c>
      <c r="J552" s="36" t="n">
        <f aca="false">cf_pat*(1+a_pat_growth)^J525</f>
        <v>480</v>
      </c>
      <c r="K552" s="36" t="n">
        <f aca="false">cf_pat*(1+a_pat_growth)^K525</f>
        <v>480</v>
      </c>
      <c r="L552" s="36" t="n">
        <f aca="false">cf_pat*(1+a_pat_growth)^L525</f>
        <v>480</v>
      </c>
      <c r="M552" s="36" t="n">
        <f aca="false">cf_pat*(1+a_pat_growth)^M525</f>
        <v>480</v>
      </c>
    </row>
    <row r="553" customFormat="false" ht="15" hidden="false" customHeight="false" outlineLevel="0" collapsed="false">
      <c r="A553" s="9" t="s">
        <v>493</v>
      </c>
      <c r="C553" s="36" t="n">
        <f aca="false">0</f>
        <v>0</v>
      </c>
      <c r="D553" s="36" t="n">
        <f aca="false">cf_mdr*a_mdr_flow*(1-a_tax)</f>
        <v>69</v>
      </c>
      <c r="E553" s="36" t="n">
        <f aca="false">cf_mdr*a_mdr_flow*(1-a_tax)</f>
        <v>69</v>
      </c>
      <c r="F553" s="36" t="n">
        <f aca="false">cf_mdr*a_mdr_flow*(1-a_tax)</f>
        <v>69</v>
      </c>
      <c r="G553" s="36" t="n">
        <f aca="false">cf_mdr*a_mdr_flow*(1-a_tax)</f>
        <v>69</v>
      </c>
      <c r="H553" s="36" t="n">
        <f aca="false">cf_mdr*a_mdr_flow*(1-a_tax)</f>
        <v>69</v>
      </c>
      <c r="I553" s="36" t="n">
        <f aca="false">cf_mdr*a_mdr_flow*(1-a_tax)</f>
        <v>69</v>
      </c>
      <c r="J553" s="36" t="n">
        <f aca="false">cf_mdr*a_mdr_flow*(1-a_tax)</f>
        <v>69</v>
      </c>
      <c r="K553" s="36" t="n">
        <f aca="false">cf_mdr*a_mdr_flow*(1-a_tax)</f>
        <v>69</v>
      </c>
      <c r="L553" s="36" t="n">
        <f aca="false">cf_mdr*a_mdr_flow*(1-a_tax)</f>
        <v>69</v>
      </c>
      <c r="M553" s="36" t="n">
        <f aca="false">cf_mdr*a_mdr_flow*(1-a_tax)</f>
        <v>69</v>
      </c>
    </row>
    <row r="554" customFormat="false" ht="15" hidden="false" customHeight="false" outlineLevel="0" collapsed="false">
      <c r="A554" s="9" t="s">
        <v>494</v>
      </c>
      <c r="C554" s="50" t="n">
        <f aca="false">cf_eps</f>
        <v>7.5</v>
      </c>
      <c r="D554" s="50" t="n">
        <f aca="false">D552/cf_shares</f>
        <v>7.5</v>
      </c>
      <c r="E554" s="50" t="n">
        <f aca="false">E552/cf_shares</f>
        <v>7.5</v>
      </c>
      <c r="F554" s="50" t="n">
        <f aca="false">F552/cf_shares</f>
        <v>7.5</v>
      </c>
      <c r="G554" s="50" t="n">
        <f aca="false">G552/cf_shares</f>
        <v>7.5</v>
      </c>
      <c r="H554" s="50" t="n">
        <f aca="false">H552/cf_shares</f>
        <v>7.5</v>
      </c>
      <c r="I554" s="50" t="n">
        <f aca="false">I552/cf_shares</f>
        <v>7.5</v>
      </c>
      <c r="J554" s="50" t="n">
        <f aca="false">J552/cf_shares</f>
        <v>7.5</v>
      </c>
      <c r="K554" s="50" t="n">
        <f aca="false">K552/cf_shares</f>
        <v>7.5</v>
      </c>
      <c r="L554" s="50" t="n">
        <f aca="false">L552/cf_shares</f>
        <v>7.5</v>
      </c>
      <c r="M554" s="50" t="n">
        <f aca="false">M552/cf_shares</f>
        <v>7.5</v>
      </c>
    </row>
    <row r="555" customFormat="false" ht="15" hidden="false" customHeight="false" outlineLevel="0" collapsed="false">
      <c r="A555" s="9" t="s">
        <v>495</v>
      </c>
      <c r="C555" s="50" t="n">
        <f aca="false">cf_eps</f>
        <v>7.5</v>
      </c>
      <c r="D555" s="50" t="n">
        <f aca="false">(D552+D553)/cf_shares</f>
        <v>8.578125</v>
      </c>
      <c r="E555" s="50" t="n">
        <f aca="false">(E552+E553)/cf_shares</f>
        <v>8.578125</v>
      </c>
      <c r="F555" s="50" t="n">
        <f aca="false">(F552+F553)/cf_shares</f>
        <v>8.578125</v>
      </c>
      <c r="G555" s="50" t="n">
        <f aca="false">(G552+G553)/cf_shares</f>
        <v>8.578125</v>
      </c>
      <c r="H555" s="50" t="n">
        <f aca="false">(H552+H553)/cf_shares</f>
        <v>8.578125</v>
      </c>
      <c r="I555" s="50" t="n">
        <f aca="false">(I552+I553)/cf_shares</f>
        <v>8.578125</v>
      </c>
      <c r="J555" s="50" t="n">
        <f aca="false">(J552+J553)/cf_shares</f>
        <v>8.578125</v>
      </c>
      <c r="K555" s="50" t="n">
        <f aca="false">(K552+K553)/cf_shares</f>
        <v>8.578125</v>
      </c>
      <c r="L555" s="50" t="n">
        <f aca="false">(L552+L553)/cf_shares</f>
        <v>8.578125</v>
      </c>
      <c r="M555" s="50" t="n">
        <f aca="false">(M552+M553)/cf_shares</f>
        <v>8.578125</v>
      </c>
    </row>
    <row r="556" customFormat="false" ht="15" hidden="false" customHeight="false" outlineLevel="0" collapsed="false">
      <c r="A556" s="4" t="s">
        <v>496</v>
      </c>
      <c r="C556" s="41" t="n">
        <f aca="false">-C543-C545</f>
        <v>-94.5</v>
      </c>
      <c r="D556" s="41" t="n">
        <f aca="false">D535+D547*(1-a_tax)-C543-C545-D549-D551</f>
        <v>-148.026</v>
      </c>
      <c r="E556" s="41" t="n">
        <f aca="false">E535+E547*(1-a_tax)-C543-C545-E549-E551</f>
        <v>-119.1024</v>
      </c>
      <c r="F556" s="41" t="n">
        <f aca="false">F535+F547*(1-a_tax)-C543-C545-F549-F551</f>
        <v>-143.18208</v>
      </c>
      <c r="G556" s="41" t="n">
        <f aca="false">G535+G547*(1-a_tax)-C543-C545-G549-G551</f>
        <v>-163.759536</v>
      </c>
      <c r="H556" s="41" t="n">
        <f aca="false">H535+H547*(1-a_tax)-C543-C545-H549-H551</f>
        <v>-179.8206912</v>
      </c>
      <c r="I556" s="41" t="n">
        <f aca="false">I535+I547*(1-a_tax)-C543-C545-I549-I551</f>
        <v>-203.63482944</v>
      </c>
      <c r="J556" s="41" t="n">
        <f aca="false">J535+J547*(1-a_tax)-C543-C545-J549-J551</f>
        <v>-225.461795328</v>
      </c>
      <c r="K556" s="41" t="n">
        <f aca="false">K535+K547*(1-a_tax)-C543-C545-K549-K551</f>
        <v>-244.9041543936</v>
      </c>
      <c r="L556" s="41" t="n">
        <f aca="false">L535+L547*(1-a_tax)-C543-C545-L549-L551</f>
        <v>-261.48498527232</v>
      </c>
      <c r="M556" s="41" t="n">
        <f aca="false">M535+M547*(1-a_tax)-C543-C545-M549-M551</f>
        <v>-274.631982326784</v>
      </c>
    </row>
    <row r="557" customFormat="false" ht="15" hidden="false" customHeight="false" outlineLevel="0" collapsed="false">
      <c r="A557" s="9" t="s">
        <v>497</v>
      </c>
      <c r="C557" s="36" t="n">
        <f aca="false">C552+C556</f>
        <v>385.5</v>
      </c>
      <c r="D557" s="36" t="n">
        <f aca="false">D552+D556</f>
        <v>331.974</v>
      </c>
      <c r="E557" s="36" t="n">
        <f aca="false">E552+E556</f>
        <v>360.8976</v>
      </c>
      <c r="F557" s="36" t="n">
        <f aca="false">F552+F556</f>
        <v>336.81792</v>
      </c>
      <c r="G557" s="36" t="n">
        <f aca="false">G552+G556</f>
        <v>316.240464</v>
      </c>
      <c r="H557" s="36" t="n">
        <f aca="false">H552+H556</f>
        <v>300.1793088</v>
      </c>
      <c r="I557" s="36" t="n">
        <f aca="false">I552+I556</f>
        <v>276.36517056</v>
      </c>
      <c r="J557" s="36" t="n">
        <f aca="false">J552+J556</f>
        <v>254.538204672</v>
      </c>
      <c r="K557" s="36" t="n">
        <f aca="false">K552+K556</f>
        <v>235.0958456064</v>
      </c>
      <c r="L557" s="36" t="n">
        <f aca="false">L552+L556</f>
        <v>218.51501472768</v>
      </c>
      <c r="M557" s="36" t="n">
        <f aca="false">M552+M556</f>
        <v>205.368017673216</v>
      </c>
    </row>
    <row r="558" customFormat="false" ht="15" hidden="false" customHeight="false" outlineLevel="0" collapsed="false">
      <c r="A558" s="4" t="s">
        <v>498</v>
      </c>
      <c r="C558" s="48" t="n">
        <f aca="false">C557/C542</f>
        <v>5.92858021653543</v>
      </c>
      <c r="D558" s="48" t="n">
        <f aca="false">D557/C542</f>
        <v>5.10540723425197</v>
      </c>
      <c r="E558" s="48" t="n">
        <f aca="false">E557/C542</f>
        <v>5.55022145669291</v>
      </c>
      <c r="F558" s="48" t="n">
        <f aca="false">F557/C542</f>
        <v>5.17990157480315</v>
      </c>
      <c r="G558" s="48" t="n">
        <f aca="false">G557/C542</f>
        <v>4.86344217519685</v>
      </c>
      <c r="H558" s="48" t="n">
        <f aca="false">H557/C542</f>
        <v>4.61643868110236</v>
      </c>
      <c r="I558" s="48" t="n">
        <f aca="false">I557/C542</f>
        <v>4.2502025492126</v>
      </c>
      <c r="J558" s="48" t="n">
        <f aca="false">J557/C542</f>
        <v>3.91452701574803</v>
      </c>
      <c r="K558" s="48" t="n">
        <f aca="false">K557/C542</f>
        <v>3.6155242003937</v>
      </c>
      <c r="L558" s="48" t="n">
        <f aca="false">L557/C542</f>
        <v>3.36052864677165</v>
      </c>
      <c r="M558" s="48" t="n">
        <f aca="false">M557/C542</f>
        <v>3.15834180722835</v>
      </c>
    </row>
    <row r="559" customFormat="false" ht="15" hidden="false" customHeight="false" outlineLevel="0" collapsed="false">
      <c r="A559" s="4" t="s">
        <v>499</v>
      </c>
      <c r="C559" s="14" t="n">
        <f aca="false">C558/cf_eps-1</f>
        <v>-0.209522637795276</v>
      </c>
      <c r="D559" s="14" t="n">
        <f aca="false">D558/cf_eps-1</f>
        <v>-0.319279035433071</v>
      </c>
      <c r="E559" s="14" t="n">
        <f aca="false">E558/cf_eps-1</f>
        <v>-0.259970472440945</v>
      </c>
      <c r="F559" s="14" t="n">
        <f aca="false">F558/cf_eps-1</f>
        <v>-0.309346456692913</v>
      </c>
      <c r="G559" s="14" t="n">
        <f aca="false">G558/cf_eps-1</f>
        <v>-0.351541043307087</v>
      </c>
      <c r="H559" s="14" t="n">
        <f aca="false">H558/cf_eps-1</f>
        <v>-0.384474842519685</v>
      </c>
      <c r="I559" s="14" t="n">
        <f aca="false">I558/cf_eps-1</f>
        <v>-0.433306326771654</v>
      </c>
      <c r="J559" s="14" t="n">
        <f aca="false">J558/cf_eps-1</f>
        <v>-0.478063064566929</v>
      </c>
      <c r="K559" s="14" t="n">
        <f aca="false">K558/cf_eps-1</f>
        <v>-0.517930106614173</v>
      </c>
      <c r="L559" s="14" t="n">
        <f aca="false">L558/cf_eps-1</f>
        <v>-0.55192951376378</v>
      </c>
      <c r="M559" s="14" t="n">
        <f aca="false">M558/cf_eps-1</f>
        <v>-0.578887759036221</v>
      </c>
    </row>
    <row r="560" customFormat="false" ht="15" hidden="false" customHeight="false" outlineLevel="0" collapsed="false">
      <c r="A560" s="9" t="s">
        <v>500</v>
      </c>
      <c r="C560" s="50" t="n">
        <f aca="false">C558</f>
        <v>5.92858021653543</v>
      </c>
      <c r="D560" s="50" t="n">
        <f aca="false">(D557+D553)/C542</f>
        <v>6.16655388779528</v>
      </c>
      <c r="E560" s="50" t="n">
        <f aca="false">(E557+E553)/C542</f>
        <v>6.61136811023622</v>
      </c>
      <c r="F560" s="50" t="n">
        <f aca="false">(F557+F553)/C542</f>
        <v>6.24104822834646</v>
      </c>
      <c r="G560" s="50" t="n">
        <f aca="false">(G557+G553)/C542</f>
        <v>5.92458882874016</v>
      </c>
      <c r="H560" s="50" t="n">
        <f aca="false">(H557+H553)/C542</f>
        <v>5.67758533464567</v>
      </c>
      <c r="I560" s="50" t="n">
        <f aca="false">(I557+I553)/C542</f>
        <v>5.31134920275591</v>
      </c>
      <c r="J560" s="50" t="n">
        <f aca="false">(J557+J553)/C542</f>
        <v>4.97567366929134</v>
      </c>
      <c r="K560" s="50" t="n">
        <f aca="false">(K557+K553)/C542</f>
        <v>4.67667085393701</v>
      </c>
      <c r="L560" s="50" t="n">
        <f aca="false">(L557+L553)/C542</f>
        <v>4.42167530031496</v>
      </c>
      <c r="M560" s="50" t="n">
        <f aca="false">(M557+M553)/C542</f>
        <v>4.21948846077165</v>
      </c>
    </row>
    <row r="561" customFormat="false" ht="15" hidden="false" customHeight="false" outlineLevel="0" collapsed="false">
      <c r="A561" s="9" t="s">
        <v>501</v>
      </c>
      <c r="C561" s="18" t="n">
        <f aca="false">C559</f>
        <v>-0.209522637795276</v>
      </c>
      <c r="D561" s="18" t="n">
        <f aca="false">D560/D555-1</f>
        <v>-0.281130330020223</v>
      </c>
      <c r="E561" s="18" t="n">
        <f aca="false">E560/E555-1</f>
        <v>-0.229275848715632</v>
      </c>
      <c r="F561" s="18" t="n">
        <f aca="false">F560/F555-1</f>
        <v>-0.272446108170905</v>
      </c>
      <c r="G561" s="18" t="n">
        <f aca="false">G560/G555-1</f>
        <v>-0.309337550019362</v>
      </c>
      <c r="H561" s="18" t="n">
        <f aca="false">H560/H555-1</f>
        <v>-0.338132128565897</v>
      </c>
      <c r="I561" s="18" t="n">
        <f aca="false">I560/I555-1</f>
        <v>-0.380826322447399</v>
      </c>
      <c r="J561" s="18" t="n">
        <f aca="false">J560/J555-1</f>
        <v>-0.419957896476055</v>
      </c>
      <c r="K561" s="18" t="n">
        <f aca="false">K560/K555-1</f>
        <v>-0.454814326681296</v>
      </c>
      <c r="L561" s="18" t="n">
        <f aca="false">L560/L555-1</f>
        <v>-0.484540584298438</v>
      </c>
      <c r="M561" s="18" t="n">
        <f aca="false">M560/M555-1</f>
        <v>-0.508110634809862</v>
      </c>
    </row>
    <row r="562" customFormat="false" ht="15" hidden="false" customHeight="false" outlineLevel="0" collapsed="false">
      <c r="A562" s="9" t="s">
        <v>502</v>
      </c>
      <c r="C562" s="50" t="n">
        <f aca="false">(C557+C545)/C542</f>
        <v>5.92858021653543</v>
      </c>
      <c r="D562" s="50" t="n">
        <f aca="false">(D557+C545)/C542</f>
        <v>5.10540723425197</v>
      </c>
      <c r="E562" s="50" t="n">
        <f aca="false">(E557+C545)/C542</f>
        <v>5.55022145669291</v>
      </c>
      <c r="F562" s="50" t="n">
        <f aca="false">(F557+C545)/C542</f>
        <v>5.17990157480315</v>
      </c>
      <c r="G562" s="50" t="n">
        <f aca="false">(G557+C545)/C542</f>
        <v>4.86344217519685</v>
      </c>
      <c r="H562" s="50" t="n">
        <f aca="false">(H557+C545)/C542</f>
        <v>4.61643868110236</v>
      </c>
      <c r="I562" s="50" t="n">
        <f aca="false">(I557+C545)/C542</f>
        <v>4.2502025492126</v>
      </c>
      <c r="J562" s="50" t="n">
        <f aca="false">(J557+C545)/C542</f>
        <v>3.91452701574803</v>
      </c>
      <c r="K562" s="50" t="n">
        <f aca="false">(K557+C545)/C542</f>
        <v>3.6155242003937</v>
      </c>
      <c r="L562" s="50" t="n">
        <f aca="false">(L557+C545)/C542</f>
        <v>3.36052864677165</v>
      </c>
      <c r="M562" s="50" t="n">
        <f aca="false">(M557+C545)/C542</f>
        <v>3.15834180722835</v>
      </c>
    </row>
    <row r="563" customFormat="false" ht="15" hidden="false" customHeight="false" outlineLevel="0" collapsed="false">
      <c r="A563" s="9" t="s">
        <v>503</v>
      </c>
      <c r="C563" s="50" t="n">
        <f aca="false">(C557-C544+C545)/C542</f>
        <v>4.48680487204724</v>
      </c>
      <c r="D563" s="50" t="n">
        <f aca="false">(D557-C544+C545)/C542</f>
        <v>3.66363188976378</v>
      </c>
      <c r="E563" s="50" t="n">
        <f aca="false">(E557-C544+C545)/C542</f>
        <v>4.10844611220472</v>
      </c>
      <c r="F563" s="50" t="n">
        <f aca="false">(F557-C544+C545)/C542</f>
        <v>3.73812623031496</v>
      </c>
      <c r="G563" s="50" t="n">
        <f aca="false">(G557-C544+C545)/C542</f>
        <v>3.42166683070866</v>
      </c>
      <c r="H563" s="50" t="n">
        <f aca="false">(H557-C544+C545)/C542</f>
        <v>3.17466333661417</v>
      </c>
      <c r="I563" s="50" t="n">
        <f aca="false">(I557-C544+C545)/C542</f>
        <v>2.80842720472441</v>
      </c>
      <c r="J563" s="50" t="n">
        <f aca="false">(J557-C544+C545)/C542</f>
        <v>2.47275167125984</v>
      </c>
      <c r="K563" s="50" t="n">
        <f aca="false">(K557-C544+C545)/C542</f>
        <v>2.17374885590551</v>
      </c>
      <c r="L563" s="50" t="n">
        <f aca="false">(L557-C544+C545)/C542</f>
        <v>1.91875330228346</v>
      </c>
      <c r="M563" s="50" t="n">
        <f aca="false">(M557-C544+C545)/C542</f>
        <v>1.71656646274016</v>
      </c>
    </row>
    <row r="564" customFormat="false" ht="15" hidden="false" customHeight="false" outlineLevel="0" collapsed="false">
      <c r="A564" s="9" t="s">
        <v>504</v>
      </c>
      <c r="C564" s="50" t="n">
        <f aca="false">C552/C542</f>
        <v>7.38188976377953</v>
      </c>
      <c r="D564" s="50" t="n">
        <f aca="false">D552/C542</f>
        <v>7.38188976377953</v>
      </c>
      <c r="E564" s="50" t="n">
        <f aca="false">E552/C542</f>
        <v>7.38188976377953</v>
      </c>
      <c r="F564" s="50" t="n">
        <f aca="false">F552/C542</f>
        <v>7.38188976377953</v>
      </c>
      <c r="G564" s="50" t="n">
        <f aca="false">G552/C542</f>
        <v>7.38188976377953</v>
      </c>
      <c r="H564" s="50" t="n">
        <f aca="false">H552/C542</f>
        <v>7.38188976377953</v>
      </c>
      <c r="I564" s="50" t="n">
        <f aca="false">I552/C542</f>
        <v>7.38188976377953</v>
      </c>
      <c r="J564" s="50" t="n">
        <f aca="false">J552/C542</f>
        <v>7.38188976377953</v>
      </c>
      <c r="K564" s="50" t="n">
        <f aca="false">K552/C542</f>
        <v>7.38188976377953</v>
      </c>
      <c r="L564" s="50" t="n">
        <f aca="false">L552/C542</f>
        <v>7.38188976377953</v>
      </c>
      <c r="M564" s="50" t="n">
        <f aca="false">M552/C542</f>
        <v>7.38188976377953</v>
      </c>
    </row>
    <row r="565" customFormat="false" ht="15" hidden="false" customHeight="false" outlineLevel="0" collapsed="false">
      <c r="A565" s="9" t="s">
        <v>505</v>
      </c>
      <c r="D565" s="36" t="n">
        <f aca="false">D538+D547*(1-a_tax)-D548-IF(D525=1,C546,0)</f>
        <v>-959.786</v>
      </c>
      <c r="E565" s="36" t="n">
        <f aca="false">E538+E547*(1-a_tax)-E548-IF(E525=1,C546,0)</f>
        <v>-742.3044</v>
      </c>
      <c r="F565" s="36" t="n">
        <f aca="false">F538+F547*(1-a_tax)-F548-IF(F525=1,C546,0)</f>
        <v>-732.92448</v>
      </c>
      <c r="G565" s="36" t="n">
        <f aca="false">G538+G547*(1-a_tax)-G548-IF(G525=1,C546,0)</f>
        <v>-720.100416</v>
      </c>
      <c r="H565" s="36" t="n">
        <f aca="false">H538+H547*(1-a_tax)-H548-IF(H525=1,C546,0)</f>
        <v>-702.8297472</v>
      </c>
      <c r="I565" s="36" t="n">
        <f aca="false">I538+I547*(1-a_tax)-I548-IF(I525=1,C546,0)</f>
        <v>-693.39569664</v>
      </c>
      <c r="J565" s="36" t="n">
        <f aca="false">J538+J547*(1-a_tax)-J548-IF(J525=1,C546,0)</f>
        <v>-682.074835968</v>
      </c>
      <c r="K565" s="36" t="n">
        <f aca="false">K538+K547*(1-a_tax)-K548-IF(K525=1,C546,0)</f>
        <v>-668.4898031616</v>
      </c>
      <c r="L565" s="36" t="n">
        <f aca="false">L538+L547*(1-a_tax)-L548-IF(L525=1,C546,0)</f>
        <v>-652.18776379392</v>
      </c>
      <c r="M565" s="36" t="n">
        <f aca="false">M538+M547*(1-a_tax)-M548-IF(M525=1,C546,0)</f>
        <v>-632.625316552704</v>
      </c>
    </row>
    <row r="566" customFormat="false" ht="15" hidden="false" customHeight="false" outlineLevel="0" collapsed="false">
      <c r="A566" s="4" t="s">
        <v>506</v>
      </c>
      <c r="D566" s="41" t="n">
        <f aca="false">D565-C543</f>
        <v>-1054.286</v>
      </c>
      <c r="E566" s="41" t="n">
        <f aca="false">E565-C543</f>
        <v>-836.8044</v>
      </c>
      <c r="F566" s="41" t="n">
        <f aca="false">F565-C543</f>
        <v>-827.42448</v>
      </c>
      <c r="G566" s="41" t="n">
        <f aca="false">G565-C543</f>
        <v>-814.600416</v>
      </c>
      <c r="H566" s="41" t="n">
        <f aca="false">H565-C543</f>
        <v>-797.3297472</v>
      </c>
      <c r="I566" s="41" t="n">
        <f aca="false">I565-C543</f>
        <v>-787.89569664</v>
      </c>
      <c r="J566" s="41" t="n">
        <f aca="false">J565-C543</f>
        <v>-776.574835968</v>
      </c>
      <c r="K566" s="41" t="n">
        <f aca="false">K565-C543</f>
        <v>-762.9898031616</v>
      </c>
      <c r="L566" s="41" t="n">
        <f aca="false">L565-C543</f>
        <v>-746.68776379392</v>
      </c>
      <c r="M566" s="41" t="n">
        <f aca="false">M565-C543</f>
        <v>-727.125316552704</v>
      </c>
    </row>
    <row r="567" customFormat="false" ht="15" hidden="false" customHeight="false" outlineLevel="0" collapsed="false">
      <c r="A567" s="9" t="s">
        <v>507</v>
      </c>
      <c r="C567" s="36" t="n">
        <f aca="false">0</f>
        <v>0</v>
      </c>
      <c r="D567" s="36" t="n">
        <f aca="false">D553</f>
        <v>69</v>
      </c>
      <c r="E567" s="36" t="n">
        <f aca="false">E553</f>
        <v>69</v>
      </c>
      <c r="F567" s="36" t="n">
        <f aca="false">F553</f>
        <v>69</v>
      </c>
      <c r="G567" s="36" t="n">
        <f aca="false">G553</f>
        <v>69</v>
      </c>
      <c r="H567" s="36" t="n">
        <f aca="false">H553</f>
        <v>69</v>
      </c>
      <c r="I567" s="36" t="n">
        <f aca="false">I553</f>
        <v>69</v>
      </c>
      <c r="J567" s="36" t="n">
        <f aca="false">J553</f>
        <v>69</v>
      </c>
      <c r="K567" s="36" t="n">
        <f aca="false">K553</f>
        <v>69</v>
      </c>
      <c r="L567" s="36" t="n">
        <f aca="false">L553</f>
        <v>69</v>
      </c>
      <c r="M567" s="36" t="n">
        <f aca="false">M553</f>
        <v>69</v>
      </c>
    </row>
    <row r="568" customFormat="false" ht="15" hidden="false" customHeight="false" outlineLevel="0" collapsed="false">
      <c r="A568" s="9" t="s">
        <v>508</v>
      </c>
      <c r="D568" s="36" t="n">
        <f aca="false">D566+D567</f>
        <v>-985.286</v>
      </c>
      <c r="E568" s="36" t="n">
        <f aca="false">E566+E567</f>
        <v>-767.8044</v>
      </c>
      <c r="F568" s="36" t="n">
        <f aca="false">F566+F567</f>
        <v>-758.42448</v>
      </c>
      <c r="G568" s="36" t="n">
        <f aca="false">G566+G567</f>
        <v>-745.600416</v>
      </c>
      <c r="H568" s="36" t="n">
        <f aca="false">H566+H567</f>
        <v>-728.3297472</v>
      </c>
      <c r="I568" s="36" t="n">
        <f aca="false">I566+I567</f>
        <v>-718.89569664</v>
      </c>
      <c r="J568" s="36" t="n">
        <f aca="false">J566+J567</f>
        <v>-707.574835968</v>
      </c>
      <c r="K568" s="36" t="n">
        <f aca="false">K566+K567</f>
        <v>-693.9898031616</v>
      </c>
      <c r="L568" s="36" t="n">
        <f aca="false">L566+L567</f>
        <v>-677.68776379392</v>
      </c>
      <c r="M568" s="36" t="n">
        <f aca="false">M566+M567</f>
        <v>-658.125316552704</v>
      </c>
    </row>
    <row r="569" customFormat="false" ht="15" hidden="false" customHeight="false" outlineLevel="0" collapsed="false">
      <c r="A569" s="9" t="s">
        <v>509</v>
      </c>
      <c r="D569" s="36" t="n">
        <f aca="false">IF(lv_mdr_in_deal=1,D568,D566)</f>
        <v>-1054.286</v>
      </c>
      <c r="E569" s="36" t="n">
        <f aca="false">IF(lv_mdr_in_deal=1,E568,E566)</f>
        <v>-836.8044</v>
      </c>
      <c r="F569" s="36" t="n">
        <f aca="false">IF(lv_mdr_in_deal=1,F568,F566)</f>
        <v>-827.42448</v>
      </c>
      <c r="G569" s="36" t="n">
        <f aca="false">IF(lv_mdr_in_deal=1,G568,G566)</f>
        <v>-814.600416</v>
      </c>
      <c r="H569" s="36" t="n">
        <f aca="false">IF(lv_mdr_in_deal=1,H568,H566)</f>
        <v>-797.3297472</v>
      </c>
      <c r="I569" s="36" t="n">
        <f aca="false">IF(lv_mdr_in_deal=1,I568,I566)</f>
        <v>-787.89569664</v>
      </c>
      <c r="J569" s="36" t="n">
        <f aca="false">IF(lv_mdr_in_deal=1,J568,J566)</f>
        <v>-776.574835968</v>
      </c>
      <c r="K569" s="36" t="n">
        <f aca="false">IF(lv_mdr_in_deal=1,K568,K566)</f>
        <v>-762.9898031616</v>
      </c>
      <c r="L569" s="36" t="n">
        <f aca="false">IF(lv_mdr_in_deal=1,L568,L566)</f>
        <v>-746.68776379392</v>
      </c>
      <c r="M569" s="36" t="n">
        <f aca="false">IF(lv_mdr_in_deal=1,M568,M566)</f>
        <v>-727.125316552704</v>
      </c>
    </row>
    <row r="570" customFormat="false" ht="15" hidden="false" customHeight="false" outlineLevel="0" collapsed="false">
      <c r="A570" s="9" t="s">
        <v>510</v>
      </c>
      <c r="C570" s="36" t="n">
        <f aca="false">-lv_price</f>
        <v>-4000</v>
      </c>
      <c r="D570" s="36" t="n">
        <f aca="false">C570+D569</f>
        <v>-5054.286</v>
      </c>
      <c r="E570" s="36" t="n">
        <f aca="false">D570+E569</f>
        <v>-5891.0904</v>
      </c>
      <c r="F570" s="36" t="n">
        <f aca="false">E570+F569</f>
        <v>-6718.51488</v>
      </c>
      <c r="G570" s="36" t="n">
        <f aca="false">F570+G569</f>
        <v>-7533.115296</v>
      </c>
      <c r="H570" s="36" t="n">
        <f aca="false">G570+H569</f>
        <v>-8330.4450432</v>
      </c>
      <c r="I570" s="36" t="n">
        <f aca="false">H570+I569</f>
        <v>-9118.34073984</v>
      </c>
      <c r="J570" s="36" t="n">
        <f aca="false">I570+J569</f>
        <v>-9894.915575808</v>
      </c>
      <c r="K570" s="36" t="n">
        <f aca="false">J570+K569</f>
        <v>-10657.9053789696</v>
      </c>
      <c r="L570" s="36" t="n">
        <f aca="false">K570+L569</f>
        <v>-11404.5931427635</v>
      </c>
      <c r="M570" s="36" t="n">
        <f aca="false">L570+M569</f>
        <v>-12131.7184593162</v>
      </c>
    </row>
    <row r="571" customFormat="false" ht="15" hidden="false" customHeight="false" outlineLevel="0" collapsed="false">
      <c r="A571" s="9" t="s">
        <v>511</v>
      </c>
      <c r="C571" s="43" t="n">
        <f aca="false">1</f>
        <v>1</v>
      </c>
      <c r="D571" s="43" t="n">
        <f aca="false">1/(1+Scenarios!$C$43)^D525</f>
        <v>0.884955752212389</v>
      </c>
      <c r="E571" s="43" t="n">
        <f aca="false">1/(1+Scenarios!$C$43)^E525</f>
        <v>0.783146683373796</v>
      </c>
      <c r="F571" s="43" t="n">
        <f aca="false">1/(1+Scenarios!$C$43)^F525</f>
        <v>0.693050162277696</v>
      </c>
      <c r="G571" s="43" t="n">
        <f aca="false">1/(1+Scenarios!$C$43)^G525</f>
        <v>0.613318727679377</v>
      </c>
      <c r="H571" s="43" t="n">
        <f aca="false">1/(1+Scenarios!$C$43)^H525</f>
        <v>0.542759935999449</v>
      </c>
      <c r="I571" s="43" t="n">
        <f aca="false">1/(1+Scenarios!$C$43)^I525</f>
        <v>0.48031852743314</v>
      </c>
      <c r="J571" s="43" t="n">
        <f aca="false">1/(1+Scenarios!$C$43)^J525</f>
        <v>0.425060643746142</v>
      </c>
      <c r="K571" s="43" t="n">
        <f aca="false">1/(1+Scenarios!$C$43)^K525</f>
        <v>0.37615986172225</v>
      </c>
      <c r="L571" s="43" t="n">
        <f aca="false">1/(1+Scenarios!$C$43)^L525</f>
        <v>0.332884833382522</v>
      </c>
      <c r="M571" s="43" t="n">
        <f aca="false">1/(1+Scenarios!$C$43)^M525</f>
        <v>0.294588348126126</v>
      </c>
    </row>
    <row r="572" customFormat="false" ht="15" hidden="false" customHeight="false" outlineLevel="0" collapsed="false">
      <c r="A572" s="9" t="s">
        <v>512</v>
      </c>
      <c r="C572" s="46" t="n">
        <f aca="false">99</f>
        <v>99</v>
      </c>
      <c r="D572" s="46" t="n">
        <f aca="false">IF(D556&gt;=0,D525,99)</f>
        <v>99</v>
      </c>
      <c r="E572" s="46" t="n">
        <f aca="false">IF(E556&gt;=0,E525,99)</f>
        <v>99</v>
      </c>
      <c r="F572" s="46" t="n">
        <f aca="false">IF(F556&gt;=0,F525,99)</f>
        <v>99</v>
      </c>
      <c r="G572" s="46" t="n">
        <f aca="false">IF(G556&gt;=0,G525,99)</f>
        <v>99</v>
      </c>
      <c r="H572" s="46" t="n">
        <f aca="false">IF(H556&gt;=0,H525,99)</f>
        <v>99</v>
      </c>
      <c r="I572" s="46" t="n">
        <f aca="false">IF(I556&gt;=0,I525,99)</f>
        <v>99</v>
      </c>
      <c r="J572" s="46" t="n">
        <f aca="false">IF(J556&gt;=0,J525,99)</f>
        <v>99</v>
      </c>
      <c r="K572" s="46" t="n">
        <f aca="false">IF(K556&gt;=0,K525,99)</f>
        <v>99</v>
      </c>
      <c r="L572" s="46" t="n">
        <f aca="false">IF(L556&gt;=0,L525,99)</f>
        <v>99</v>
      </c>
      <c r="M572" s="46" t="n">
        <f aca="false">IF(M556&gt;=0,M525,99)</f>
        <v>99</v>
      </c>
    </row>
    <row r="573" customFormat="false" ht="15" hidden="false" customHeight="false" outlineLevel="0" collapsed="false">
      <c r="A573" s="9" t="s">
        <v>513</v>
      </c>
      <c r="C573" s="46" t="n">
        <f aca="false">99</f>
        <v>99</v>
      </c>
      <c r="D573" s="46" t="n">
        <f aca="false">IF(D556+D553&gt;=0,D525,99)</f>
        <v>99</v>
      </c>
      <c r="E573" s="46" t="n">
        <f aca="false">IF(E556+E553&gt;=0,E525,99)</f>
        <v>99</v>
      </c>
      <c r="F573" s="46" t="n">
        <f aca="false">IF(F556+F553&gt;=0,F525,99)</f>
        <v>99</v>
      </c>
      <c r="G573" s="46" t="n">
        <f aca="false">IF(G556+G553&gt;=0,G525,99)</f>
        <v>99</v>
      </c>
      <c r="H573" s="46" t="n">
        <f aca="false">IF(H556+H553&gt;=0,H525,99)</f>
        <v>99</v>
      </c>
      <c r="I573" s="46" t="n">
        <f aca="false">IF(I556+I553&gt;=0,I525,99)</f>
        <v>99</v>
      </c>
      <c r="J573" s="46" t="n">
        <f aca="false">IF(J556+J553&gt;=0,J525,99)</f>
        <v>99</v>
      </c>
      <c r="K573" s="46" t="n">
        <f aca="false">IF(K556+K553&gt;=0,K525,99)</f>
        <v>99</v>
      </c>
      <c r="L573" s="46" t="n">
        <f aca="false">IF(L556+L553&gt;=0,L525,99)</f>
        <v>99</v>
      </c>
      <c r="M573" s="46" t="n">
        <f aca="false">IF(M556+M553&gt;=0,M525,99)</f>
        <v>99</v>
      </c>
    </row>
    <row r="574" customFormat="false" ht="15" hidden="false" customHeight="false" outlineLevel="0" collapsed="false">
      <c r="A574" s="9" t="s">
        <v>514</v>
      </c>
      <c r="C574" s="46" t="n">
        <f aca="false">99</f>
        <v>99</v>
      </c>
      <c r="D574" s="46" t="n">
        <f aca="false">IF(D566&gt;=0,D525,99)</f>
        <v>99</v>
      </c>
      <c r="E574" s="46" t="n">
        <f aca="false">IF(E566&gt;=0,E525,99)</f>
        <v>99</v>
      </c>
      <c r="F574" s="46" t="n">
        <f aca="false">IF(F566&gt;=0,F525,99)</f>
        <v>99</v>
      </c>
      <c r="G574" s="46" t="n">
        <f aca="false">IF(G566&gt;=0,G525,99)</f>
        <v>99</v>
      </c>
      <c r="H574" s="46" t="n">
        <f aca="false">IF(H566&gt;=0,H525,99)</f>
        <v>99</v>
      </c>
      <c r="I574" s="46" t="n">
        <f aca="false">IF(I566&gt;=0,I525,99)</f>
        <v>99</v>
      </c>
      <c r="J574" s="46" t="n">
        <f aca="false">IF(J566&gt;=0,J525,99)</f>
        <v>99</v>
      </c>
      <c r="K574" s="46" t="n">
        <f aca="false">IF(K566&gt;=0,K525,99)</f>
        <v>99</v>
      </c>
      <c r="L574" s="46" t="n">
        <f aca="false">IF(L566&gt;=0,L525,99)</f>
        <v>99</v>
      </c>
      <c r="M574" s="46" t="n">
        <f aca="false">IF(M566&gt;=0,M525,99)</f>
        <v>99</v>
      </c>
    </row>
    <row r="575" customFormat="false" ht="15" hidden="false" customHeight="false" outlineLevel="0" collapsed="false">
      <c r="A575" s="9" t="s">
        <v>515</v>
      </c>
      <c r="C575" s="46" t="n">
        <f aca="false">99</f>
        <v>99</v>
      </c>
      <c r="D575" s="46" t="n">
        <f aca="false">IF(D568&gt;=0,D525,99)</f>
        <v>99</v>
      </c>
      <c r="E575" s="46" t="n">
        <f aca="false">IF(E568&gt;=0,E525,99)</f>
        <v>99</v>
      </c>
      <c r="F575" s="46" t="n">
        <f aca="false">IF(F568&gt;=0,F525,99)</f>
        <v>99</v>
      </c>
      <c r="G575" s="46" t="n">
        <f aca="false">IF(G568&gt;=0,G525,99)</f>
        <v>99</v>
      </c>
      <c r="H575" s="46" t="n">
        <f aca="false">IF(H568&gt;=0,H525,99)</f>
        <v>99</v>
      </c>
      <c r="I575" s="46" t="n">
        <f aca="false">IF(I568&gt;=0,I525,99)</f>
        <v>99</v>
      </c>
      <c r="J575" s="46" t="n">
        <f aca="false">IF(J568&gt;=0,J525,99)</f>
        <v>99</v>
      </c>
      <c r="K575" s="46" t="n">
        <f aca="false">IF(K568&gt;=0,K525,99)</f>
        <v>99</v>
      </c>
      <c r="L575" s="46" t="n">
        <f aca="false">IF(L568&gt;=0,L525,99)</f>
        <v>99</v>
      </c>
      <c r="M575" s="46" t="n">
        <f aca="false">IF(M568&gt;=0,M525,99)</f>
        <v>99</v>
      </c>
    </row>
    <row r="576" customFormat="false" ht="15" hidden="false" customHeight="false" outlineLevel="0" collapsed="false">
      <c r="A576" s="9" t="s">
        <v>516</v>
      </c>
      <c r="C576" s="46" t="n">
        <f aca="false">99</f>
        <v>99</v>
      </c>
      <c r="D576" s="46" t="n">
        <f aca="false">IF(D570&gt;=0,D525,99)</f>
        <v>99</v>
      </c>
      <c r="E576" s="46" t="n">
        <f aca="false">IF(E570&gt;=0,E525,99)</f>
        <v>99</v>
      </c>
      <c r="F576" s="46" t="n">
        <f aca="false">IF(F570&gt;=0,F525,99)</f>
        <v>99</v>
      </c>
      <c r="G576" s="46" t="n">
        <f aca="false">IF(G570&gt;=0,G525,99)</f>
        <v>99</v>
      </c>
      <c r="H576" s="46" t="n">
        <f aca="false">IF(H570&gt;=0,H525,99)</f>
        <v>99</v>
      </c>
      <c r="I576" s="46" t="n">
        <f aca="false">IF(I570&gt;=0,I525,99)</f>
        <v>99</v>
      </c>
      <c r="J576" s="46" t="n">
        <f aca="false">IF(J570&gt;=0,J525,99)</f>
        <v>99</v>
      </c>
      <c r="K576" s="46" t="n">
        <f aca="false">IF(K570&gt;=0,K525,99)</f>
        <v>99</v>
      </c>
      <c r="L576" s="46" t="n">
        <f aca="false">IF(L570&gt;=0,L525,99)</f>
        <v>99</v>
      </c>
      <c r="M576" s="46" t="n">
        <f aca="false">IF(M570&gt;=0,M525,99)</f>
        <v>99</v>
      </c>
    </row>
    <row r="577" customFormat="false" ht="15" hidden="false" customHeight="false" outlineLevel="0" collapsed="false">
      <c r="A577" s="4" t="s">
        <v>517</v>
      </c>
      <c r="C577" s="23" t="n">
        <f aca="false">MIN(D572:M572)</f>
        <v>99</v>
      </c>
    </row>
    <row r="578" customFormat="false" ht="15" hidden="false" customHeight="false" outlineLevel="0" collapsed="false">
      <c r="A578" s="9" t="s">
        <v>518</v>
      </c>
      <c r="C578" s="46" t="n">
        <f aca="false">MIN(D573:M573)</f>
        <v>99</v>
      </c>
    </row>
    <row r="579" customFormat="false" ht="15" hidden="false" customHeight="false" outlineLevel="0" collapsed="false">
      <c r="A579" s="4" t="s">
        <v>519</v>
      </c>
      <c r="C579" s="23" t="n">
        <f aca="false">MIN(D574:M574)</f>
        <v>99</v>
      </c>
    </row>
    <row r="580" customFormat="false" ht="15" hidden="false" customHeight="false" outlineLevel="0" collapsed="false">
      <c r="A580" s="9" t="s">
        <v>520</v>
      </c>
      <c r="C580" s="46" t="n">
        <f aca="false">MIN(D575:M575)</f>
        <v>99</v>
      </c>
    </row>
    <row r="581" customFormat="false" ht="15" hidden="false" customHeight="false" outlineLevel="0" collapsed="false">
      <c r="A581" s="9" t="s">
        <v>521</v>
      </c>
      <c r="C581" s="46" t="n">
        <f aca="false">MIN(D576:M576)</f>
        <v>99</v>
      </c>
    </row>
    <row r="582" customFormat="false" ht="15" hidden="false" customHeight="false" outlineLevel="0" collapsed="false">
      <c r="A582" s="4" t="s">
        <v>522</v>
      </c>
      <c r="C582" s="15" t="n">
        <f aca="false">M570</f>
        <v>-12131.7184593162</v>
      </c>
    </row>
    <row r="583" customFormat="false" ht="15" hidden="false" customHeight="false" outlineLevel="0" collapsed="false">
      <c r="A583" s="9" t="s">
        <v>523</v>
      </c>
      <c r="C583" s="36" t="n">
        <f aca="false">SUMPRODUCT(D538:M538,D571:M571)</f>
        <v>171.601364670473</v>
      </c>
    </row>
    <row r="584" customFormat="false" ht="15" hidden="false" customHeight="false" outlineLevel="0" collapsed="false">
      <c r="A584" s="9" t="s">
        <v>524</v>
      </c>
      <c r="C584" s="36" t="n">
        <f aca="false">M538*(1+a_tg)/(Scenarios!$C$43-a_tg)</f>
        <v>1540.54272024576</v>
      </c>
    </row>
    <row r="585" customFormat="false" ht="15" hidden="false" customHeight="false" outlineLevel="0" collapsed="false">
      <c r="A585" s="9" t="s">
        <v>314</v>
      </c>
      <c r="C585" s="36" t="n">
        <f aca="false">C584*M571</f>
        <v>453.825935174926</v>
      </c>
    </row>
    <row r="586" customFormat="false" ht="15" hidden="false" customHeight="false" outlineLevel="0" collapsed="false">
      <c r="A586" s="4" t="s">
        <v>525</v>
      </c>
      <c r="C586" s="15" t="n">
        <f aca="false">C583+C585</f>
        <v>625.427299845399</v>
      </c>
    </row>
    <row r="587" customFormat="false" ht="15" hidden="false" customHeight="false" outlineLevel="0" collapsed="false">
      <c r="A587" s="9" t="s">
        <v>526</v>
      </c>
      <c r="C587" s="32" t="n">
        <f aca="false">SUMPRODUCT(D548:M548,D571:M571)-a_recovery*M550*M571</f>
        <v>4069.68260696466</v>
      </c>
    </row>
    <row r="588" customFormat="false" ht="15" hidden="false" customHeight="false" outlineLevel="0" collapsed="false">
      <c r="A588" s="9" t="s">
        <v>527</v>
      </c>
      <c r="C588" s="36" t="n">
        <f aca="false">SUMPRODUCT(D547:M547,D571:M571)*(1-a_tax)</f>
        <v>0</v>
      </c>
    </row>
    <row r="589" customFormat="false" ht="15" hidden="false" customHeight="false" outlineLevel="0" collapsed="false">
      <c r="A589" s="9" t="s">
        <v>528</v>
      </c>
      <c r="C589" s="36" t="n">
        <f aca="false">C546*D571</f>
        <v>141.592920353982</v>
      </c>
    </row>
    <row r="590" customFormat="false" ht="15" hidden="false" customHeight="false" outlineLevel="0" collapsed="false">
      <c r="A590" s="4" t="s">
        <v>529</v>
      </c>
      <c r="C590" s="20" t="n">
        <f aca="false">C586+C588-C587-C589-lv_price</f>
        <v>-7585.84822747325</v>
      </c>
    </row>
    <row r="591" customFormat="false" ht="15" hidden="false" customHeight="false" outlineLevel="0" collapsed="false">
      <c r="A591" s="9" t="s">
        <v>530</v>
      </c>
      <c r="C591" s="32" t="n">
        <f aca="false">C590+SUMPRODUCT(D567:M567,D571:M571)</f>
        <v>-7211.4374276325</v>
      </c>
    </row>
    <row r="592" customFormat="false" ht="15" hidden="false" customHeight="false" outlineLevel="0" collapsed="false">
      <c r="A592" s="4" t="s">
        <v>531</v>
      </c>
      <c r="C592" s="59" t="n">
        <f aca="false">lv_price/D528</f>
        <v>27.5482093663912</v>
      </c>
    </row>
    <row r="593" customFormat="false" ht="15" hidden="false" customHeight="false" outlineLevel="0" collapsed="false">
      <c r="A593" s="9" t="s">
        <v>532</v>
      </c>
      <c r="C593" s="17" t="n">
        <f aca="false">(lv_price+C587)/D528</f>
        <v>55.576326494247</v>
      </c>
    </row>
    <row r="594" customFormat="false" ht="15" hidden="false" customHeight="false" outlineLevel="0" collapsed="false">
      <c r="A594" s="4" t="s">
        <v>533</v>
      </c>
      <c r="C594" s="15" t="n">
        <f aca="false">(C590+C587)/SUMPRODUCT(D571:M571)</f>
        <v>-647.992600422546</v>
      </c>
    </row>
    <row r="595" customFormat="false" ht="15" hidden="false" customHeight="false" outlineLevel="0" collapsed="false">
      <c r="A595" s="4" t="s">
        <v>534</v>
      </c>
      <c r="C595" s="25" t="n">
        <f aca="false">D558</f>
        <v>5.10540723425197</v>
      </c>
    </row>
    <row r="596" customFormat="false" ht="15" hidden="false" customHeight="false" outlineLevel="0" collapsed="false">
      <c r="A596" s="9" t="s">
        <v>535</v>
      </c>
      <c r="C596" s="50" t="n">
        <f aca="false">F558</f>
        <v>5.17990157480315</v>
      </c>
    </row>
    <row r="597" customFormat="false" ht="15" hidden="false" customHeight="false" outlineLevel="0" collapsed="false">
      <c r="A597" s="4" t="s">
        <v>536</v>
      </c>
      <c r="C597" s="20" t="n">
        <f aca="false">D566</f>
        <v>-1054.286</v>
      </c>
    </row>
    <row r="598" customFormat="false" ht="15" hidden="false" customHeight="false" outlineLevel="0" collapsed="false">
      <c r="A598" s="9" t="s">
        <v>537</v>
      </c>
      <c r="C598" s="32" t="n">
        <f aca="false">cf_cash-lv_mix_cash-C546</f>
        <v>6640</v>
      </c>
    </row>
    <row r="599" customFormat="false" ht="15" hidden="false" customHeight="false" outlineLevel="0" collapsed="false">
      <c r="A599" s="9" t="s">
        <v>538</v>
      </c>
      <c r="C599" s="32" t="n">
        <f aca="false">cf_debt+lv_mix_debt</f>
        <v>350</v>
      </c>
    </row>
    <row r="600" customFormat="false" ht="15" hidden="false" customHeight="false" outlineLevel="0" collapsed="false">
      <c r="A600" s="9" t="s">
        <v>539</v>
      </c>
      <c r="C600" s="34" t="n">
        <f aca="false">C599/cf_ebitda</f>
        <v>0.546875</v>
      </c>
    </row>
    <row r="601" customFormat="false" ht="15" hidden="false" customHeight="false" outlineLevel="0" collapsed="false">
      <c r="A601" s="9" t="s">
        <v>540</v>
      </c>
      <c r="C601" s="32" t="n">
        <f aca="false">C598+SUM(D569:F569)+3*cf_pat</f>
        <v>5361.48512</v>
      </c>
    </row>
    <row r="603" customFormat="false" ht="15" hidden="false" customHeight="false" outlineLevel="0" collapsed="false">
      <c r="A603" s="7" t="s">
        <v>878</v>
      </c>
      <c r="B603" s="8"/>
      <c r="C603" s="8"/>
      <c r="D603" s="8"/>
      <c r="E603" s="8"/>
      <c r="F603" s="8"/>
      <c r="G603" s="8"/>
      <c r="H603" s="8"/>
      <c r="I603" s="8"/>
      <c r="J603" s="8"/>
      <c r="K603" s="8"/>
      <c r="L603" s="8"/>
      <c r="M603" s="8"/>
      <c r="N603" s="8"/>
    </row>
    <row r="604" customFormat="false" ht="15" hidden="false" customHeight="false" outlineLevel="0" collapsed="false">
      <c r="A604" s="4" t="s">
        <v>284</v>
      </c>
      <c r="C604" s="39" t="n">
        <v>0</v>
      </c>
      <c r="D604" s="39" t="n">
        <v>1</v>
      </c>
      <c r="E604" s="39" t="n">
        <v>2</v>
      </c>
      <c r="F604" s="39" t="n">
        <v>3</v>
      </c>
      <c r="G604" s="39" t="n">
        <v>4</v>
      </c>
      <c r="H604" s="39" t="n">
        <v>5</v>
      </c>
      <c r="I604" s="39" t="n">
        <v>6</v>
      </c>
      <c r="J604" s="39" t="n">
        <v>7</v>
      </c>
      <c r="K604" s="39" t="n">
        <v>8</v>
      </c>
      <c r="L604" s="39" t="n">
        <v>9</v>
      </c>
      <c r="M604" s="39" t="n">
        <v>10</v>
      </c>
    </row>
    <row r="605" customFormat="false" ht="15" hidden="false" customHeight="false" outlineLevel="0" collapsed="false">
      <c r="A605" s="9" t="s">
        <v>285</v>
      </c>
      <c r="C605" s="40" t="n">
        <f aca="false">cf_arr</f>
        <v>220</v>
      </c>
      <c r="D605" s="36" t="n">
        <f aca="false">C605*(1+Scenarios!$D$39)</f>
        <v>264</v>
      </c>
      <c r="E605" s="36" t="n">
        <f aca="false">D605*(1+Scenarios!$D$39)</f>
        <v>316.8</v>
      </c>
      <c r="F605" s="36" t="n">
        <f aca="false">E605*(1+Scenarios!$D$39)</f>
        <v>380.16</v>
      </c>
      <c r="G605" s="36" t="n">
        <f aca="false">F605*(1+Scenarios!$D$39)</f>
        <v>456.192</v>
      </c>
      <c r="H605" s="36" t="n">
        <f aca="false">G605*(1+Scenarios!$D$39)</f>
        <v>547.4304</v>
      </c>
      <c r="I605" s="36" t="n">
        <f aca="false">H605*(1+Scenarios!$D$39)</f>
        <v>656.91648</v>
      </c>
      <c r="J605" s="36" t="n">
        <f aca="false">I605*(1+Scenarios!$D$39)</f>
        <v>788.299776</v>
      </c>
      <c r="K605" s="36" t="n">
        <f aca="false">J605*(1+Scenarios!$D$39)</f>
        <v>945.9597312</v>
      </c>
      <c r="L605" s="36" t="n">
        <f aca="false">K605*(1+Scenarios!$D$39)</f>
        <v>1135.15167744</v>
      </c>
      <c r="M605" s="36" t="n">
        <f aca="false">L605*(1+Scenarios!$D$39)</f>
        <v>1362.182012928</v>
      </c>
    </row>
    <row r="606" customFormat="false" ht="15" hidden="false" customHeight="false" outlineLevel="0" collapsed="false">
      <c r="A606" s="9" t="s">
        <v>286</v>
      </c>
      <c r="C606" s="18" t="n">
        <f aca="false">1</f>
        <v>1</v>
      </c>
      <c r="D606" s="18" t="n">
        <f aca="false">IF(D604&gt;=a_churn_year,1-Scenarios!$D$40,1)</f>
        <v>0.625</v>
      </c>
      <c r="E606" s="18" t="n">
        <f aca="false">IF(E604&gt;=a_churn_year,1-Scenarios!$D$40,1)</f>
        <v>0.625</v>
      </c>
      <c r="F606" s="18" t="n">
        <f aca="false">IF(F604&gt;=a_churn_year,1-Scenarios!$D$40,1)</f>
        <v>0.625</v>
      </c>
      <c r="G606" s="18" t="n">
        <f aca="false">IF(G604&gt;=a_churn_year,1-Scenarios!$D$40,1)</f>
        <v>0.625</v>
      </c>
      <c r="H606" s="18" t="n">
        <f aca="false">IF(H604&gt;=a_churn_year,1-Scenarios!$D$40,1)</f>
        <v>0.625</v>
      </c>
      <c r="I606" s="18" t="n">
        <f aca="false">IF(I604&gt;=a_churn_year,1-Scenarios!$D$40,1)</f>
        <v>0.625</v>
      </c>
      <c r="J606" s="18" t="n">
        <f aca="false">IF(J604&gt;=a_churn_year,1-Scenarios!$D$40,1)</f>
        <v>0.625</v>
      </c>
      <c r="K606" s="18" t="n">
        <f aca="false">IF(K604&gt;=a_churn_year,1-Scenarios!$D$40,1)</f>
        <v>0.625</v>
      </c>
      <c r="L606" s="18" t="n">
        <f aca="false">IF(L604&gt;=a_churn_year,1-Scenarios!$D$40,1)</f>
        <v>0.625</v>
      </c>
      <c r="M606" s="18" t="n">
        <f aca="false">IF(M604&gt;=a_churn_year,1-Scenarios!$D$40,1)</f>
        <v>0.625</v>
      </c>
    </row>
    <row r="607" customFormat="false" ht="15" hidden="false" customHeight="false" outlineLevel="0" collapsed="false">
      <c r="A607" s="4" t="s">
        <v>287</v>
      </c>
      <c r="C607" s="41" t="n">
        <f aca="false">C605*C606</f>
        <v>220</v>
      </c>
      <c r="D607" s="41" t="n">
        <f aca="false">D605*D606</f>
        <v>165</v>
      </c>
      <c r="E607" s="41" t="n">
        <f aca="false">E605*E606</f>
        <v>198</v>
      </c>
      <c r="F607" s="41" t="n">
        <f aca="false">F605*F606</f>
        <v>237.6</v>
      </c>
      <c r="G607" s="41" t="n">
        <f aca="false">G605*G606</f>
        <v>285.12</v>
      </c>
      <c r="H607" s="41" t="n">
        <f aca="false">H605*H606</f>
        <v>342.144</v>
      </c>
      <c r="I607" s="41" t="n">
        <f aca="false">I605*I606</f>
        <v>410.5728</v>
      </c>
      <c r="J607" s="41" t="n">
        <f aca="false">J605*J606</f>
        <v>492.68736</v>
      </c>
      <c r="K607" s="41" t="n">
        <f aca="false">K605*K606</f>
        <v>591.224832</v>
      </c>
      <c r="L607" s="41" t="n">
        <f aca="false">L605*L606</f>
        <v>709.4697984</v>
      </c>
      <c r="M607" s="41" t="n">
        <f aca="false">M605*M606</f>
        <v>851.36375808</v>
      </c>
    </row>
    <row r="608" customFormat="false" ht="15" hidden="false" customHeight="false" outlineLevel="0" collapsed="false">
      <c r="A608" s="9" t="s">
        <v>288</v>
      </c>
      <c r="C608" s="18" t="n">
        <f aca="false">MIN(a_m0+a_mstep*C604,a_mcap)</f>
        <v>0</v>
      </c>
      <c r="D608" s="18" t="n">
        <f aca="false">MIN(a_m0+a_mstep*D604,a_mcap)</f>
        <v>0.05</v>
      </c>
      <c r="E608" s="18" t="n">
        <f aca="false">MIN(a_m0+a_mstep*E604,a_mcap)</f>
        <v>0.1</v>
      </c>
      <c r="F608" s="18" t="n">
        <f aca="false">MIN(a_m0+a_mstep*F604,a_mcap)</f>
        <v>0.15</v>
      </c>
      <c r="G608" s="18" t="n">
        <f aca="false">MIN(a_m0+a_mstep*G604,a_mcap)</f>
        <v>0.2</v>
      </c>
      <c r="H608" s="18" t="n">
        <f aca="false">MIN(a_m0+a_mstep*H604,a_mcap)</f>
        <v>0.25</v>
      </c>
      <c r="I608" s="18" t="n">
        <f aca="false">MIN(a_m0+a_mstep*I604,a_mcap)</f>
        <v>0.25</v>
      </c>
      <c r="J608" s="18" t="n">
        <f aca="false">MIN(a_m0+a_mstep*J604,a_mcap)</f>
        <v>0.25</v>
      </c>
      <c r="K608" s="18" t="n">
        <f aca="false">MIN(a_m0+a_mstep*K604,a_mcap)</f>
        <v>0.25</v>
      </c>
      <c r="L608" s="18" t="n">
        <f aca="false">MIN(a_m0+a_mstep*L604,a_mcap)</f>
        <v>0.25</v>
      </c>
      <c r="M608" s="18" t="n">
        <f aca="false">MIN(a_m0+a_mstep*M604,a_mcap)</f>
        <v>0.25</v>
      </c>
    </row>
    <row r="609" customFormat="false" ht="15" hidden="false" customHeight="false" outlineLevel="0" collapsed="false">
      <c r="A609" s="9" t="s">
        <v>289</v>
      </c>
      <c r="C609" s="36" t="n">
        <f aca="false">IF(C604=a_churn_year,a_sticky*(C605-C607)*(1-C608),0)</f>
        <v>0</v>
      </c>
      <c r="D609" s="36" t="n">
        <f aca="false">IF(D604=a_churn_year,a_sticky*(D605-D607)*(1-D608),0)</f>
        <v>47.025</v>
      </c>
      <c r="E609" s="36" t="n">
        <f aca="false">IF(E604=a_churn_year,a_sticky*(E605-E607)*(1-E608),0)</f>
        <v>0</v>
      </c>
      <c r="F609" s="36" t="n">
        <f aca="false">IF(F604=a_churn_year,a_sticky*(F605-F607)*(1-F608),0)</f>
        <v>0</v>
      </c>
      <c r="G609" s="36" t="n">
        <f aca="false">IF(G604=a_churn_year,a_sticky*(G605-G607)*(1-G608),0)</f>
        <v>0</v>
      </c>
      <c r="H609" s="36" t="n">
        <f aca="false">IF(H604=a_churn_year,a_sticky*(H605-H607)*(1-H608),0)</f>
        <v>0</v>
      </c>
      <c r="I609" s="36" t="n">
        <f aca="false">IF(I604=a_churn_year,a_sticky*(I605-I607)*(1-I608),0)</f>
        <v>0</v>
      </c>
      <c r="J609" s="36" t="n">
        <f aca="false">IF(J604=a_churn_year,a_sticky*(J605-J607)*(1-J608),0)</f>
        <v>0</v>
      </c>
      <c r="K609" s="36" t="n">
        <f aca="false">IF(K604=a_churn_year,a_sticky*(K605-K607)*(1-K608),0)</f>
        <v>0</v>
      </c>
      <c r="L609" s="36" t="n">
        <f aca="false">IF(L604=a_churn_year,a_sticky*(L605-L607)*(1-L608),0)</f>
        <v>0</v>
      </c>
      <c r="M609" s="36" t="n">
        <f aca="false">IF(M604=a_churn_year,a_sticky*(M605-M607)*(1-M608),0)</f>
        <v>0</v>
      </c>
    </row>
    <row r="610" customFormat="false" ht="15" hidden="false" customHeight="false" outlineLevel="0" collapsed="false">
      <c r="A610" s="4" t="s">
        <v>290</v>
      </c>
      <c r="C610" s="41" t="n">
        <f aca="false">C607*C608-C609</f>
        <v>0</v>
      </c>
      <c r="D610" s="41" t="n">
        <f aca="false">D607*D608-D609</f>
        <v>-38.775</v>
      </c>
      <c r="E610" s="41" t="n">
        <f aca="false">E607*E608-E609</f>
        <v>19.8</v>
      </c>
      <c r="F610" s="41" t="n">
        <f aca="false">F607*F608-F609</f>
        <v>35.64</v>
      </c>
      <c r="G610" s="41" t="n">
        <f aca="false">G607*G608-G609</f>
        <v>57.024</v>
      </c>
      <c r="H610" s="41" t="n">
        <f aca="false">H607*H608-H609</f>
        <v>85.536</v>
      </c>
      <c r="I610" s="41" t="n">
        <f aca="false">I607*I608-I609</f>
        <v>102.6432</v>
      </c>
      <c r="J610" s="41" t="n">
        <f aca="false">J607*J608-J609</f>
        <v>123.17184</v>
      </c>
      <c r="K610" s="41" t="n">
        <f aca="false">K607*K608-K609</f>
        <v>147.806208</v>
      </c>
      <c r="L610" s="41" t="n">
        <f aca="false">L607*L608-L609</f>
        <v>177.3674496</v>
      </c>
      <c r="M610" s="41" t="n">
        <f aca="false">M607*M608-M609</f>
        <v>212.84093952</v>
      </c>
    </row>
    <row r="611" customFormat="false" ht="15" hidden="false" customHeight="false" outlineLevel="0" collapsed="false">
      <c r="A611" s="9" t="s">
        <v>291</v>
      </c>
      <c r="C611" s="36" t="n">
        <f aca="false">C607*a_da</f>
        <v>6.6</v>
      </c>
      <c r="D611" s="36" t="n">
        <f aca="false">D607*a_da</f>
        <v>4.95</v>
      </c>
      <c r="E611" s="36" t="n">
        <f aca="false">E607*a_da</f>
        <v>5.94</v>
      </c>
      <c r="F611" s="36" t="n">
        <f aca="false">F607*a_da</f>
        <v>7.128</v>
      </c>
      <c r="G611" s="36" t="n">
        <f aca="false">G607*a_da</f>
        <v>8.5536</v>
      </c>
      <c r="H611" s="36" t="n">
        <f aca="false">H607*a_da</f>
        <v>10.26432</v>
      </c>
      <c r="I611" s="36" t="n">
        <f aca="false">I607*a_da</f>
        <v>12.317184</v>
      </c>
      <c r="J611" s="36" t="n">
        <f aca="false">J607*a_da</f>
        <v>14.7806208</v>
      </c>
      <c r="K611" s="36" t="n">
        <f aca="false">K607*a_da</f>
        <v>17.73674496</v>
      </c>
      <c r="L611" s="36" t="n">
        <f aca="false">L607*a_da</f>
        <v>21.284093952</v>
      </c>
      <c r="M611" s="36" t="n">
        <f aca="false">M607*a_da</f>
        <v>25.5409127424</v>
      </c>
    </row>
    <row r="612" customFormat="false" ht="15" hidden="false" customHeight="false" outlineLevel="0" collapsed="false">
      <c r="A612" s="9" t="s">
        <v>292</v>
      </c>
      <c r="C612" s="36" t="n">
        <f aca="false">C610-C611</f>
        <v>-6.6</v>
      </c>
      <c r="D612" s="36" t="n">
        <f aca="false">D610-D611</f>
        <v>-43.725</v>
      </c>
      <c r="E612" s="36" t="n">
        <f aca="false">E610-E611</f>
        <v>13.86</v>
      </c>
      <c r="F612" s="36" t="n">
        <f aca="false">F610-F611</f>
        <v>28.512</v>
      </c>
      <c r="G612" s="36" t="n">
        <f aca="false">G610-G611</f>
        <v>48.4704</v>
      </c>
      <c r="H612" s="36" t="n">
        <f aca="false">H610-H611</f>
        <v>75.27168</v>
      </c>
      <c r="I612" s="36" t="n">
        <f aca="false">I610-I611</f>
        <v>90.326016</v>
      </c>
      <c r="J612" s="36" t="n">
        <f aca="false">J610-J611</f>
        <v>108.3912192</v>
      </c>
      <c r="K612" s="36" t="n">
        <f aca="false">K610-K611</f>
        <v>130.06946304</v>
      </c>
      <c r="L612" s="36" t="n">
        <f aca="false">L610-L611</f>
        <v>156.083355648</v>
      </c>
      <c r="M612" s="36" t="n">
        <f aca="false">M610-M611</f>
        <v>187.3000267776</v>
      </c>
    </row>
    <row r="613" customFormat="false" ht="15" hidden="false" customHeight="false" outlineLevel="0" collapsed="false">
      <c r="A613" s="9" t="s">
        <v>293</v>
      </c>
      <c r="C613" s="36" t="n">
        <f aca="false">MAX(0,C612)*a_tax</f>
        <v>0</v>
      </c>
      <c r="D613" s="36" t="n">
        <f aca="false">MAX(0,D612)*a_tax</f>
        <v>0</v>
      </c>
      <c r="E613" s="36" t="n">
        <f aca="false">MAX(0,E612)*a_tax</f>
        <v>3.465</v>
      </c>
      <c r="F613" s="36" t="n">
        <f aca="false">MAX(0,F612)*a_tax</f>
        <v>7.128</v>
      </c>
      <c r="G613" s="36" t="n">
        <f aca="false">MAX(0,G612)*a_tax</f>
        <v>12.1176</v>
      </c>
      <c r="H613" s="36" t="n">
        <f aca="false">MAX(0,H612)*a_tax</f>
        <v>18.81792</v>
      </c>
      <c r="I613" s="36" t="n">
        <f aca="false">MAX(0,I612)*a_tax</f>
        <v>22.581504</v>
      </c>
      <c r="J613" s="36" t="n">
        <f aca="false">MAX(0,J612)*a_tax</f>
        <v>27.0978048</v>
      </c>
      <c r="K613" s="36" t="n">
        <f aca="false">MAX(0,K612)*a_tax</f>
        <v>32.51736576</v>
      </c>
      <c r="L613" s="36" t="n">
        <f aca="false">MAX(0,L612)*a_tax</f>
        <v>39.020838912</v>
      </c>
      <c r="M613" s="36" t="n">
        <f aca="false">MAX(0,M612)*a_tax</f>
        <v>46.8250066944</v>
      </c>
    </row>
    <row r="614" customFormat="false" ht="15" hidden="false" customHeight="false" outlineLevel="0" collapsed="false">
      <c r="A614" s="4" t="s">
        <v>294</v>
      </c>
      <c r="C614" s="42" t="n">
        <f aca="false">cf_lim_pat</f>
        <v>0</v>
      </c>
      <c r="D614" s="41" t="n">
        <f aca="false">D612-D613</f>
        <v>-43.725</v>
      </c>
      <c r="E614" s="41" t="n">
        <f aca="false">E612-E613</f>
        <v>10.395</v>
      </c>
      <c r="F614" s="41" t="n">
        <f aca="false">F612-F613</f>
        <v>21.384</v>
      </c>
      <c r="G614" s="41" t="n">
        <f aca="false">G612-G613</f>
        <v>36.3528</v>
      </c>
      <c r="H614" s="41" t="n">
        <f aca="false">H612-H613</f>
        <v>56.45376</v>
      </c>
      <c r="I614" s="41" t="n">
        <f aca="false">I612-I613</f>
        <v>67.744512</v>
      </c>
      <c r="J614" s="41" t="n">
        <f aca="false">J612-J613</f>
        <v>81.2934144</v>
      </c>
      <c r="K614" s="41" t="n">
        <f aca="false">K612-K613</f>
        <v>97.55209728</v>
      </c>
      <c r="L614" s="41" t="n">
        <f aca="false">L612-L613</f>
        <v>117.062516736</v>
      </c>
      <c r="M614" s="41" t="n">
        <f aca="false">M612-M613</f>
        <v>140.4750200832</v>
      </c>
    </row>
    <row r="615" customFormat="false" ht="15" hidden="false" customHeight="false" outlineLevel="0" collapsed="false">
      <c r="A615" s="9" t="s">
        <v>295</v>
      </c>
      <c r="C615" s="36" t="n">
        <f aca="false">C607*a_capex</f>
        <v>6.6</v>
      </c>
      <c r="D615" s="36" t="n">
        <f aca="false">D607*a_capex</f>
        <v>4.95</v>
      </c>
      <c r="E615" s="36" t="n">
        <f aca="false">E607*a_capex</f>
        <v>5.94</v>
      </c>
      <c r="F615" s="36" t="n">
        <f aca="false">F607*a_capex</f>
        <v>7.128</v>
      </c>
      <c r="G615" s="36" t="n">
        <f aca="false">G607*a_capex</f>
        <v>8.5536</v>
      </c>
      <c r="H615" s="36" t="n">
        <f aca="false">H607*a_capex</f>
        <v>10.26432</v>
      </c>
      <c r="I615" s="36" t="n">
        <f aca="false">I607*a_capex</f>
        <v>12.317184</v>
      </c>
      <c r="J615" s="36" t="n">
        <f aca="false">J607*a_capex</f>
        <v>14.7806208</v>
      </c>
      <c r="K615" s="36" t="n">
        <f aca="false">K607*a_capex</f>
        <v>17.73674496</v>
      </c>
      <c r="L615" s="36" t="n">
        <f aca="false">L607*a_capex</f>
        <v>21.284093952</v>
      </c>
      <c r="M615" s="36" t="n">
        <f aca="false">M607*a_capex</f>
        <v>25.5409127424</v>
      </c>
    </row>
    <row r="616" customFormat="false" ht="15" hidden="false" customHeight="false" outlineLevel="0" collapsed="false">
      <c r="A616" s="9" t="s">
        <v>296</v>
      </c>
      <c r="C616" s="36" t="n">
        <f aca="false">0</f>
        <v>0</v>
      </c>
      <c r="D616" s="36" t="n">
        <f aca="false">a_wc*(D607-C607)</f>
        <v>-2.75</v>
      </c>
      <c r="E616" s="36" t="n">
        <f aca="false">a_wc*(E607-D607)</f>
        <v>1.65</v>
      </c>
      <c r="F616" s="36" t="n">
        <f aca="false">a_wc*(F607-E607)</f>
        <v>1.98</v>
      </c>
      <c r="G616" s="36" t="n">
        <f aca="false">a_wc*(G607-F607)</f>
        <v>2.376</v>
      </c>
      <c r="H616" s="36" t="n">
        <f aca="false">a_wc*(H607-G607)</f>
        <v>2.8512</v>
      </c>
      <c r="I616" s="36" t="n">
        <f aca="false">a_wc*(I607-H607)</f>
        <v>3.42144</v>
      </c>
      <c r="J616" s="36" t="n">
        <f aca="false">a_wc*(J607-I607)</f>
        <v>4.105728</v>
      </c>
      <c r="K616" s="36" t="n">
        <f aca="false">a_wc*(K607-J607)</f>
        <v>4.9268736</v>
      </c>
      <c r="L616" s="36" t="n">
        <f aca="false">a_wc*(L607-K607)</f>
        <v>5.91224832</v>
      </c>
      <c r="M616" s="36" t="n">
        <f aca="false">a_wc*(M607-L607)</f>
        <v>7.094697984</v>
      </c>
    </row>
    <row r="617" customFormat="false" ht="15" hidden="false" customHeight="false" outlineLevel="0" collapsed="false">
      <c r="A617" s="4" t="s">
        <v>297</v>
      </c>
      <c r="C617" s="36" t="n">
        <f aca="false">0</f>
        <v>0</v>
      </c>
      <c r="D617" s="41" t="n">
        <f aca="false">D614+D611-D615-D616</f>
        <v>-40.975</v>
      </c>
      <c r="E617" s="41" t="n">
        <f aca="false">E614+E611-E615-E616</f>
        <v>8.745</v>
      </c>
      <c r="F617" s="41" t="n">
        <f aca="false">F614+F611-F615-F616</f>
        <v>19.404</v>
      </c>
      <c r="G617" s="41" t="n">
        <f aca="false">G614+G611-G615-G616</f>
        <v>33.9768</v>
      </c>
      <c r="H617" s="41" t="n">
        <f aca="false">H614+H611-H615-H616</f>
        <v>53.60256</v>
      </c>
      <c r="I617" s="41" t="n">
        <f aca="false">I614+I611-I615-I616</f>
        <v>64.323072</v>
      </c>
      <c r="J617" s="41" t="n">
        <f aca="false">J614+J611-J615-J616</f>
        <v>77.1876864</v>
      </c>
      <c r="K617" s="41" t="n">
        <f aca="false">K614+K611-K615-K616</f>
        <v>92.62522368</v>
      </c>
      <c r="L617" s="41" t="n">
        <f aca="false">L614+L611-L615-L616</f>
        <v>111.150268416</v>
      </c>
      <c r="M617" s="41" t="n">
        <f aca="false">M614+M611-M615-M616</f>
        <v>133.3803220992</v>
      </c>
    </row>
    <row r="619" customFormat="false" ht="15" hidden="false" customHeight="false" outlineLevel="0" collapsed="false">
      <c r="A619" s="7" t="s">
        <v>879</v>
      </c>
      <c r="B619" s="8"/>
      <c r="C619" s="8"/>
      <c r="D619" s="8"/>
      <c r="E619" s="8"/>
      <c r="F619" s="8"/>
      <c r="G619" s="8"/>
      <c r="H619" s="8"/>
      <c r="I619" s="8"/>
      <c r="J619" s="8"/>
      <c r="K619" s="8"/>
      <c r="L619" s="8"/>
      <c r="M619" s="8"/>
      <c r="N619" s="8"/>
    </row>
    <row r="620" customFormat="false" ht="15" hidden="false" customHeight="false" outlineLevel="0" collapsed="false">
      <c r="A620" s="9" t="s">
        <v>482</v>
      </c>
      <c r="C620" s="35" t="n">
        <f aca="false">lv_mix_eq/(c_price*(1-a_issue_disc))</f>
        <v>1.024</v>
      </c>
    </row>
    <row r="621" customFormat="false" ht="15" hidden="false" customHeight="false" outlineLevel="0" collapsed="false">
      <c r="A621" s="9" t="s">
        <v>449</v>
      </c>
      <c r="C621" s="35" t="n">
        <f aca="false">cf_shares+C620</f>
        <v>65.024</v>
      </c>
    </row>
    <row r="622" customFormat="false" ht="15" hidden="false" customHeight="false" outlineLevel="0" collapsed="false">
      <c r="A622" s="9" t="s">
        <v>483</v>
      </c>
      <c r="C622" s="36" t="n">
        <f aca="false">lv_mix_cash*a_yield*(1-a_tax)+lv_mix_debt*a_kd*(1-a_tax)</f>
        <v>94.5</v>
      </c>
    </row>
    <row r="623" customFormat="false" ht="15" hidden="false" customHeight="false" outlineLevel="0" collapsed="false">
      <c r="A623" s="9" t="s">
        <v>484</v>
      </c>
      <c r="C623" s="36" t="n">
        <f aca="false">lv_price*a_ppa_share/a_ppa_life*(1-a_tax)</f>
        <v>93.75</v>
      </c>
    </row>
    <row r="624" customFormat="false" ht="15" hidden="false" customHeight="false" outlineLevel="0" collapsed="false">
      <c r="A624" s="9" t="s">
        <v>485</v>
      </c>
      <c r="C624" s="36" t="n">
        <f aca="false">a_ppa_on*C623</f>
        <v>0</v>
      </c>
    </row>
    <row r="625" customFormat="false" ht="15" hidden="false" customHeight="false" outlineLevel="0" collapsed="false">
      <c r="A625" s="9" t="s">
        <v>486</v>
      </c>
      <c r="C625" s="36" t="n">
        <f aca="false">lv_price*a_fees_pct+a_integ_full</f>
        <v>160</v>
      </c>
    </row>
    <row r="626" customFormat="false" ht="15" hidden="false" customHeight="false" outlineLevel="0" collapsed="false">
      <c r="A626" s="9" t="s">
        <v>487</v>
      </c>
      <c r="C626" s="36" t="n">
        <f aca="false">0</f>
        <v>0</v>
      </c>
      <c r="D626" s="36" t="n">
        <f aca="false">a_syn_on*(a_syn_partner_rev_y3+a_syn_xsell_y3)*a_mcap*IF(D604=1,a_syn_ramp1,IF(D604=2,a_syn_ramp2,1))+a_syn_on*IF(D604&gt;=2,a_syn_cost,0)</f>
        <v>0</v>
      </c>
      <c r="E626" s="36" t="n">
        <f aca="false">a_syn_on*(a_syn_partner_rev_y3+a_syn_xsell_y3)*a_mcap*IF(E604=1,a_syn_ramp1,IF(E604=2,a_syn_ramp2,1))+a_syn_on*IF(E604&gt;=2,a_syn_cost,0)</f>
        <v>0</v>
      </c>
      <c r="F626" s="36" t="n">
        <f aca="false">a_syn_on*(a_syn_partner_rev_y3+a_syn_xsell_y3)*a_mcap*IF(F604=1,a_syn_ramp1,IF(F604=2,a_syn_ramp2,1))+a_syn_on*IF(F604&gt;=2,a_syn_cost,0)</f>
        <v>0</v>
      </c>
      <c r="G626" s="36" t="n">
        <f aca="false">a_syn_on*(a_syn_partner_rev_y3+a_syn_xsell_y3)*a_mcap*IF(G604=1,a_syn_ramp1,IF(G604=2,a_syn_ramp2,1))+a_syn_on*IF(G604&gt;=2,a_syn_cost,0)</f>
        <v>0</v>
      </c>
      <c r="H626" s="36" t="n">
        <f aca="false">a_syn_on*(a_syn_partner_rev_y3+a_syn_xsell_y3)*a_mcap*IF(H604=1,a_syn_ramp1,IF(H604=2,a_syn_ramp2,1))+a_syn_on*IF(H604&gt;=2,a_syn_cost,0)</f>
        <v>0</v>
      </c>
      <c r="I626" s="36" t="n">
        <f aca="false">a_syn_on*(a_syn_partner_rev_y3+a_syn_xsell_y3)*a_mcap*IF(I604=1,a_syn_ramp1,IF(I604=2,a_syn_ramp2,1))+a_syn_on*IF(I604&gt;=2,a_syn_cost,0)</f>
        <v>0</v>
      </c>
      <c r="J626" s="36" t="n">
        <f aca="false">a_syn_on*(a_syn_partner_rev_y3+a_syn_xsell_y3)*a_mcap*IF(J604=1,a_syn_ramp1,IF(J604=2,a_syn_ramp2,1))+a_syn_on*IF(J604&gt;=2,a_syn_cost,0)</f>
        <v>0</v>
      </c>
      <c r="K626" s="36" t="n">
        <f aca="false">a_syn_on*(a_syn_partner_rev_y3+a_syn_xsell_y3)*a_mcap*IF(K604=1,a_syn_ramp1,IF(K604=2,a_syn_ramp2,1))+a_syn_on*IF(K604&gt;=2,a_syn_cost,0)</f>
        <v>0</v>
      </c>
      <c r="L626" s="36" t="n">
        <f aca="false">a_syn_on*(a_syn_partner_rev_y3+a_syn_xsell_y3)*a_mcap*IF(L604=1,a_syn_ramp1,IF(L604=2,a_syn_ramp2,1))+a_syn_on*IF(L604&gt;=2,a_syn_cost,0)</f>
        <v>0</v>
      </c>
      <c r="M626" s="36" t="n">
        <f aca="false">a_syn_on*(a_syn_partner_rev_y3+a_syn_xsell_y3)*a_mcap*IF(M604=1,a_syn_ramp1,IF(M604=2,a_syn_ramp2,1))+a_syn_on*IF(M604&gt;=2,a_syn_cost,0)</f>
        <v>0</v>
      </c>
    </row>
    <row r="627" customFormat="false" ht="15" hidden="false" customHeight="false" outlineLevel="0" collapsed="false">
      <c r="A627" s="9" t="s">
        <v>488</v>
      </c>
      <c r="C627" s="36" t="n">
        <f aca="false">0</f>
        <v>0</v>
      </c>
      <c r="D627" s="36" t="n">
        <f aca="false">CHOOSE(Scenarios!$D$42,Scenarios!$D$41,Scenarios!$D$41*D607/cf_arr,Scenarios!$D$41*(1-a_tax))</f>
        <v>1250</v>
      </c>
      <c r="E627" s="36" t="n">
        <f aca="false">CHOOSE(Scenarios!$D$42,Scenarios!$D$41,Scenarios!$D$41*E607/cf_arr,Scenarios!$D$41*(1-a_tax))</f>
        <v>1250</v>
      </c>
      <c r="F627" s="36" t="n">
        <f aca="false">CHOOSE(Scenarios!$D$42,Scenarios!$D$41,Scenarios!$D$41*F607/cf_arr,Scenarios!$D$41*(1-a_tax))</f>
        <v>1250</v>
      </c>
      <c r="G627" s="36" t="n">
        <f aca="false">CHOOSE(Scenarios!$D$42,Scenarios!$D$41,Scenarios!$D$41*G607/cf_arr,Scenarios!$D$41*(1-a_tax))</f>
        <v>1250</v>
      </c>
      <c r="H627" s="36" t="n">
        <f aca="false">CHOOSE(Scenarios!$D$42,Scenarios!$D$41,Scenarios!$D$41*H607/cf_arr,Scenarios!$D$41*(1-a_tax))</f>
        <v>1250</v>
      </c>
      <c r="I627" s="36" t="n">
        <f aca="false">CHOOSE(Scenarios!$D$42,Scenarios!$D$41,Scenarios!$D$41*I607/cf_arr,Scenarios!$D$41*(1-a_tax))</f>
        <v>1250</v>
      </c>
      <c r="J627" s="36" t="n">
        <f aca="false">CHOOSE(Scenarios!$D$42,Scenarios!$D$41,Scenarios!$D$41*J607/cf_arr,Scenarios!$D$41*(1-a_tax))</f>
        <v>1250</v>
      </c>
      <c r="K627" s="36" t="n">
        <f aca="false">CHOOSE(Scenarios!$D$42,Scenarios!$D$41,Scenarios!$D$41*K607/cf_arr,Scenarios!$D$41*(1-a_tax))</f>
        <v>1250</v>
      </c>
      <c r="L627" s="36" t="n">
        <f aca="false">CHOOSE(Scenarios!$D$42,Scenarios!$D$41,Scenarios!$D$41*L607/cf_arr,Scenarios!$D$41*(1-a_tax))</f>
        <v>1250</v>
      </c>
      <c r="M627" s="36" t="n">
        <f aca="false">CHOOSE(Scenarios!$D$42,Scenarios!$D$41,Scenarios!$D$41*M607/cf_arr,Scenarios!$D$41*(1-a_tax))</f>
        <v>1250</v>
      </c>
    </row>
    <row r="628" customFormat="false" ht="15" hidden="false" customHeight="false" outlineLevel="0" collapsed="false">
      <c r="A628" s="9" t="s">
        <v>489</v>
      </c>
      <c r="C628" s="36" t="n">
        <f aca="false">0</f>
        <v>0</v>
      </c>
      <c r="D628" s="36" t="n">
        <f aca="false">IF(Scenarios!$D$42=3,Scenarios!$D$41*(1-a_tax),0)</f>
        <v>0</v>
      </c>
      <c r="E628" s="36" t="n">
        <f aca="false">IF(Scenarios!$D$42=3,Scenarios!$D$41*(1-a_tax),0)</f>
        <v>0</v>
      </c>
      <c r="F628" s="36" t="n">
        <f aca="false">IF(Scenarios!$D$42=3,Scenarios!$D$41*(1-a_tax),0)</f>
        <v>0</v>
      </c>
      <c r="G628" s="36" t="n">
        <f aca="false">IF(Scenarios!$D$42=3,Scenarios!$D$41*(1-a_tax),0)</f>
        <v>0</v>
      </c>
      <c r="H628" s="36" t="n">
        <f aca="false">IF(Scenarios!$D$42=3,Scenarios!$D$41*(1-a_tax),0)</f>
        <v>0</v>
      </c>
      <c r="I628" s="36" t="n">
        <f aca="false">IF(Scenarios!$D$42=3,Scenarios!$D$41*(1-a_tax),0)</f>
        <v>0</v>
      </c>
      <c r="J628" s="36" t="n">
        <f aca="false">IF(Scenarios!$D$42=3,Scenarios!$D$41*(1-a_tax),0)</f>
        <v>0</v>
      </c>
      <c r="K628" s="36" t="n">
        <f aca="false">IF(Scenarios!$D$42=3,Scenarios!$D$41*(1-a_tax),0)</f>
        <v>0</v>
      </c>
      <c r="L628" s="36" t="n">
        <f aca="false">IF(Scenarios!$D$42=3,Scenarios!$D$41*(1-a_tax),0)</f>
        <v>0</v>
      </c>
      <c r="M628" s="36" t="n">
        <f aca="false">IF(Scenarios!$D$42=3,Scenarios!$D$41*(1-a_tax),0)</f>
        <v>0</v>
      </c>
    </row>
    <row r="629" customFormat="false" ht="15" hidden="false" customHeight="false" outlineLevel="0" collapsed="false">
      <c r="A629" s="9" t="s">
        <v>490</v>
      </c>
      <c r="C629" s="36" t="n">
        <f aca="false">0</f>
        <v>0</v>
      </c>
      <c r="D629" s="36" t="n">
        <f aca="false">IF(Scenarios!$D$42=3,0,C629+D627)</f>
        <v>1250</v>
      </c>
      <c r="E629" s="36" t="n">
        <f aca="false">IF(Scenarios!$D$42=3,0,D629+E627)</f>
        <v>2500</v>
      </c>
      <c r="F629" s="36" t="n">
        <f aca="false">IF(Scenarios!$D$42=3,0,E629+F627)</f>
        <v>3750</v>
      </c>
      <c r="G629" s="36" t="n">
        <f aca="false">IF(Scenarios!$D$42=3,0,F629+G627)</f>
        <v>5000</v>
      </c>
      <c r="H629" s="36" t="n">
        <f aca="false">IF(Scenarios!$D$42=3,0,G629+H627)</f>
        <v>6250</v>
      </c>
      <c r="I629" s="36" t="n">
        <f aca="false">IF(Scenarios!$D$42=3,0,H629+I627)</f>
        <v>7500</v>
      </c>
      <c r="J629" s="36" t="n">
        <f aca="false">IF(Scenarios!$D$42=3,0,I629+J627)</f>
        <v>8750</v>
      </c>
      <c r="K629" s="36" t="n">
        <f aca="false">IF(Scenarios!$D$42=3,0,J629+K627)</f>
        <v>10000</v>
      </c>
      <c r="L629" s="36" t="n">
        <f aca="false">IF(Scenarios!$D$42=3,0,K629+L627)</f>
        <v>11250</v>
      </c>
      <c r="M629" s="36" t="n">
        <f aca="false">IF(Scenarios!$D$42=3,0,L629+M627)</f>
        <v>12500</v>
      </c>
    </row>
    <row r="630" customFormat="false" ht="15" hidden="false" customHeight="false" outlineLevel="0" collapsed="false">
      <c r="A630" s="9" t="s">
        <v>491</v>
      </c>
      <c r="C630" s="36" t="n">
        <f aca="false">0</f>
        <v>0</v>
      </c>
      <c r="D630" s="36" t="n">
        <f aca="false">C629*a_yield*(1-a_tax)</f>
        <v>0</v>
      </c>
      <c r="E630" s="36" t="n">
        <f aca="false">D629*a_yield*(1-a_tax)</f>
        <v>56.25</v>
      </c>
      <c r="F630" s="36" t="n">
        <f aca="false">E629*a_yield*(1-a_tax)</f>
        <v>112.5</v>
      </c>
      <c r="G630" s="36" t="n">
        <f aca="false">F629*a_yield*(1-a_tax)</f>
        <v>168.75</v>
      </c>
      <c r="H630" s="36" t="n">
        <f aca="false">G629*a_yield*(1-a_tax)</f>
        <v>225</v>
      </c>
      <c r="I630" s="36" t="n">
        <f aca="false">H629*a_yield*(1-a_tax)</f>
        <v>281.25</v>
      </c>
      <c r="J630" s="36" t="n">
        <f aca="false">I629*a_yield*(1-a_tax)</f>
        <v>337.5</v>
      </c>
      <c r="K630" s="36" t="n">
        <f aca="false">J629*a_yield*(1-a_tax)</f>
        <v>393.75</v>
      </c>
      <c r="L630" s="36" t="n">
        <f aca="false">K629*a_yield*(1-a_tax)</f>
        <v>450</v>
      </c>
      <c r="M630" s="36" t="n">
        <f aca="false">L629*a_yield*(1-a_tax)</f>
        <v>506.25</v>
      </c>
    </row>
    <row r="631" customFormat="false" ht="15" hidden="false" customHeight="false" outlineLevel="0" collapsed="false">
      <c r="A631" s="9" t="s">
        <v>492</v>
      </c>
      <c r="C631" s="36" t="n">
        <f aca="false">cf_pat</f>
        <v>480</v>
      </c>
      <c r="D631" s="36" t="n">
        <f aca="false">cf_pat*(1+a_pat_growth)^D604</f>
        <v>480</v>
      </c>
      <c r="E631" s="36" t="n">
        <f aca="false">cf_pat*(1+a_pat_growth)^E604</f>
        <v>480</v>
      </c>
      <c r="F631" s="36" t="n">
        <f aca="false">cf_pat*(1+a_pat_growth)^F604</f>
        <v>480</v>
      </c>
      <c r="G631" s="36" t="n">
        <f aca="false">cf_pat*(1+a_pat_growth)^G604</f>
        <v>480</v>
      </c>
      <c r="H631" s="36" t="n">
        <f aca="false">cf_pat*(1+a_pat_growth)^H604</f>
        <v>480</v>
      </c>
      <c r="I631" s="36" t="n">
        <f aca="false">cf_pat*(1+a_pat_growth)^I604</f>
        <v>480</v>
      </c>
      <c r="J631" s="36" t="n">
        <f aca="false">cf_pat*(1+a_pat_growth)^J604</f>
        <v>480</v>
      </c>
      <c r="K631" s="36" t="n">
        <f aca="false">cf_pat*(1+a_pat_growth)^K604</f>
        <v>480</v>
      </c>
      <c r="L631" s="36" t="n">
        <f aca="false">cf_pat*(1+a_pat_growth)^L604</f>
        <v>480</v>
      </c>
      <c r="M631" s="36" t="n">
        <f aca="false">cf_pat*(1+a_pat_growth)^M604</f>
        <v>480</v>
      </c>
    </row>
    <row r="632" customFormat="false" ht="15" hidden="false" customHeight="false" outlineLevel="0" collapsed="false">
      <c r="A632" s="9" t="s">
        <v>493</v>
      </c>
      <c r="C632" s="36" t="n">
        <f aca="false">0</f>
        <v>0</v>
      </c>
      <c r="D632" s="36" t="n">
        <f aca="false">cf_mdr*a_mdr_flow*(1-a_tax)</f>
        <v>69</v>
      </c>
      <c r="E632" s="36" t="n">
        <f aca="false">cf_mdr*a_mdr_flow*(1-a_tax)</f>
        <v>69</v>
      </c>
      <c r="F632" s="36" t="n">
        <f aca="false">cf_mdr*a_mdr_flow*(1-a_tax)</f>
        <v>69</v>
      </c>
      <c r="G632" s="36" t="n">
        <f aca="false">cf_mdr*a_mdr_flow*(1-a_tax)</f>
        <v>69</v>
      </c>
      <c r="H632" s="36" t="n">
        <f aca="false">cf_mdr*a_mdr_flow*(1-a_tax)</f>
        <v>69</v>
      </c>
      <c r="I632" s="36" t="n">
        <f aca="false">cf_mdr*a_mdr_flow*(1-a_tax)</f>
        <v>69</v>
      </c>
      <c r="J632" s="36" t="n">
        <f aca="false">cf_mdr*a_mdr_flow*(1-a_tax)</f>
        <v>69</v>
      </c>
      <c r="K632" s="36" t="n">
        <f aca="false">cf_mdr*a_mdr_flow*(1-a_tax)</f>
        <v>69</v>
      </c>
      <c r="L632" s="36" t="n">
        <f aca="false">cf_mdr*a_mdr_flow*(1-a_tax)</f>
        <v>69</v>
      </c>
      <c r="M632" s="36" t="n">
        <f aca="false">cf_mdr*a_mdr_flow*(1-a_tax)</f>
        <v>69</v>
      </c>
    </row>
    <row r="633" customFormat="false" ht="15" hidden="false" customHeight="false" outlineLevel="0" collapsed="false">
      <c r="A633" s="9" t="s">
        <v>494</v>
      </c>
      <c r="C633" s="50" t="n">
        <f aca="false">cf_eps</f>
        <v>7.5</v>
      </c>
      <c r="D633" s="50" t="n">
        <f aca="false">D631/cf_shares</f>
        <v>7.5</v>
      </c>
      <c r="E633" s="50" t="n">
        <f aca="false">E631/cf_shares</f>
        <v>7.5</v>
      </c>
      <c r="F633" s="50" t="n">
        <f aca="false">F631/cf_shares</f>
        <v>7.5</v>
      </c>
      <c r="G633" s="50" t="n">
        <f aca="false">G631/cf_shares</f>
        <v>7.5</v>
      </c>
      <c r="H633" s="50" t="n">
        <f aca="false">H631/cf_shares</f>
        <v>7.5</v>
      </c>
      <c r="I633" s="50" t="n">
        <f aca="false">I631/cf_shares</f>
        <v>7.5</v>
      </c>
      <c r="J633" s="50" t="n">
        <f aca="false">J631/cf_shares</f>
        <v>7.5</v>
      </c>
      <c r="K633" s="50" t="n">
        <f aca="false">K631/cf_shares</f>
        <v>7.5</v>
      </c>
      <c r="L633" s="50" t="n">
        <f aca="false">L631/cf_shares</f>
        <v>7.5</v>
      </c>
      <c r="M633" s="50" t="n">
        <f aca="false">M631/cf_shares</f>
        <v>7.5</v>
      </c>
    </row>
    <row r="634" customFormat="false" ht="15" hidden="false" customHeight="false" outlineLevel="0" collapsed="false">
      <c r="A634" s="9" t="s">
        <v>495</v>
      </c>
      <c r="C634" s="50" t="n">
        <f aca="false">cf_eps</f>
        <v>7.5</v>
      </c>
      <c r="D634" s="50" t="n">
        <f aca="false">(D631+D632)/cf_shares</f>
        <v>8.578125</v>
      </c>
      <c r="E634" s="50" t="n">
        <f aca="false">(E631+E632)/cf_shares</f>
        <v>8.578125</v>
      </c>
      <c r="F634" s="50" t="n">
        <f aca="false">(F631+F632)/cf_shares</f>
        <v>8.578125</v>
      </c>
      <c r="G634" s="50" t="n">
        <f aca="false">(G631+G632)/cf_shares</f>
        <v>8.578125</v>
      </c>
      <c r="H634" s="50" t="n">
        <f aca="false">(H631+H632)/cf_shares</f>
        <v>8.578125</v>
      </c>
      <c r="I634" s="50" t="n">
        <f aca="false">(I631+I632)/cf_shares</f>
        <v>8.578125</v>
      </c>
      <c r="J634" s="50" t="n">
        <f aca="false">(J631+J632)/cf_shares</f>
        <v>8.578125</v>
      </c>
      <c r="K634" s="50" t="n">
        <f aca="false">(K631+K632)/cf_shares</f>
        <v>8.578125</v>
      </c>
      <c r="L634" s="50" t="n">
        <f aca="false">(L631+L632)/cf_shares</f>
        <v>8.578125</v>
      </c>
      <c r="M634" s="50" t="n">
        <f aca="false">(M631+M632)/cf_shares</f>
        <v>8.578125</v>
      </c>
    </row>
    <row r="635" customFormat="false" ht="15" hidden="false" customHeight="false" outlineLevel="0" collapsed="false">
      <c r="A635" s="4" t="s">
        <v>496</v>
      </c>
      <c r="C635" s="41" t="n">
        <f aca="false">-C622-C624</f>
        <v>-94.5</v>
      </c>
      <c r="D635" s="41" t="n">
        <f aca="false">D614+D626*(1-a_tax)-C622-C624-D628-D630</f>
        <v>-138.225</v>
      </c>
      <c r="E635" s="41" t="n">
        <f aca="false">E614+E626*(1-a_tax)-C622-C624-E628-E630</f>
        <v>-140.355</v>
      </c>
      <c r="F635" s="41" t="n">
        <f aca="false">F614+F626*(1-a_tax)-C622-C624-F628-F630</f>
        <v>-185.616</v>
      </c>
      <c r="G635" s="41" t="n">
        <f aca="false">G614+G626*(1-a_tax)-C622-C624-G628-G630</f>
        <v>-226.8972</v>
      </c>
      <c r="H635" s="41" t="n">
        <f aca="false">H614+H626*(1-a_tax)-C622-C624-H628-H630</f>
        <v>-263.04624</v>
      </c>
      <c r="I635" s="41" t="n">
        <f aca="false">I614+I626*(1-a_tax)-C622-C624-I628-I630</f>
        <v>-308.005488</v>
      </c>
      <c r="J635" s="41" t="n">
        <f aca="false">J614+J626*(1-a_tax)-C622-C624-J628-J630</f>
        <v>-350.7065856</v>
      </c>
      <c r="K635" s="41" t="n">
        <f aca="false">K614+K626*(1-a_tax)-C622-C624-K628-K630</f>
        <v>-390.69790272</v>
      </c>
      <c r="L635" s="41" t="n">
        <f aca="false">L614+L626*(1-a_tax)-C622-C624-L628-L630</f>
        <v>-427.437483264</v>
      </c>
      <c r="M635" s="41" t="n">
        <f aca="false">M614+M626*(1-a_tax)-C622-C624-M628-M630</f>
        <v>-460.2749799168</v>
      </c>
    </row>
    <row r="636" customFormat="false" ht="15" hidden="false" customHeight="false" outlineLevel="0" collapsed="false">
      <c r="A636" s="9" t="s">
        <v>497</v>
      </c>
      <c r="C636" s="36" t="n">
        <f aca="false">C631+C635</f>
        <v>385.5</v>
      </c>
      <c r="D636" s="36" t="n">
        <f aca="false">D631+D635</f>
        <v>341.775</v>
      </c>
      <c r="E636" s="36" t="n">
        <f aca="false">E631+E635</f>
        <v>339.645</v>
      </c>
      <c r="F636" s="36" t="n">
        <f aca="false">F631+F635</f>
        <v>294.384</v>
      </c>
      <c r="G636" s="36" t="n">
        <f aca="false">G631+G635</f>
        <v>253.1028</v>
      </c>
      <c r="H636" s="36" t="n">
        <f aca="false">H631+H635</f>
        <v>216.95376</v>
      </c>
      <c r="I636" s="36" t="n">
        <f aca="false">I631+I635</f>
        <v>171.994512</v>
      </c>
      <c r="J636" s="36" t="n">
        <f aca="false">J631+J635</f>
        <v>129.2934144</v>
      </c>
      <c r="K636" s="36" t="n">
        <f aca="false">K631+K635</f>
        <v>89.30209728</v>
      </c>
      <c r="L636" s="36" t="n">
        <f aca="false">L631+L635</f>
        <v>52.562516736</v>
      </c>
      <c r="M636" s="36" t="n">
        <f aca="false">M631+M635</f>
        <v>19.7250200832</v>
      </c>
    </row>
    <row r="637" customFormat="false" ht="15" hidden="false" customHeight="false" outlineLevel="0" collapsed="false">
      <c r="A637" s="4" t="s">
        <v>498</v>
      </c>
      <c r="C637" s="48" t="n">
        <f aca="false">C636/C621</f>
        <v>5.92858021653543</v>
      </c>
      <c r="D637" s="48" t="n">
        <f aca="false">D636/C621</f>
        <v>5.25613619586614</v>
      </c>
      <c r="E637" s="48" t="n">
        <f aca="false">E636/C621</f>
        <v>5.22337906003937</v>
      </c>
      <c r="F637" s="48" t="n">
        <f aca="false">F636/C621</f>
        <v>4.52731299212598</v>
      </c>
      <c r="G637" s="48" t="n">
        <f aca="false">G636/C621</f>
        <v>3.89245201771654</v>
      </c>
      <c r="H637" s="48" t="n">
        <f aca="false">H636/C621</f>
        <v>3.33651820866142</v>
      </c>
      <c r="I637" s="48" t="n">
        <f aca="false">I636/C621</f>
        <v>2.64509276574803</v>
      </c>
      <c r="J637" s="48" t="n">
        <f aca="false">J636/C621</f>
        <v>1.98839527559055</v>
      </c>
      <c r="K637" s="48" t="n">
        <f aca="false">K636/C621</f>
        <v>1.37337132874016</v>
      </c>
      <c r="L637" s="48" t="n">
        <f aca="false">L636/C621</f>
        <v>0.808355633858267</v>
      </c>
      <c r="M637" s="48" t="n">
        <f aca="false">M636/C621</f>
        <v>0.303349841338582</v>
      </c>
    </row>
    <row r="638" customFormat="false" ht="15" hidden="false" customHeight="false" outlineLevel="0" collapsed="false">
      <c r="A638" s="4" t="s">
        <v>499</v>
      </c>
      <c r="C638" s="14" t="n">
        <f aca="false">C637/cf_eps-1</f>
        <v>-0.209522637795276</v>
      </c>
      <c r="D638" s="14" t="n">
        <f aca="false">D637/cf_eps-1</f>
        <v>-0.299181840551181</v>
      </c>
      <c r="E638" s="14" t="n">
        <f aca="false">E637/cf_eps-1</f>
        <v>-0.303549458661417</v>
      </c>
      <c r="F638" s="14" t="n">
        <f aca="false">F637/cf_eps-1</f>
        <v>-0.396358267716536</v>
      </c>
      <c r="G638" s="14" t="n">
        <f aca="false">G637/cf_eps-1</f>
        <v>-0.481006397637795</v>
      </c>
      <c r="H638" s="14" t="n">
        <f aca="false">H637/cf_eps-1</f>
        <v>-0.555130905511811</v>
      </c>
      <c r="I638" s="14" t="n">
        <f aca="false">I637/cf_eps-1</f>
        <v>-0.647320964566929</v>
      </c>
      <c r="J638" s="14" t="n">
        <f aca="false">J637/cf_eps-1</f>
        <v>-0.73488062992126</v>
      </c>
      <c r="K638" s="14" t="n">
        <f aca="false">K637/cf_eps-1</f>
        <v>-0.816883822834646</v>
      </c>
      <c r="L638" s="14" t="n">
        <f aca="false">L637/cf_eps-1</f>
        <v>-0.892219248818898</v>
      </c>
      <c r="M638" s="14" t="n">
        <f aca="false">M637/cf_eps-1</f>
        <v>-0.959553354488189</v>
      </c>
    </row>
    <row r="639" customFormat="false" ht="15" hidden="false" customHeight="false" outlineLevel="0" collapsed="false">
      <c r="A639" s="9" t="s">
        <v>500</v>
      </c>
      <c r="C639" s="50" t="n">
        <f aca="false">C637</f>
        <v>5.92858021653543</v>
      </c>
      <c r="D639" s="50" t="n">
        <f aca="false">(D636+D632)/C621</f>
        <v>6.31728284940945</v>
      </c>
      <c r="E639" s="50" t="n">
        <f aca="false">(E636+E632)/C621</f>
        <v>6.28452571358268</v>
      </c>
      <c r="F639" s="50" t="n">
        <f aca="false">(F636+F632)/C621</f>
        <v>5.58845964566929</v>
      </c>
      <c r="G639" s="50" t="n">
        <f aca="false">(G636+G632)/C621</f>
        <v>4.95359867125984</v>
      </c>
      <c r="H639" s="50" t="n">
        <f aca="false">(H636+H632)/C621</f>
        <v>4.39766486220472</v>
      </c>
      <c r="I639" s="50" t="n">
        <f aca="false">(I636+I632)/C621</f>
        <v>3.70623941929134</v>
      </c>
      <c r="J639" s="50" t="n">
        <f aca="false">(J636+J632)/C621</f>
        <v>3.04954192913386</v>
      </c>
      <c r="K639" s="50" t="n">
        <f aca="false">(K636+K632)/C621</f>
        <v>2.43451798228346</v>
      </c>
      <c r="L639" s="50" t="n">
        <f aca="false">(L636+L632)/C621</f>
        <v>1.86950228740157</v>
      </c>
      <c r="M639" s="50" t="n">
        <f aca="false">(M636+M632)/C621</f>
        <v>1.36449649488189</v>
      </c>
    </row>
    <row r="640" customFormat="false" ht="15" hidden="false" customHeight="false" outlineLevel="0" collapsed="false">
      <c r="A640" s="9" t="s">
        <v>501</v>
      </c>
      <c r="C640" s="18" t="n">
        <f aca="false">C638</f>
        <v>-0.209522637795276</v>
      </c>
      <c r="D640" s="18" t="n">
        <f aca="false">D639/D634-1</f>
        <v>-0.263559012090702</v>
      </c>
      <c r="E640" s="18" t="n">
        <f aca="false">E639/E634-1</f>
        <v>-0.267377694591455</v>
      </c>
      <c r="F640" s="18" t="n">
        <f aca="false">F639/F634-1</f>
        <v>-0.348522008519427</v>
      </c>
      <c r="G640" s="18" t="n">
        <f aca="false">G639/G634-1</f>
        <v>-0.422531302439654</v>
      </c>
      <c r="H640" s="18" t="n">
        <f aca="false">H639/H634-1</f>
        <v>-0.487339615334968</v>
      </c>
      <c r="I640" s="18" t="n">
        <f aca="false">I639/I634-1</f>
        <v>-0.567942945656383</v>
      </c>
      <c r="J640" s="18" t="n">
        <f aca="false">J639/J634-1</f>
        <v>-0.644497844326836</v>
      </c>
      <c r="K640" s="18" t="n">
        <f aca="false">K639/K634-1</f>
        <v>-0.716194625016135</v>
      </c>
      <c r="L640" s="18" t="n">
        <f aca="false">L639/L634-1</f>
        <v>-0.78206166412805</v>
      </c>
      <c r="M640" s="18" t="n">
        <f aca="false">M639/M634-1</f>
        <v>-0.840933013347102</v>
      </c>
    </row>
    <row r="641" customFormat="false" ht="15" hidden="false" customHeight="false" outlineLevel="0" collapsed="false">
      <c r="A641" s="9" t="s">
        <v>502</v>
      </c>
      <c r="C641" s="50" t="n">
        <f aca="false">(C636+C624)/C621</f>
        <v>5.92858021653543</v>
      </c>
      <c r="D641" s="50" t="n">
        <f aca="false">(D636+C624)/C621</f>
        <v>5.25613619586614</v>
      </c>
      <c r="E641" s="50" t="n">
        <f aca="false">(E636+C624)/C621</f>
        <v>5.22337906003937</v>
      </c>
      <c r="F641" s="50" t="n">
        <f aca="false">(F636+C624)/C621</f>
        <v>4.52731299212598</v>
      </c>
      <c r="G641" s="50" t="n">
        <f aca="false">(G636+C624)/C621</f>
        <v>3.89245201771654</v>
      </c>
      <c r="H641" s="50" t="n">
        <f aca="false">(H636+C624)/C621</f>
        <v>3.33651820866142</v>
      </c>
      <c r="I641" s="50" t="n">
        <f aca="false">(I636+C624)/C621</f>
        <v>2.64509276574803</v>
      </c>
      <c r="J641" s="50" t="n">
        <f aca="false">(J636+C624)/C621</f>
        <v>1.98839527559055</v>
      </c>
      <c r="K641" s="50" t="n">
        <f aca="false">(K636+C624)/C621</f>
        <v>1.37337132874016</v>
      </c>
      <c r="L641" s="50" t="n">
        <f aca="false">(L636+C624)/C621</f>
        <v>0.808355633858267</v>
      </c>
      <c r="M641" s="50" t="n">
        <f aca="false">(M636+C624)/C621</f>
        <v>0.303349841338582</v>
      </c>
    </row>
    <row r="642" customFormat="false" ht="15" hidden="false" customHeight="false" outlineLevel="0" collapsed="false">
      <c r="A642" s="9" t="s">
        <v>503</v>
      </c>
      <c r="C642" s="50" t="n">
        <f aca="false">(C636-C623+C624)/C621</f>
        <v>4.48680487204724</v>
      </c>
      <c r="D642" s="50" t="n">
        <f aca="false">(D636-C623+C624)/C621</f>
        <v>3.81436085137795</v>
      </c>
      <c r="E642" s="50" t="n">
        <f aca="false">(E636-C623+C624)/C621</f>
        <v>3.78160371555118</v>
      </c>
      <c r="F642" s="50" t="n">
        <f aca="false">(F636-C623+C624)/C621</f>
        <v>3.0855376476378</v>
      </c>
      <c r="G642" s="50" t="n">
        <f aca="false">(G636-C623+C624)/C621</f>
        <v>2.45067667322835</v>
      </c>
      <c r="H642" s="50" t="n">
        <f aca="false">(H636-C623+C624)/C621</f>
        <v>1.89474286417323</v>
      </c>
      <c r="I642" s="50" t="n">
        <f aca="false">(I636-C623+C624)/C621</f>
        <v>1.20331742125984</v>
      </c>
      <c r="J642" s="50" t="n">
        <f aca="false">(J636-C623+C624)/C621</f>
        <v>0.546619931102362</v>
      </c>
      <c r="K642" s="50" t="n">
        <f aca="false">(K636-C623+C624)/C621</f>
        <v>-0.0684040157480315</v>
      </c>
      <c r="L642" s="50" t="n">
        <f aca="false">(L636-C623+C624)/C621</f>
        <v>-0.633419710629922</v>
      </c>
      <c r="M642" s="50" t="n">
        <f aca="false">(M636-C623+C624)/C621</f>
        <v>-1.13842550314961</v>
      </c>
    </row>
    <row r="643" customFormat="false" ht="15" hidden="false" customHeight="false" outlineLevel="0" collapsed="false">
      <c r="A643" s="9" t="s">
        <v>504</v>
      </c>
      <c r="C643" s="50" t="n">
        <f aca="false">C631/C621</f>
        <v>7.38188976377953</v>
      </c>
      <c r="D643" s="50" t="n">
        <f aca="false">D631/C621</f>
        <v>7.38188976377953</v>
      </c>
      <c r="E643" s="50" t="n">
        <f aca="false">E631/C621</f>
        <v>7.38188976377953</v>
      </c>
      <c r="F643" s="50" t="n">
        <f aca="false">F631/C621</f>
        <v>7.38188976377953</v>
      </c>
      <c r="G643" s="50" t="n">
        <f aca="false">G631/C621</f>
        <v>7.38188976377953</v>
      </c>
      <c r="H643" s="50" t="n">
        <f aca="false">H631/C621</f>
        <v>7.38188976377953</v>
      </c>
      <c r="I643" s="50" t="n">
        <f aca="false">I631/C621</f>
        <v>7.38188976377953</v>
      </c>
      <c r="J643" s="50" t="n">
        <f aca="false">J631/C621</f>
        <v>7.38188976377953</v>
      </c>
      <c r="K643" s="50" t="n">
        <f aca="false">K631/C621</f>
        <v>7.38188976377953</v>
      </c>
      <c r="L643" s="50" t="n">
        <f aca="false">L631/C621</f>
        <v>7.38188976377953</v>
      </c>
      <c r="M643" s="50" t="n">
        <f aca="false">M631/C621</f>
        <v>7.38188976377953</v>
      </c>
    </row>
    <row r="644" customFormat="false" ht="15" hidden="false" customHeight="false" outlineLevel="0" collapsed="false">
      <c r="A644" s="9" t="s">
        <v>505</v>
      </c>
      <c r="D644" s="36" t="n">
        <f aca="false">D617+D626*(1-a_tax)-D627-IF(D604=1,C625,0)</f>
        <v>-1450.975</v>
      </c>
      <c r="E644" s="36" t="n">
        <f aca="false">E617+E626*(1-a_tax)-E627-IF(E604=1,C625,0)</f>
        <v>-1241.255</v>
      </c>
      <c r="F644" s="36" t="n">
        <f aca="false">F617+F626*(1-a_tax)-F627-IF(F604=1,C625,0)</f>
        <v>-1230.596</v>
      </c>
      <c r="G644" s="36" t="n">
        <f aca="false">G617+G626*(1-a_tax)-G627-IF(G604=1,C625,0)</f>
        <v>-1216.0232</v>
      </c>
      <c r="H644" s="36" t="n">
        <f aca="false">H617+H626*(1-a_tax)-H627-IF(H604=1,C625,0)</f>
        <v>-1196.39744</v>
      </c>
      <c r="I644" s="36" t="n">
        <f aca="false">I617+I626*(1-a_tax)-I627-IF(I604=1,C625,0)</f>
        <v>-1185.676928</v>
      </c>
      <c r="J644" s="36" t="n">
        <f aca="false">J617+J626*(1-a_tax)-J627-IF(J604=1,C625,0)</f>
        <v>-1172.8123136</v>
      </c>
      <c r="K644" s="36" t="n">
        <f aca="false">K617+K626*(1-a_tax)-K627-IF(K604=1,C625,0)</f>
        <v>-1157.37477632</v>
      </c>
      <c r="L644" s="36" t="n">
        <f aca="false">L617+L626*(1-a_tax)-L627-IF(L604=1,C625,0)</f>
        <v>-1138.849731584</v>
      </c>
      <c r="M644" s="36" t="n">
        <f aca="false">M617+M626*(1-a_tax)-M627-IF(M604=1,C625,0)</f>
        <v>-1116.6196779008</v>
      </c>
    </row>
    <row r="645" customFormat="false" ht="15" hidden="false" customHeight="false" outlineLevel="0" collapsed="false">
      <c r="A645" s="4" t="s">
        <v>506</v>
      </c>
      <c r="D645" s="41" t="n">
        <f aca="false">D644-C622</f>
        <v>-1545.475</v>
      </c>
      <c r="E645" s="41" t="n">
        <f aca="false">E644-C622</f>
        <v>-1335.755</v>
      </c>
      <c r="F645" s="41" t="n">
        <f aca="false">F644-C622</f>
        <v>-1325.096</v>
      </c>
      <c r="G645" s="41" t="n">
        <f aca="false">G644-C622</f>
        <v>-1310.5232</v>
      </c>
      <c r="H645" s="41" t="n">
        <f aca="false">H644-C622</f>
        <v>-1290.89744</v>
      </c>
      <c r="I645" s="41" t="n">
        <f aca="false">I644-C622</f>
        <v>-1280.176928</v>
      </c>
      <c r="J645" s="41" t="n">
        <f aca="false">J644-C622</f>
        <v>-1267.3123136</v>
      </c>
      <c r="K645" s="41" t="n">
        <f aca="false">K644-C622</f>
        <v>-1251.87477632</v>
      </c>
      <c r="L645" s="41" t="n">
        <f aca="false">L644-C622</f>
        <v>-1233.349731584</v>
      </c>
      <c r="M645" s="41" t="n">
        <f aca="false">M644-C622</f>
        <v>-1211.1196779008</v>
      </c>
    </row>
    <row r="646" customFormat="false" ht="15" hidden="false" customHeight="false" outlineLevel="0" collapsed="false">
      <c r="A646" s="9" t="s">
        <v>507</v>
      </c>
      <c r="C646" s="36" t="n">
        <f aca="false">0</f>
        <v>0</v>
      </c>
      <c r="D646" s="36" t="n">
        <f aca="false">D632</f>
        <v>69</v>
      </c>
      <c r="E646" s="36" t="n">
        <f aca="false">E632</f>
        <v>69</v>
      </c>
      <c r="F646" s="36" t="n">
        <f aca="false">F632</f>
        <v>69</v>
      </c>
      <c r="G646" s="36" t="n">
        <f aca="false">G632</f>
        <v>69</v>
      </c>
      <c r="H646" s="36" t="n">
        <f aca="false">H632</f>
        <v>69</v>
      </c>
      <c r="I646" s="36" t="n">
        <f aca="false">I632</f>
        <v>69</v>
      </c>
      <c r="J646" s="36" t="n">
        <f aca="false">J632</f>
        <v>69</v>
      </c>
      <c r="K646" s="36" t="n">
        <f aca="false">K632</f>
        <v>69</v>
      </c>
      <c r="L646" s="36" t="n">
        <f aca="false">L632</f>
        <v>69</v>
      </c>
      <c r="M646" s="36" t="n">
        <f aca="false">M632</f>
        <v>69</v>
      </c>
    </row>
    <row r="647" customFormat="false" ht="15" hidden="false" customHeight="false" outlineLevel="0" collapsed="false">
      <c r="A647" s="9" t="s">
        <v>508</v>
      </c>
      <c r="D647" s="36" t="n">
        <f aca="false">D645+D646</f>
        <v>-1476.475</v>
      </c>
      <c r="E647" s="36" t="n">
        <f aca="false">E645+E646</f>
        <v>-1266.755</v>
      </c>
      <c r="F647" s="36" t="n">
        <f aca="false">F645+F646</f>
        <v>-1256.096</v>
      </c>
      <c r="G647" s="36" t="n">
        <f aca="false">G645+G646</f>
        <v>-1241.5232</v>
      </c>
      <c r="H647" s="36" t="n">
        <f aca="false">H645+H646</f>
        <v>-1221.89744</v>
      </c>
      <c r="I647" s="36" t="n">
        <f aca="false">I645+I646</f>
        <v>-1211.176928</v>
      </c>
      <c r="J647" s="36" t="n">
        <f aca="false">J645+J646</f>
        <v>-1198.3123136</v>
      </c>
      <c r="K647" s="36" t="n">
        <f aca="false">K645+K646</f>
        <v>-1182.87477632</v>
      </c>
      <c r="L647" s="36" t="n">
        <f aca="false">L645+L646</f>
        <v>-1164.349731584</v>
      </c>
      <c r="M647" s="36" t="n">
        <f aca="false">M645+M646</f>
        <v>-1142.1196779008</v>
      </c>
    </row>
    <row r="648" customFormat="false" ht="15" hidden="false" customHeight="false" outlineLevel="0" collapsed="false">
      <c r="A648" s="9" t="s">
        <v>509</v>
      </c>
      <c r="D648" s="36" t="n">
        <f aca="false">IF(lv_mdr_in_deal=1,D647,D645)</f>
        <v>-1545.475</v>
      </c>
      <c r="E648" s="36" t="n">
        <f aca="false">IF(lv_mdr_in_deal=1,E647,E645)</f>
        <v>-1335.755</v>
      </c>
      <c r="F648" s="36" t="n">
        <f aca="false">IF(lv_mdr_in_deal=1,F647,F645)</f>
        <v>-1325.096</v>
      </c>
      <c r="G648" s="36" t="n">
        <f aca="false">IF(lv_mdr_in_deal=1,G647,G645)</f>
        <v>-1310.5232</v>
      </c>
      <c r="H648" s="36" t="n">
        <f aca="false">IF(lv_mdr_in_deal=1,H647,H645)</f>
        <v>-1290.89744</v>
      </c>
      <c r="I648" s="36" t="n">
        <f aca="false">IF(lv_mdr_in_deal=1,I647,I645)</f>
        <v>-1280.176928</v>
      </c>
      <c r="J648" s="36" t="n">
        <f aca="false">IF(lv_mdr_in_deal=1,J647,J645)</f>
        <v>-1267.3123136</v>
      </c>
      <c r="K648" s="36" t="n">
        <f aca="false">IF(lv_mdr_in_deal=1,K647,K645)</f>
        <v>-1251.87477632</v>
      </c>
      <c r="L648" s="36" t="n">
        <f aca="false">IF(lv_mdr_in_deal=1,L647,L645)</f>
        <v>-1233.349731584</v>
      </c>
      <c r="M648" s="36" t="n">
        <f aca="false">IF(lv_mdr_in_deal=1,M647,M645)</f>
        <v>-1211.1196779008</v>
      </c>
    </row>
    <row r="649" customFormat="false" ht="15" hidden="false" customHeight="false" outlineLevel="0" collapsed="false">
      <c r="A649" s="9" t="s">
        <v>510</v>
      </c>
      <c r="C649" s="36" t="n">
        <f aca="false">-lv_price</f>
        <v>-4000</v>
      </c>
      <c r="D649" s="36" t="n">
        <f aca="false">C649+D648</f>
        <v>-5545.475</v>
      </c>
      <c r="E649" s="36" t="n">
        <f aca="false">D649+E648</f>
        <v>-6881.23</v>
      </c>
      <c r="F649" s="36" t="n">
        <f aca="false">E649+F648</f>
        <v>-8206.326</v>
      </c>
      <c r="G649" s="36" t="n">
        <f aca="false">F649+G648</f>
        <v>-9516.8492</v>
      </c>
      <c r="H649" s="36" t="n">
        <f aca="false">G649+H648</f>
        <v>-10807.74664</v>
      </c>
      <c r="I649" s="36" t="n">
        <f aca="false">H649+I648</f>
        <v>-12087.923568</v>
      </c>
      <c r="J649" s="36" t="n">
        <f aca="false">I649+J648</f>
        <v>-13355.2358816</v>
      </c>
      <c r="K649" s="36" t="n">
        <f aca="false">J649+K648</f>
        <v>-14607.11065792</v>
      </c>
      <c r="L649" s="36" t="n">
        <f aca="false">K649+L648</f>
        <v>-15840.460389504</v>
      </c>
      <c r="M649" s="36" t="n">
        <f aca="false">L649+M648</f>
        <v>-17051.5800674048</v>
      </c>
    </row>
    <row r="650" customFormat="false" ht="15" hidden="false" customHeight="false" outlineLevel="0" collapsed="false">
      <c r="A650" s="9" t="s">
        <v>511</v>
      </c>
      <c r="C650" s="43" t="n">
        <f aca="false">1</f>
        <v>1</v>
      </c>
      <c r="D650" s="43" t="n">
        <f aca="false">1/(1+Scenarios!$D$43)^D604</f>
        <v>0.884955752212389</v>
      </c>
      <c r="E650" s="43" t="n">
        <f aca="false">1/(1+Scenarios!$D$43)^E604</f>
        <v>0.783146683373796</v>
      </c>
      <c r="F650" s="43" t="n">
        <f aca="false">1/(1+Scenarios!$D$43)^F604</f>
        <v>0.693050162277696</v>
      </c>
      <c r="G650" s="43" t="n">
        <f aca="false">1/(1+Scenarios!$D$43)^G604</f>
        <v>0.613318727679377</v>
      </c>
      <c r="H650" s="43" t="n">
        <f aca="false">1/(1+Scenarios!$D$43)^H604</f>
        <v>0.542759935999449</v>
      </c>
      <c r="I650" s="43" t="n">
        <f aca="false">1/(1+Scenarios!$D$43)^I604</f>
        <v>0.48031852743314</v>
      </c>
      <c r="J650" s="43" t="n">
        <f aca="false">1/(1+Scenarios!$D$43)^J604</f>
        <v>0.425060643746142</v>
      </c>
      <c r="K650" s="43" t="n">
        <f aca="false">1/(1+Scenarios!$D$43)^K604</f>
        <v>0.37615986172225</v>
      </c>
      <c r="L650" s="43" t="n">
        <f aca="false">1/(1+Scenarios!$D$43)^L604</f>
        <v>0.332884833382522</v>
      </c>
      <c r="M650" s="43" t="n">
        <f aca="false">1/(1+Scenarios!$D$43)^M604</f>
        <v>0.294588348126126</v>
      </c>
    </row>
    <row r="651" customFormat="false" ht="15" hidden="false" customHeight="false" outlineLevel="0" collapsed="false">
      <c r="A651" s="9" t="s">
        <v>512</v>
      </c>
      <c r="C651" s="46" t="n">
        <f aca="false">99</f>
        <v>99</v>
      </c>
      <c r="D651" s="46" t="n">
        <f aca="false">IF(D635&gt;=0,D604,99)</f>
        <v>99</v>
      </c>
      <c r="E651" s="46" t="n">
        <f aca="false">IF(E635&gt;=0,E604,99)</f>
        <v>99</v>
      </c>
      <c r="F651" s="46" t="n">
        <f aca="false">IF(F635&gt;=0,F604,99)</f>
        <v>99</v>
      </c>
      <c r="G651" s="46" t="n">
        <f aca="false">IF(G635&gt;=0,G604,99)</f>
        <v>99</v>
      </c>
      <c r="H651" s="46" t="n">
        <f aca="false">IF(H635&gt;=0,H604,99)</f>
        <v>99</v>
      </c>
      <c r="I651" s="46" t="n">
        <f aca="false">IF(I635&gt;=0,I604,99)</f>
        <v>99</v>
      </c>
      <c r="J651" s="46" t="n">
        <f aca="false">IF(J635&gt;=0,J604,99)</f>
        <v>99</v>
      </c>
      <c r="K651" s="46" t="n">
        <f aca="false">IF(K635&gt;=0,K604,99)</f>
        <v>99</v>
      </c>
      <c r="L651" s="46" t="n">
        <f aca="false">IF(L635&gt;=0,L604,99)</f>
        <v>99</v>
      </c>
      <c r="M651" s="46" t="n">
        <f aca="false">IF(M635&gt;=0,M604,99)</f>
        <v>99</v>
      </c>
    </row>
    <row r="652" customFormat="false" ht="15" hidden="false" customHeight="false" outlineLevel="0" collapsed="false">
      <c r="A652" s="9" t="s">
        <v>513</v>
      </c>
      <c r="C652" s="46" t="n">
        <f aca="false">99</f>
        <v>99</v>
      </c>
      <c r="D652" s="46" t="n">
        <f aca="false">IF(D635+D632&gt;=0,D604,99)</f>
        <v>99</v>
      </c>
      <c r="E652" s="46" t="n">
        <f aca="false">IF(E635+E632&gt;=0,E604,99)</f>
        <v>99</v>
      </c>
      <c r="F652" s="46" t="n">
        <f aca="false">IF(F635+F632&gt;=0,F604,99)</f>
        <v>99</v>
      </c>
      <c r="G652" s="46" t="n">
        <f aca="false">IF(G635+G632&gt;=0,G604,99)</f>
        <v>99</v>
      </c>
      <c r="H652" s="46" t="n">
        <f aca="false">IF(H635+H632&gt;=0,H604,99)</f>
        <v>99</v>
      </c>
      <c r="I652" s="46" t="n">
        <f aca="false">IF(I635+I632&gt;=0,I604,99)</f>
        <v>99</v>
      </c>
      <c r="J652" s="46" t="n">
        <f aca="false">IF(J635+J632&gt;=0,J604,99)</f>
        <v>99</v>
      </c>
      <c r="K652" s="46" t="n">
        <f aca="false">IF(K635+K632&gt;=0,K604,99)</f>
        <v>99</v>
      </c>
      <c r="L652" s="46" t="n">
        <f aca="false">IF(L635+L632&gt;=0,L604,99)</f>
        <v>99</v>
      </c>
      <c r="M652" s="46" t="n">
        <f aca="false">IF(M635+M632&gt;=0,M604,99)</f>
        <v>99</v>
      </c>
    </row>
    <row r="653" customFormat="false" ht="15" hidden="false" customHeight="false" outlineLevel="0" collapsed="false">
      <c r="A653" s="9" t="s">
        <v>514</v>
      </c>
      <c r="C653" s="46" t="n">
        <f aca="false">99</f>
        <v>99</v>
      </c>
      <c r="D653" s="46" t="n">
        <f aca="false">IF(D645&gt;=0,D604,99)</f>
        <v>99</v>
      </c>
      <c r="E653" s="46" t="n">
        <f aca="false">IF(E645&gt;=0,E604,99)</f>
        <v>99</v>
      </c>
      <c r="F653" s="46" t="n">
        <f aca="false">IF(F645&gt;=0,F604,99)</f>
        <v>99</v>
      </c>
      <c r="G653" s="46" t="n">
        <f aca="false">IF(G645&gt;=0,G604,99)</f>
        <v>99</v>
      </c>
      <c r="H653" s="46" t="n">
        <f aca="false">IF(H645&gt;=0,H604,99)</f>
        <v>99</v>
      </c>
      <c r="I653" s="46" t="n">
        <f aca="false">IF(I645&gt;=0,I604,99)</f>
        <v>99</v>
      </c>
      <c r="J653" s="46" t="n">
        <f aca="false">IF(J645&gt;=0,J604,99)</f>
        <v>99</v>
      </c>
      <c r="K653" s="46" t="n">
        <f aca="false">IF(K645&gt;=0,K604,99)</f>
        <v>99</v>
      </c>
      <c r="L653" s="46" t="n">
        <f aca="false">IF(L645&gt;=0,L604,99)</f>
        <v>99</v>
      </c>
      <c r="M653" s="46" t="n">
        <f aca="false">IF(M645&gt;=0,M604,99)</f>
        <v>99</v>
      </c>
    </row>
    <row r="654" customFormat="false" ht="15" hidden="false" customHeight="false" outlineLevel="0" collapsed="false">
      <c r="A654" s="9" t="s">
        <v>515</v>
      </c>
      <c r="C654" s="46" t="n">
        <f aca="false">99</f>
        <v>99</v>
      </c>
      <c r="D654" s="46" t="n">
        <f aca="false">IF(D647&gt;=0,D604,99)</f>
        <v>99</v>
      </c>
      <c r="E654" s="46" t="n">
        <f aca="false">IF(E647&gt;=0,E604,99)</f>
        <v>99</v>
      </c>
      <c r="F654" s="46" t="n">
        <f aca="false">IF(F647&gt;=0,F604,99)</f>
        <v>99</v>
      </c>
      <c r="G654" s="46" t="n">
        <f aca="false">IF(G647&gt;=0,G604,99)</f>
        <v>99</v>
      </c>
      <c r="H654" s="46" t="n">
        <f aca="false">IF(H647&gt;=0,H604,99)</f>
        <v>99</v>
      </c>
      <c r="I654" s="46" t="n">
        <f aca="false">IF(I647&gt;=0,I604,99)</f>
        <v>99</v>
      </c>
      <c r="J654" s="46" t="n">
        <f aca="false">IF(J647&gt;=0,J604,99)</f>
        <v>99</v>
      </c>
      <c r="K654" s="46" t="n">
        <f aca="false">IF(K647&gt;=0,K604,99)</f>
        <v>99</v>
      </c>
      <c r="L654" s="46" t="n">
        <f aca="false">IF(L647&gt;=0,L604,99)</f>
        <v>99</v>
      </c>
      <c r="M654" s="46" t="n">
        <f aca="false">IF(M647&gt;=0,M604,99)</f>
        <v>99</v>
      </c>
    </row>
    <row r="655" customFormat="false" ht="15" hidden="false" customHeight="false" outlineLevel="0" collapsed="false">
      <c r="A655" s="9" t="s">
        <v>516</v>
      </c>
      <c r="C655" s="46" t="n">
        <f aca="false">99</f>
        <v>99</v>
      </c>
      <c r="D655" s="46" t="n">
        <f aca="false">IF(D649&gt;=0,D604,99)</f>
        <v>99</v>
      </c>
      <c r="E655" s="46" t="n">
        <f aca="false">IF(E649&gt;=0,E604,99)</f>
        <v>99</v>
      </c>
      <c r="F655" s="46" t="n">
        <f aca="false">IF(F649&gt;=0,F604,99)</f>
        <v>99</v>
      </c>
      <c r="G655" s="46" t="n">
        <f aca="false">IF(G649&gt;=0,G604,99)</f>
        <v>99</v>
      </c>
      <c r="H655" s="46" t="n">
        <f aca="false">IF(H649&gt;=0,H604,99)</f>
        <v>99</v>
      </c>
      <c r="I655" s="46" t="n">
        <f aca="false">IF(I649&gt;=0,I604,99)</f>
        <v>99</v>
      </c>
      <c r="J655" s="46" t="n">
        <f aca="false">IF(J649&gt;=0,J604,99)</f>
        <v>99</v>
      </c>
      <c r="K655" s="46" t="n">
        <f aca="false">IF(K649&gt;=0,K604,99)</f>
        <v>99</v>
      </c>
      <c r="L655" s="46" t="n">
        <f aca="false">IF(L649&gt;=0,L604,99)</f>
        <v>99</v>
      </c>
      <c r="M655" s="46" t="n">
        <f aca="false">IF(M649&gt;=0,M604,99)</f>
        <v>99</v>
      </c>
    </row>
    <row r="656" customFormat="false" ht="15" hidden="false" customHeight="false" outlineLevel="0" collapsed="false">
      <c r="A656" s="4" t="s">
        <v>517</v>
      </c>
      <c r="C656" s="23" t="n">
        <f aca="false">MIN(D651:M651)</f>
        <v>99</v>
      </c>
    </row>
    <row r="657" customFormat="false" ht="15" hidden="false" customHeight="false" outlineLevel="0" collapsed="false">
      <c r="A657" s="9" t="s">
        <v>518</v>
      </c>
      <c r="C657" s="46" t="n">
        <f aca="false">MIN(D652:M652)</f>
        <v>99</v>
      </c>
    </row>
    <row r="658" customFormat="false" ht="15" hidden="false" customHeight="false" outlineLevel="0" collapsed="false">
      <c r="A658" s="4" t="s">
        <v>519</v>
      </c>
      <c r="C658" s="23" t="n">
        <f aca="false">MIN(D653:M653)</f>
        <v>99</v>
      </c>
    </row>
    <row r="659" customFormat="false" ht="15" hidden="false" customHeight="false" outlineLevel="0" collapsed="false">
      <c r="A659" s="9" t="s">
        <v>520</v>
      </c>
      <c r="C659" s="46" t="n">
        <f aca="false">MIN(D654:M654)</f>
        <v>99</v>
      </c>
    </row>
    <row r="660" customFormat="false" ht="15" hidden="false" customHeight="false" outlineLevel="0" collapsed="false">
      <c r="A660" s="9" t="s">
        <v>521</v>
      </c>
      <c r="C660" s="46" t="n">
        <f aca="false">MIN(D655:M655)</f>
        <v>99</v>
      </c>
    </row>
    <row r="661" customFormat="false" ht="15" hidden="false" customHeight="false" outlineLevel="0" collapsed="false">
      <c r="A661" s="4" t="s">
        <v>522</v>
      </c>
      <c r="C661" s="15" t="n">
        <f aca="false">M649</f>
        <v>-17051.5800674048</v>
      </c>
    </row>
    <row r="662" customFormat="false" ht="15" hidden="false" customHeight="false" outlineLevel="0" collapsed="false">
      <c r="A662" s="9" t="s">
        <v>523</v>
      </c>
      <c r="C662" s="36" t="n">
        <f aca="false">SUMPRODUCT(D617:M617,D650:M650)</f>
        <v>208.806860496414</v>
      </c>
    </row>
    <row r="663" customFormat="false" ht="15" hidden="false" customHeight="false" outlineLevel="0" collapsed="false">
      <c r="A663" s="9" t="s">
        <v>524</v>
      </c>
      <c r="C663" s="36" t="n">
        <f aca="false">M617*(1+a_tg)/(Scenarios!$D$43-a_tg)</f>
        <v>1750.616727552</v>
      </c>
    </row>
    <row r="664" customFormat="false" ht="15" hidden="false" customHeight="false" outlineLevel="0" collapsed="false">
      <c r="A664" s="9" t="s">
        <v>314</v>
      </c>
      <c r="C664" s="36" t="n">
        <f aca="false">C663*M650</f>
        <v>515.711289971507</v>
      </c>
    </row>
    <row r="665" customFormat="false" ht="15" hidden="false" customHeight="false" outlineLevel="0" collapsed="false">
      <c r="A665" s="4" t="s">
        <v>525</v>
      </c>
      <c r="C665" s="15" t="n">
        <f aca="false">C662+C664</f>
        <v>724.518150467921</v>
      </c>
    </row>
    <row r="666" customFormat="false" ht="15" hidden="false" customHeight="false" outlineLevel="0" collapsed="false">
      <c r="A666" s="9" t="s">
        <v>526</v>
      </c>
      <c r="C666" s="32" t="n">
        <f aca="false">SUMPRODUCT(D627:M627,D650:M650)-a_recovery*M629*M650</f>
        <v>6782.80434494111</v>
      </c>
    </row>
    <row r="667" customFormat="false" ht="15" hidden="false" customHeight="false" outlineLevel="0" collapsed="false">
      <c r="A667" s="9" t="s">
        <v>527</v>
      </c>
      <c r="C667" s="36" t="n">
        <f aca="false">SUMPRODUCT(D626:M626,D650:M650)*(1-a_tax)</f>
        <v>0</v>
      </c>
    </row>
    <row r="668" customFormat="false" ht="15" hidden="false" customHeight="false" outlineLevel="0" collapsed="false">
      <c r="A668" s="9" t="s">
        <v>528</v>
      </c>
      <c r="C668" s="36" t="n">
        <f aca="false">C625*D650</f>
        <v>141.592920353982</v>
      </c>
    </row>
    <row r="669" customFormat="false" ht="15" hidden="false" customHeight="false" outlineLevel="0" collapsed="false">
      <c r="A669" s="4" t="s">
        <v>529</v>
      </c>
      <c r="C669" s="20" t="n">
        <f aca="false">C665+C667-C666-C668-lv_price</f>
        <v>-10199.8791148272</v>
      </c>
    </row>
    <row r="670" customFormat="false" ht="15" hidden="false" customHeight="false" outlineLevel="0" collapsed="false">
      <c r="A670" s="9" t="s">
        <v>530</v>
      </c>
      <c r="C670" s="32" t="n">
        <f aca="false">C669+SUMPRODUCT(D646:M646,D650:M650)</f>
        <v>-9825.46831498642</v>
      </c>
    </row>
    <row r="671" customFormat="false" ht="15" hidden="false" customHeight="false" outlineLevel="0" collapsed="false">
      <c r="A671" s="4" t="s">
        <v>531</v>
      </c>
      <c r="C671" s="59" t="n">
        <f aca="false">lv_price/D607</f>
        <v>24.2424242424242</v>
      </c>
    </row>
    <row r="672" customFormat="false" ht="15" hidden="false" customHeight="false" outlineLevel="0" collapsed="false">
      <c r="A672" s="9" t="s">
        <v>532</v>
      </c>
      <c r="C672" s="17" t="n">
        <f aca="false">(lv_price+C666)/D607</f>
        <v>65.3503293632794</v>
      </c>
    </row>
    <row r="673" customFormat="false" ht="15" hidden="false" customHeight="false" outlineLevel="0" collapsed="false">
      <c r="A673" s="4" t="s">
        <v>533</v>
      </c>
      <c r="C673" s="15" t="n">
        <f aca="false">(C669+C666)/SUMPRODUCT(D650:M650)</f>
        <v>-629.731191574665</v>
      </c>
    </row>
    <row r="674" customFormat="false" ht="15" hidden="false" customHeight="false" outlineLevel="0" collapsed="false">
      <c r="A674" s="4" t="s">
        <v>534</v>
      </c>
      <c r="C674" s="25" t="n">
        <f aca="false">D637</f>
        <v>5.25613619586614</v>
      </c>
    </row>
    <row r="675" customFormat="false" ht="15" hidden="false" customHeight="false" outlineLevel="0" collapsed="false">
      <c r="A675" s="9" t="s">
        <v>535</v>
      </c>
      <c r="C675" s="50" t="n">
        <f aca="false">F637</f>
        <v>4.52731299212598</v>
      </c>
    </row>
    <row r="676" customFormat="false" ht="15" hidden="false" customHeight="false" outlineLevel="0" collapsed="false">
      <c r="A676" s="4" t="s">
        <v>536</v>
      </c>
      <c r="C676" s="20" t="n">
        <f aca="false">D645</f>
        <v>-1545.475</v>
      </c>
    </row>
    <row r="677" customFormat="false" ht="15" hidden="false" customHeight="false" outlineLevel="0" collapsed="false">
      <c r="A677" s="9" t="s">
        <v>537</v>
      </c>
      <c r="C677" s="32" t="n">
        <f aca="false">cf_cash-lv_mix_cash-C625</f>
        <v>6640</v>
      </c>
    </row>
    <row r="678" customFormat="false" ht="15" hidden="false" customHeight="false" outlineLevel="0" collapsed="false">
      <c r="A678" s="9" t="s">
        <v>538</v>
      </c>
      <c r="C678" s="32" t="n">
        <f aca="false">cf_debt+lv_mix_debt</f>
        <v>350</v>
      </c>
    </row>
    <row r="679" customFormat="false" ht="15" hidden="false" customHeight="false" outlineLevel="0" collapsed="false">
      <c r="A679" s="9" t="s">
        <v>539</v>
      </c>
      <c r="C679" s="34" t="n">
        <f aca="false">C678/cf_ebitda</f>
        <v>0.546875</v>
      </c>
    </row>
    <row r="680" customFormat="false" ht="15" hidden="false" customHeight="false" outlineLevel="0" collapsed="false">
      <c r="A680" s="9" t="s">
        <v>540</v>
      </c>
      <c r="C680" s="32" t="n">
        <f aca="false">C677+SUM(D648:F648)+3*cf_pat</f>
        <v>3873.674</v>
      </c>
    </row>
    <row r="682" customFormat="false" ht="15" hidden="false" customHeight="false" outlineLevel="0" collapsed="false">
      <c r="A682" s="7" t="s">
        <v>880</v>
      </c>
      <c r="B682" s="8"/>
      <c r="C682" s="8"/>
      <c r="D682" s="8"/>
      <c r="E682" s="8"/>
      <c r="F682" s="8"/>
      <c r="G682" s="8"/>
      <c r="H682" s="8"/>
      <c r="I682" s="8"/>
      <c r="J682" s="8"/>
      <c r="K682" s="8"/>
      <c r="L682" s="8"/>
      <c r="M682" s="8"/>
      <c r="N682" s="8"/>
    </row>
    <row r="683" customFormat="false" ht="15" hidden="false" customHeight="false" outlineLevel="0" collapsed="false">
      <c r="A683" s="4" t="s">
        <v>284</v>
      </c>
      <c r="C683" s="39" t="n">
        <v>0</v>
      </c>
      <c r="D683" s="39" t="n">
        <v>1</v>
      </c>
      <c r="E683" s="39" t="n">
        <v>2</v>
      </c>
      <c r="F683" s="39" t="n">
        <v>3</v>
      </c>
      <c r="G683" s="39" t="n">
        <v>4</v>
      </c>
      <c r="H683" s="39" t="n">
        <v>5</v>
      </c>
      <c r="I683" s="39" t="n">
        <v>6</v>
      </c>
      <c r="J683" s="39" t="n">
        <v>7</v>
      </c>
      <c r="K683" s="39" t="n">
        <v>8</v>
      </c>
      <c r="L683" s="39" t="n">
        <v>9</v>
      </c>
      <c r="M683" s="39" t="n">
        <v>10</v>
      </c>
    </row>
    <row r="684" customFormat="false" ht="15" hidden="false" customHeight="false" outlineLevel="0" collapsed="false">
      <c r="A684" s="9" t="s">
        <v>285</v>
      </c>
      <c r="C684" s="40" t="n">
        <f aca="false">cf_arr</f>
        <v>220</v>
      </c>
      <c r="D684" s="36" t="n">
        <f aca="false">C684*(1+Scenarios!$E$39)</f>
        <v>242</v>
      </c>
      <c r="E684" s="36" t="n">
        <f aca="false">D684*(1+Scenarios!$E$39)</f>
        <v>266.2</v>
      </c>
      <c r="F684" s="36" t="n">
        <f aca="false">E684*(1+Scenarios!$E$39)</f>
        <v>292.82</v>
      </c>
      <c r="G684" s="36" t="n">
        <f aca="false">F684*(1+Scenarios!$E$39)</f>
        <v>322.102</v>
      </c>
      <c r="H684" s="36" t="n">
        <f aca="false">G684*(1+Scenarios!$E$39)</f>
        <v>354.3122</v>
      </c>
      <c r="I684" s="36" t="n">
        <f aca="false">H684*(1+Scenarios!$E$39)</f>
        <v>389.74342</v>
      </c>
      <c r="J684" s="36" t="n">
        <f aca="false">I684*(1+Scenarios!$E$39)</f>
        <v>428.717762</v>
      </c>
      <c r="K684" s="36" t="n">
        <f aca="false">J684*(1+Scenarios!$E$39)</f>
        <v>471.5895382</v>
      </c>
      <c r="L684" s="36" t="n">
        <f aca="false">K684*(1+Scenarios!$E$39)</f>
        <v>518.74849202</v>
      </c>
      <c r="M684" s="36" t="n">
        <f aca="false">L684*(1+Scenarios!$E$39)</f>
        <v>570.623341222</v>
      </c>
    </row>
    <row r="685" customFormat="false" ht="15" hidden="false" customHeight="false" outlineLevel="0" collapsed="false">
      <c r="A685" s="9" t="s">
        <v>286</v>
      </c>
      <c r="C685" s="18" t="n">
        <f aca="false">1</f>
        <v>1</v>
      </c>
      <c r="D685" s="18" t="n">
        <f aca="false">IF(D683&gt;=a_churn_year,1-Scenarios!$E$40,1)</f>
        <v>0.625</v>
      </c>
      <c r="E685" s="18" t="n">
        <f aca="false">IF(E683&gt;=a_churn_year,1-Scenarios!$E$40,1)</f>
        <v>0.625</v>
      </c>
      <c r="F685" s="18" t="n">
        <f aca="false">IF(F683&gt;=a_churn_year,1-Scenarios!$E$40,1)</f>
        <v>0.625</v>
      </c>
      <c r="G685" s="18" t="n">
        <f aca="false">IF(G683&gt;=a_churn_year,1-Scenarios!$E$40,1)</f>
        <v>0.625</v>
      </c>
      <c r="H685" s="18" t="n">
        <f aca="false">IF(H683&gt;=a_churn_year,1-Scenarios!$E$40,1)</f>
        <v>0.625</v>
      </c>
      <c r="I685" s="18" t="n">
        <f aca="false">IF(I683&gt;=a_churn_year,1-Scenarios!$E$40,1)</f>
        <v>0.625</v>
      </c>
      <c r="J685" s="18" t="n">
        <f aca="false">IF(J683&gt;=a_churn_year,1-Scenarios!$E$40,1)</f>
        <v>0.625</v>
      </c>
      <c r="K685" s="18" t="n">
        <f aca="false">IF(K683&gt;=a_churn_year,1-Scenarios!$E$40,1)</f>
        <v>0.625</v>
      </c>
      <c r="L685" s="18" t="n">
        <f aca="false">IF(L683&gt;=a_churn_year,1-Scenarios!$E$40,1)</f>
        <v>0.625</v>
      </c>
      <c r="M685" s="18" t="n">
        <f aca="false">IF(M683&gt;=a_churn_year,1-Scenarios!$E$40,1)</f>
        <v>0.625</v>
      </c>
    </row>
    <row r="686" customFormat="false" ht="15" hidden="false" customHeight="false" outlineLevel="0" collapsed="false">
      <c r="A686" s="4" t="s">
        <v>287</v>
      </c>
      <c r="C686" s="41" t="n">
        <f aca="false">C684*C685</f>
        <v>220</v>
      </c>
      <c r="D686" s="41" t="n">
        <f aca="false">D684*D685</f>
        <v>151.25</v>
      </c>
      <c r="E686" s="41" t="n">
        <f aca="false">E684*E685</f>
        <v>166.375</v>
      </c>
      <c r="F686" s="41" t="n">
        <f aca="false">F684*F685</f>
        <v>183.0125</v>
      </c>
      <c r="G686" s="41" t="n">
        <f aca="false">G684*G685</f>
        <v>201.31375</v>
      </c>
      <c r="H686" s="41" t="n">
        <f aca="false">H684*H685</f>
        <v>221.445125</v>
      </c>
      <c r="I686" s="41" t="n">
        <f aca="false">I684*I685</f>
        <v>243.5896375</v>
      </c>
      <c r="J686" s="41" t="n">
        <f aca="false">J684*J685</f>
        <v>267.94860125</v>
      </c>
      <c r="K686" s="41" t="n">
        <f aca="false">K684*K685</f>
        <v>294.743461375</v>
      </c>
      <c r="L686" s="41" t="n">
        <f aca="false">L684*L685</f>
        <v>324.2178075125</v>
      </c>
      <c r="M686" s="41" t="n">
        <f aca="false">M684*M685</f>
        <v>356.63958826375</v>
      </c>
    </row>
    <row r="687" customFormat="false" ht="15" hidden="false" customHeight="false" outlineLevel="0" collapsed="false">
      <c r="A687" s="9" t="s">
        <v>288</v>
      </c>
      <c r="C687" s="18" t="n">
        <f aca="false">MIN(a_m0+a_mstep*C683,a_mcap)</f>
        <v>0</v>
      </c>
      <c r="D687" s="18" t="n">
        <f aca="false">MIN(a_m0+a_mstep*D683,a_mcap)</f>
        <v>0.05</v>
      </c>
      <c r="E687" s="18" t="n">
        <f aca="false">MIN(a_m0+a_mstep*E683,a_mcap)</f>
        <v>0.1</v>
      </c>
      <c r="F687" s="18" t="n">
        <f aca="false">MIN(a_m0+a_mstep*F683,a_mcap)</f>
        <v>0.15</v>
      </c>
      <c r="G687" s="18" t="n">
        <f aca="false">MIN(a_m0+a_mstep*G683,a_mcap)</f>
        <v>0.2</v>
      </c>
      <c r="H687" s="18" t="n">
        <f aca="false">MIN(a_m0+a_mstep*H683,a_mcap)</f>
        <v>0.25</v>
      </c>
      <c r="I687" s="18" t="n">
        <f aca="false">MIN(a_m0+a_mstep*I683,a_mcap)</f>
        <v>0.25</v>
      </c>
      <c r="J687" s="18" t="n">
        <f aca="false">MIN(a_m0+a_mstep*J683,a_mcap)</f>
        <v>0.25</v>
      </c>
      <c r="K687" s="18" t="n">
        <f aca="false">MIN(a_m0+a_mstep*K683,a_mcap)</f>
        <v>0.25</v>
      </c>
      <c r="L687" s="18" t="n">
        <f aca="false">MIN(a_m0+a_mstep*L683,a_mcap)</f>
        <v>0.25</v>
      </c>
      <c r="M687" s="18" t="n">
        <f aca="false">MIN(a_m0+a_mstep*M683,a_mcap)</f>
        <v>0.25</v>
      </c>
    </row>
    <row r="688" customFormat="false" ht="15" hidden="false" customHeight="false" outlineLevel="0" collapsed="false">
      <c r="A688" s="9" t="s">
        <v>289</v>
      </c>
      <c r="C688" s="36" t="n">
        <f aca="false">IF(C683=a_churn_year,a_sticky*(C684-C686)*(1-C687),0)</f>
        <v>0</v>
      </c>
      <c r="D688" s="36" t="n">
        <f aca="false">IF(D683=a_churn_year,a_sticky*(D684-D686)*(1-D687),0)</f>
        <v>43.10625</v>
      </c>
      <c r="E688" s="36" t="n">
        <f aca="false">IF(E683=a_churn_year,a_sticky*(E684-E686)*(1-E687),0)</f>
        <v>0</v>
      </c>
      <c r="F688" s="36" t="n">
        <f aca="false">IF(F683=a_churn_year,a_sticky*(F684-F686)*(1-F687),0)</f>
        <v>0</v>
      </c>
      <c r="G688" s="36" t="n">
        <f aca="false">IF(G683=a_churn_year,a_sticky*(G684-G686)*(1-G687),0)</f>
        <v>0</v>
      </c>
      <c r="H688" s="36" t="n">
        <f aca="false">IF(H683=a_churn_year,a_sticky*(H684-H686)*(1-H687),0)</f>
        <v>0</v>
      </c>
      <c r="I688" s="36" t="n">
        <f aca="false">IF(I683=a_churn_year,a_sticky*(I684-I686)*(1-I687),0)</f>
        <v>0</v>
      </c>
      <c r="J688" s="36" t="n">
        <f aca="false">IF(J683=a_churn_year,a_sticky*(J684-J686)*(1-J687),0)</f>
        <v>0</v>
      </c>
      <c r="K688" s="36" t="n">
        <f aca="false">IF(K683=a_churn_year,a_sticky*(K684-K686)*(1-K687),0)</f>
        <v>0</v>
      </c>
      <c r="L688" s="36" t="n">
        <f aca="false">IF(L683=a_churn_year,a_sticky*(L684-L686)*(1-L687),0)</f>
        <v>0</v>
      </c>
      <c r="M688" s="36" t="n">
        <f aca="false">IF(M683=a_churn_year,a_sticky*(M684-M686)*(1-M687),0)</f>
        <v>0</v>
      </c>
    </row>
    <row r="689" customFormat="false" ht="15" hidden="false" customHeight="false" outlineLevel="0" collapsed="false">
      <c r="A689" s="4" t="s">
        <v>290</v>
      </c>
      <c r="C689" s="41" t="n">
        <f aca="false">C686*C687-C688</f>
        <v>0</v>
      </c>
      <c r="D689" s="41" t="n">
        <f aca="false">D686*D687-D688</f>
        <v>-35.54375</v>
      </c>
      <c r="E689" s="41" t="n">
        <f aca="false">E686*E687-E688</f>
        <v>16.6375</v>
      </c>
      <c r="F689" s="41" t="n">
        <f aca="false">F686*F687-F688</f>
        <v>27.451875</v>
      </c>
      <c r="G689" s="41" t="n">
        <f aca="false">G686*G687-G688</f>
        <v>40.26275</v>
      </c>
      <c r="H689" s="41" t="n">
        <f aca="false">H686*H687-H688</f>
        <v>55.36128125</v>
      </c>
      <c r="I689" s="41" t="n">
        <f aca="false">I686*I687-I688</f>
        <v>60.897409375</v>
      </c>
      <c r="J689" s="41" t="n">
        <f aca="false">J686*J687-J688</f>
        <v>66.9871503125</v>
      </c>
      <c r="K689" s="41" t="n">
        <f aca="false">K686*K687-K688</f>
        <v>73.68586534375</v>
      </c>
      <c r="L689" s="41" t="n">
        <f aca="false">L686*L687-L688</f>
        <v>81.0544518781251</v>
      </c>
      <c r="M689" s="41" t="n">
        <f aca="false">M686*M687-M688</f>
        <v>89.1598970659376</v>
      </c>
    </row>
    <row r="690" customFormat="false" ht="15" hidden="false" customHeight="false" outlineLevel="0" collapsed="false">
      <c r="A690" s="9" t="s">
        <v>291</v>
      </c>
      <c r="C690" s="36" t="n">
        <f aca="false">C686*a_da</f>
        <v>6.6</v>
      </c>
      <c r="D690" s="36" t="n">
        <f aca="false">D686*a_da</f>
        <v>4.5375</v>
      </c>
      <c r="E690" s="36" t="n">
        <f aca="false">E686*a_da</f>
        <v>4.99125</v>
      </c>
      <c r="F690" s="36" t="n">
        <f aca="false">F686*a_da</f>
        <v>5.490375</v>
      </c>
      <c r="G690" s="36" t="n">
        <f aca="false">G686*a_da</f>
        <v>6.0394125</v>
      </c>
      <c r="H690" s="36" t="n">
        <f aca="false">H686*a_da</f>
        <v>6.64335375</v>
      </c>
      <c r="I690" s="36" t="n">
        <f aca="false">I686*a_da</f>
        <v>7.307689125</v>
      </c>
      <c r="J690" s="36" t="n">
        <f aca="false">J686*a_da</f>
        <v>8.0384580375</v>
      </c>
      <c r="K690" s="36" t="n">
        <f aca="false">K686*a_da</f>
        <v>8.84230384125</v>
      </c>
      <c r="L690" s="36" t="n">
        <f aca="false">L686*a_da</f>
        <v>9.72653422537501</v>
      </c>
      <c r="M690" s="36" t="n">
        <f aca="false">M686*a_da</f>
        <v>10.6991876479125</v>
      </c>
    </row>
    <row r="691" customFormat="false" ht="15" hidden="false" customHeight="false" outlineLevel="0" collapsed="false">
      <c r="A691" s="9" t="s">
        <v>292</v>
      </c>
      <c r="C691" s="36" t="n">
        <f aca="false">C689-C690</f>
        <v>-6.6</v>
      </c>
      <c r="D691" s="36" t="n">
        <f aca="false">D689-D690</f>
        <v>-40.08125</v>
      </c>
      <c r="E691" s="36" t="n">
        <f aca="false">E689-E690</f>
        <v>11.64625</v>
      </c>
      <c r="F691" s="36" t="n">
        <f aca="false">F689-F690</f>
        <v>21.9615</v>
      </c>
      <c r="G691" s="36" t="n">
        <f aca="false">G689-G690</f>
        <v>34.2233375</v>
      </c>
      <c r="H691" s="36" t="n">
        <f aca="false">H689-H690</f>
        <v>48.7179275</v>
      </c>
      <c r="I691" s="36" t="n">
        <f aca="false">I689-I690</f>
        <v>53.58972025</v>
      </c>
      <c r="J691" s="36" t="n">
        <f aca="false">J689-J690</f>
        <v>58.948692275</v>
      </c>
      <c r="K691" s="36" t="n">
        <f aca="false">K689-K690</f>
        <v>64.8435615025</v>
      </c>
      <c r="L691" s="36" t="n">
        <f aca="false">L689-L690</f>
        <v>71.3279176527501</v>
      </c>
      <c r="M691" s="36" t="n">
        <f aca="false">M689-M690</f>
        <v>78.4607094180251</v>
      </c>
    </row>
    <row r="692" customFormat="false" ht="15" hidden="false" customHeight="false" outlineLevel="0" collapsed="false">
      <c r="A692" s="9" t="s">
        <v>293</v>
      </c>
      <c r="C692" s="36" t="n">
        <f aca="false">MAX(0,C691)*a_tax</f>
        <v>0</v>
      </c>
      <c r="D692" s="36" t="n">
        <f aca="false">MAX(0,D691)*a_tax</f>
        <v>0</v>
      </c>
      <c r="E692" s="36" t="n">
        <f aca="false">MAX(0,E691)*a_tax</f>
        <v>2.9115625</v>
      </c>
      <c r="F692" s="36" t="n">
        <f aca="false">MAX(0,F691)*a_tax</f>
        <v>5.490375</v>
      </c>
      <c r="G692" s="36" t="n">
        <f aca="false">MAX(0,G691)*a_tax</f>
        <v>8.555834375</v>
      </c>
      <c r="H692" s="36" t="n">
        <f aca="false">MAX(0,H691)*a_tax</f>
        <v>12.179481875</v>
      </c>
      <c r="I692" s="36" t="n">
        <f aca="false">MAX(0,I691)*a_tax</f>
        <v>13.3974300625</v>
      </c>
      <c r="J692" s="36" t="n">
        <f aca="false">MAX(0,J691)*a_tax</f>
        <v>14.73717306875</v>
      </c>
      <c r="K692" s="36" t="n">
        <f aca="false">MAX(0,K691)*a_tax</f>
        <v>16.210890375625</v>
      </c>
      <c r="L692" s="36" t="n">
        <f aca="false">MAX(0,L691)*a_tax</f>
        <v>17.8319794131875</v>
      </c>
      <c r="M692" s="36" t="n">
        <f aca="false">MAX(0,M691)*a_tax</f>
        <v>19.6151773545063</v>
      </c>
    </row>
    <row r="693" customFormat="false" ht="15" hidden="false" customHeight="false" outlineLevel="0" collapsed="false">
      <c r="A693" s="4" t="s">
        <v>294</v>
      </c>
      <c r="C693" s="42" t="n">
        <f aca="false">cf_lim_pat</f>
        <v>0</v>
      </c>
      <c r="D693" s="41" t="n">
        <f aca="false">D691-D692</f>
        <v>-40.08125</v>
      </c>
      <c r="E693" s="41" t="n">
        <f aca="false">E691-E692</f>
        <v>8.7346875</v>
      </c>
      <c r="F693" s="41" t="n">
        <f aca="false">F691-F692</f>
        <v>16.471125</v>
      </c>
      <c r="G693" s="41" t="n">
        <f aca="false">G691-G692</f>
        <v>25.667503125</v>
      </c>
      <c r="H693" s="41" t="n">
        <f aca="false">H691-H692</f>
        <v>36.538445625</v>
      </c>
      <c r="I693" s="41" t="n">
        <f aca="false">I691-I692</f>
        <v>40.1922901875</v>
      </c>
      <c r="J693" s="41" t="n">
        <f aca="false">J691-J692</f>
        <v>44.21151920625</v>
      </c>
      <c r="K693" s="41" t="n">
        <f aca="false">K691-K692</f>
        <v>48.632671126875</v>
      </c>
      <c r="L693" s="41" t="n">
        <f aca="false">L691-L692</f>
        <v>53.4959382395625</v>
      </c>
      <c r="M693" s="41" t="n">
        <f aca="false">M691-M692</f>
        <v>58.8455320635188</v>
      </c>
    </row>
    <row r="694" customFormat="false" ht="15" hidden="false" customHeight="false" outlineLevel="0" collapsed="false">
      <c r="A694" s="9" t="s">
        <v>295</v>
      </c>
      <c r="C694" s="36" t="n">
        <f aca="false">C686*a_capex</f>
        <v>6.6</v>
      </c>
      <c r="D694" s="36" t="n">
        <f aca="false">D686*a_capex</f>
        <v>4.5375</v>
      </c>
      <c r="E694" s="36" t="n">
        <f aca="false">E686*a_capex</f>
        <v>4.99125</v>
      </c>
      <c r="F694" s="36" t="n">
        <f aca="false">F686*a_capex</f>
        <v>5.490375</v>
      </c>
      <c r="G694" s="36" t="n">
        <f aca="false">G686*a_capex</f>
        <v>6.0394125</v>
      </c>
      <c r="H694" s="36" t="n">
        <f aca="false">H686*a_capex</f>
        <v>6.64335375</v>
      </c>
      <c r="I694" s="36" t="n">
        <f aca="false">I686*a_capex</f>
        <v>7.307689125</v>
      </c>
      <c r="J694" s="36" t="n">
        <f aca="false">J686*a_capex</f>
        <v>8.0384580375</v>
      </c>
      <c r="K694" s="36" t="n">
        <f aca="false">K686*a_capex</f>
        <v>8.84230384125</v>
      </c>
      <c r="L694" s="36" t="n">
        <f aca="false">L686*a_capex</f>
        <v>9.72653422537501</v>
      </c>
      <c r="M694" s="36" t="n">
        <f aca="false">M686*a_capex</f>
        <v>10.6991876479125</v>
      </c>
    </row>
    <row r="695" customFormat="false" ht="15" hidden="false" customHeight="false" outlineLevel="0" collapsed="false">
      <c r="A695" s="9" t="s">
        <v>296</v>
      </c>
      <c r="C695" s="36" t="n">
        <f aca="false">0</f>
        <v>0</v>
      </c>
      <c r="D695" s="36" t="n">
        <f aca="false">a_wc*(D686-C686)</f>
        <v>-3.4375</v>
      </c>
      <c r="E695" s="36" t="n">
        <f aca="false">a_wc*(E686-D686)</f>
        <v>0.75625</v>
      </c>
      <c r="F695" s="36" t="n">
        <f aca="false">a_wc*(F686-E686)</f>
        <v>0.831875000000001</v>
      </c>
      <c r="G695" s="36" t="n">
        <f aca="false">a_wc*(G686-F686)</f>
        <v>0.915062500000001</v>
      </c>
      <c r="H695" s="36" t="n">
        <f aca="false">a_wc*(H686-G686)</f>
        <v>1.00656875</v>
      </c>
      <c r="I695" s="36" t="n">
        <f aca="false">a_wc*(I686-H686)</f>
        <v>1.107225625</v>
      </c>
      <c r="J695" s="36" t="n">
        <f aca="false">a_wc*(J686-I686)</f>
        <v>1.2179481875</v>
      </c>
      <c r="K695" s="36" t="n">
        <f aca="false">a_wc*(K686-J686)</f>
        <v>1.33974300625</v>
      </c>
      <c r="L695" s="36" t="n">
        <f aca="false">a_wc*(L686-K686)</f>
        <v>1.473717306875</v>
      </c>
      <c r="M695" s="36" t="n">
        <f aca="false">a_wc*(M686-L686)</f>
        <v>1.6210890375625</v>
      </c>
    </row>
    <row r="696" customFormat="false" ht="15" hidden="false" customHeight="false" outlineLevel="0" collapsed="false">
      <c r="A696" s="4" t="s">
        <v>297</v>
      </c>
      <c r="C696" s="36" t="n">
        <f aca="false">0</f>
        <v>0</v>
      </c>
      <c r="D696" s="41" t="n">
        <f aca="false">D693+D690-D694-D695</f>
        <v>-36.64375</v>
      </c>
      <c r="E696" s="41" t="n">
        <f aca="false">E693+E690-E694-E695</f>
        <v>7.9784375</v>
      </c>
      <c r="F696" s="41" t="n">
        <f aca="false">F693+F690-F694-F695</f>
        <v>15.63925</v>
      </c>
      <c r="G696" s="41" t="n">
        <f aca="false">G693+G690-G694-G695</f>
        <v>24.752440625</v>
      </c>
      <c r="H696" s="41" t="n">
        <f aca="false">H693+H690-H694-H695</f>
        <v>35.531876875</v>
      </c>
      <c r="I696" s="41" t="n">
        <f aca="false">I693+I690-I694-I695</f>
        <v>39.0850645625</v>
      </c>
      <c r="J696" s="41" t="n">
        <f aca="false">J693+J690-J694-J695</f>
        <v>42.99357101875</v>
      </c>
      <c r="K696" s="41" t="n">
        <f aca="false">K693+K690-K694-K695</f>
        <v>47.292928120625</v>
      </c>
      <c r="L696" s="41" t="n">
        <f aca="false">L693+L690-L694-L695</f>
        <v>52.0222209326875</v>
      </c>
      <c r="M696" s="41" t="n">
        <f aca="false">M693+M690-M694-M695</f>
        <v>57.2244430259563</v>
      </c>
    </row>
    <row r="698" customFormat="false" ht="15" hidden="false" customHeight="false" outlineLevel="0" collapsed="false">
      <c r="A698" s="7" t="s">
        <v>881</v>
      </c>
      <c r="B698" s="8"/>
      <c r="C698" s="8"/>
      <c r="D698" s="8"/>
      <c r="E698" s="8"/>
      <c r="F698" s="8"/>
      <c r="G698" s="8"/>
      <c r="H698" s="8"/>
      <c r="I698" s="8"/>
      <c r="J698" s="8"/>
      <c r="K698" s="8"/>
      <c r="L698" s="8"/>
      <c r="M698" s="8"/>
      <c r="N698" s="8"/>
    </row>
    <row r="699" customFormat="false" ht="15" hidden="false" customHeight="false" outlineLevel="0" collapsed="false">
      <c r="A699" s="9" t="s">
        <v>482</v>
      </c>
      <c r="C699" s="35" t="n">
        <f aca="false">lv_mix_eq/(c_price*(1-a_issue_disc))</f>
        <v>1.024</v>
      </c>
    </row>
    <row r="700" customFormat="false" ht="15" hidden="false" customHeight="false" outlineLevel="0" collapsed="false">
      <c r="A700" s="9" t="s">
        <v>449</v>
      </c>
      <c r="C700" s="35" t="n">
        <f aca="false">cf_shares+C699</f>
        <v>65.024</v>
      </c>
    </row>
    <row r="701" customFormat="false" ht="15" hidden="false" customHeight="false" outlineLevel="0" collapsed="false">
      <c r="A701" s="9" t="s">
        <v>483</v>
      </c>
      <c r="C701" s="36" t="n">
        <f aca="false">lv_mix_cash*a_yield*(1-a_tax)+lv_mix_debt*a_kd*(1-a_tax)</f>
        <v>94.5</v>
      </c>
    </row>
    <row r="702" customFormat="false" ht="15" hidden="false" customHeight="false" outlineLevel="0" collapsed="false">
      <c r="A702" s="9" t="s">
        <v>484</v>
      </c>
      <c r="C702" s="36" t="n">
        <f aca="false">lv_price*a_ppa_share/a_ppa_life*(1-a_tax)</f>
        <v>93.75</v>
      </c>
    </row>
    <row r="703" customFormat="false" ht="15" hidden="false" customHeight="false" outlineLevel="0" collapsed="false">
      <c r="A703" s="9" t="s">
        <v>485</v>
      </c>
      <c r="C703" s="36" t="n">
        <f aca="false">a_ppa_on*C702</f>
        <v>0</v>
      </c>
    </row>
    <row r="704" customFormat="false" ht="15" hidden="false" customHeight="false" outlineLevel="0" collapsed="false">
      <c r="A704" s="9" t="s">
        <v>486</v>
      </c>
      <c r="C704" s="36" t="n">
        <f aca="false">lv_price*a_fees_pct+a_integ_full</f>
        <v>160</v>
      </c>
    </row>
    <row r="705" customFormat="false" ht="15" hidden="false" customHeight="false" outlineLevel="0" collapsed="false">
      <c r="A705" s="9" t="s">
        <v>487</v>
      </c>
      <c r="C705" s="36" t="n">
        <f aca="false">0</f>
        <v>0</v>
      </c>
      <c r="D705" s="36" t="n">
        <f aca="false">a_syn_on*(a_syn_partner_rev_y3+a_syn_xsell_y3)*a_mcap*IF(D683=1,a_syn_ramp1,IF(D683=2,a_syn_ramp2,1))+a_syn_on*IF(D683&gt;=2,a_syn_cost,0)</f>
        <v>0</v>
      </c>
      <c r="E705" s="36" t="n">
        <f aca="false">a_syn_on*(a_syn_partner_rev_y3+a_syn_xsell_y3)*a_mcap*IF(E683=1,a_syn_ramp1,IF(E683=2,a_syn_ramp2,1))+a_syn_on*IF(E683&gt;=2,a_syn_cost,0)</f>
        <v>0</v>
      </c>
      <c r="F705" s="36" t="n">
        <f aca="false">a_syn_on*(a_syn_partner_rev_y3+a_syn_xsell_y3)*a_mcap*IF(F683=1,a_syn_ramp1,IF(F683=2,a_syn_ramp2,1))+a_syn_on*IF(F683&gt;=2,a_syn_cost,0)</f>
        <v>0</v>
      </c>
      <c r="G705" s="36" t="n">
        <f aca="false">a_syn_on*(a_syn_partner_rev_y3+a_syn_xsell_y3)*a_mcap*IF(G683=1,a_syn_ramp1,IF(G683=2,a_syn_ramp2,1))+a_syn_on*IF(G683&gt;=2,a_syn_cost,0)</f>
        <v>0</v>
      </c>
      <c r="H705" s="36" t="n">
        <f aca="false">a_syn_on*(a_syn_partner_rev_y3+a_syn_xsell_y3)*a_mcap*IF(H683=1,a_syn_ramp1,IF(H683=2,a_syn_ramp2,1))+a_syn_on*IF(H683&gt;=2,a_syn_cost,0)</f>
        <v>0</v>
      </c>
      <c r="I705" s="36" t="n">
        <f aca="false">a_syn_on*(a_syn_partner_rev_y3+a_syn_xsell_y3)*a_mcap*IF(I683=1,a_syn_ramp1,IF(I683=2,a_syn_ramp2,1))+a_syn_on*IF(I683&gt;=2,a_syn_cost,0)</f>
        <v>0</v>
      </c>
      <c r="J705" s="36" t="n">
        <f aca="false">a_syn_on*(a_syn_partner_rev_y3+a_syn_xsell_y3)*a_mcap*IF(J683=1,a_syn_ramp1,IF(J683=2,a_syn_ramp2,1))+a_syn_on*IF(J683&gt;=2,a_syn_cost,0)</f>
        <v>0</v>
      </c>
      <c r="K705" s="36" t="n">
        <f aca="false">a_syn_on*(a_syn_partner_rev_y3+a_syn_xsell_y3)*a_mcap*IF(K683=1,a_syn_ramp1,IF(K683=2,a_syn_ramp2,1))+a_syn_on*IF(K683&gt;=2,a_syn_cost,0)</f>
        <v>0</v>
      </c>
      <c r="L705" s="36" t="n">
        <f aca="false">a_syn_on*(a_syn_partner_rev_y3+a_syn_xsell_y3)*a_mcap*IF(L683=1,a_syn_ramp1,IF(L683=2,a_syn_ramp2,1))+a_syn_on*IF(L683&gt;=2,a_syn_cost,0)</f>
        <v>0</v>
      </c>
      <c r="M705" s="36" t="n">
        <f aca="false">a_syn_on*(a_syn_partner_rev_y3+a_syn_xsell_y3)*a_mcap*IF(M683=1,a_syn_ramp1,IF(M683=2,a_syn_ramp2,1))+a_syn_on*IF(M683&gt;=2,a_syn_cost,0)</f>
        <v>0</v>
      </c>
    </row>
    <row r="706" customFormat="false" ht="15" hidden="false" customHeight="false" outlineLevel="0" collapsed="false">
      <c r="A706" s="9" t="s">
        <v>488</v>
      </c>
      <c r="C706" s="36" t="n">
        <f aca="false">0</f>
        <v>0</v>
      </c>
      <c r="D706" s="36" t="n">
        <f aca="false">CHOOSE(Scenarios!$E$42,Scenarios!$E$41,Scenarios!$E$41*D686/cf_arr,Scenarios!$E$41*(1-a_tax))</f>
        <v>750</v>
      </c>
      <c r="E706" s="36" t="n">
        <f aca="false">CHOOSE(Scenarios!$E$42,Scenarios!$E$41,Scenarios!$E$41*E686/cf_arr,Scenarios!$E$41*(1-a_tax))</f>
        <v>750</v>
      </c>
      <c r="F706" s="36" t="n">
        <f aca="false">CHOOSE(Scenarios!$E$42,Scenarios!$E$41,Scenarios!$E$41*F686/cf_arr,Scenarios!$E$41*(1-a_tax))</f>
        <v>750</v>
      </c>
      <c r="G706" s="36" t="n">
        <f aca="false">CHOOSE(Scenarios!$E$42,Scenarios!$E$41,Scenarios!$E$41*G686/cf_arr,Scenarios!$E$41*(1-a_tax))</f>
        <v>750</v>
      </c>
      <c r="H706" s="36" t="n">
        <f aca="false">CHOOSE(Scenarios!$E$42,Scenarios!$E$41,Scenarios!$E$41*H686/cf_arr,Scenarios!$E$41*(1-a_tax))</f>
        <v>750</v>
      </c>
      <c r="I706" s="36" t="n">
        <f aca="false">CHOOSE(Scenarios!$E$42,Scenarios!$E$41,Scenarios!$E$41*I686/cf_arr,Scenarios!$E$41*(1-a_tax))</f>
        <v>750</v>
      </c>
      <c r="J706" s="36" t="n">
        <f aca="false">CHOOSE(Scenarios!$E$42,Scenarios!$E$41,Scenarios!$E$41*J686/cf_arr,Scenarios!$E$41*(1-a_tax))</f>
        <v>750</v>
      </c>
      <c r="K706" s="36" t="n">
        <f aca="false">CHOOSE(Scenarios!$E$42,Scenarios!$E$41,Scenarios!$E$41*K686/cf_arr,Scenarios!$E$41*(1-a_tax))</f>
        <v>750</v>
      </c>
      <c r="L706" s="36" t="n">
        <f aca="false">CHOOSE(Scenarios!$E$42,Scenarios!$E$41,Scenarios!$E$41*L686/cf_arr,Scenarios!$E$41*(1-a_tax))</f>
        <v>750</v>
      </c>
      <c r="M706" s="36" t="n">
        <f aca="false">CHOOSE(Scenarios!$E$42,Scenarios!$E$41,Scenarios!$E$41*M686/cf_arr,Scenarios!$E$41*(1-a_tax))</f>
        <v>750</v>
      </c>
    </row>
    <row r="707" customFormat="false" ht="15" hidden="false" customHeight="false" outlineLevel="0" collapsed="false">
      <c r="A707" s="9" t="s">
        <v>489</v>
      </c>
      <c r="C707" s="36" t="n">
        <f aca="false">0</f>
        <v>0</v>
      </c>
      <c r="D707" s="36" t="n">
        <f aca="false">IF(Scenarios!$E$42=3,Scenarios!$E$41*(1-a_tax),0)</f>
        <v>0</v>
      </c>
      <c r="E707" s="36" t="n">
        <f aca="false">IF(Scenarios!$E$42=3,Scenarios!$E$41*(1-a_tax),0)</f>
        <v>0</v>
      </c>
      <c r="F707" s="36" t="n">
        <f aca="false">IF(Scenarios!$E$42=3,Scenarios!$E$41*(1-a_tax),0)</f>
        <v>0</v>
      </c>
      <c r="G707" s="36" t="n">
        <f aca="false">IF(Scenarios!$E$42=3,Scenarios!$E$41*(1-a_tax),0)</f>
        <v>0</v>
      </c>
      <c r="H707" s="36" t="n">
        <f aca="false">IF(Scenarios!$E$42=3,Scenarios!$E$41*(1-a_tax),0)</f>
        <v>0</v>
      </c>
      <c r="I707" s="36" t="n">
        <f aca="false">IF(Scenarios!$E$42=3,Scenarios!$E$41*(1-a_tax),0)</f>
        <v>0</v>
      </c>
      <c r="J707" s="36" t="n">
        <f aca="false">IF(Scenarios!$E$42=3,Scenarios!$E$41*(1-a_tax),0)</f>
        <v>0</v>
      </c>
      <c r="K707" s="36" t="n">
        <f aca="false">IF(Scenarios!$E$42=3,Scenarios!$E$41*(1-a_tax),0)</f>
        <v>0</v>
      </c>
      <c r="L707" s="36" t="n">
        <f aca="false">IF(Scenarios!$E$42=3,Scenarios!$E$41*(1-a_tax),0)</f>
        <v>0</v>
      </c>
      <c r="M707" s="36" t="n">
        <f aca="false">IF(Scenarios!$E$42=3,Scenarios!$E$41*(1-a_tax),0)</f>
        <v>0</v>
      </c>
    </row>
    <row r="708" customFormat="false" ht="15" hidden="false" customHeight="false" outlineLevel="0" collapsed="false">
      <c r="A708" s="9" t="s">
        <v>490</v>
      </c>
      <c r="C708" s="36" t="n">
        <f aca="false">0</f>
        <v>0</v>
      </c>
      <c r="D708" s="36" t="n">
        <f aca="false">IF(Scenarios!$E$42=3,0,C708+D706)</f>
        <v>750</v>
      </c>
      <c r="E708" s="36" t="n">
        <f aca="false">IF(Scenarios!$E$42=3,0,D708+E706)</f>
        <v>1500</v>
      </c>
      <c r="F708" s="36" t="n">
        <f aca="false">IF(Scenarios!$E$42=3,0,E708+F706)</f>
        <v>2250</v>
      </c>
      <c r="G708" s="36" t="n">
        <f aca="false">IF(Scenarios!$E$42=3,0,F708+G706)</f>
        <v>3000</v>
      </c>
      <c r="H708" s="36" t="n">
        <f aca="false">IF(Scenarios!$E$42=3,0,G708+H706)</f>
        <v>3750</v>
      </c>
      <c r="I708" s="36" t="n">
        <f aca="false">IF(Scenarios!$E$42=3,0,H708+I706)</f>
        <v>4500</v>
      </c>
      <c r="J708" s="36" t="n">
        <f aca="false">IF(Scenarios!$E$42=3,0,I708+J706)</f>
        <v>5250</v>
      </c>
      <c r="K708" s="36" t="n">
        <f aca="false">IF(Scenarios!$E$42=3,0,J708+K706)</f>
        <v>6000</v>
      </c>
      <c r="L708" s="36" t="n">
        <f aca="false">IF(Scenarios!$E$42=3,0,K708+L706)</f>
        <v>6750</v>
      </c>
      <c r="M708" s="36" t="n">
        <f aca="false">IF(Scenarios!$E$42=3,0,L708+M706)</f>
        <v>7500</v>
      </c>
    </row>
    <row r="709" customFormat="false" ht="15" hidden="false" customHeight="false" outlineLevel="0" collapsed="false">
      <c r="A709" s="9" t="s">
        <v>491</v>
      </c>
      <c r="C709" s="36" t="n">
        <f aca="false">0</f>
        <v>0</v>
      </c>
      <c r="D709" s="36" t="n">
        <f aca="false">C708*a_yield*(1-a_tax)</f>
        <v>0</v>
      </c>
      <c r="E709" s="36" t="n">
        <f aca="false">D708*a_yield*(1-a_tax)</f>
        <v>33.75</v>
      </c>
      <c r="F709" s="36" t="n">
        <f aca="false">E708*a_yield*(1-a_tax)</f>
        <v>67.5</v>
      </c>
      <c r="G709" s="36" t="n">
        <f aca="false">F708*a_yield*(1-a_tax)</f>
        <v>101.25</v>
      </c>
      <c r="H709" s="36" t="n">
        <f aca="false">G708*a_yield*(1-a_tax)</f>
        <v>135</v>
      </c>
      <c r="I709" s="36" t="n">
        <f aca="false">H708*a_yield*(1-a_tax)</f>
        <v>168.75</v>
      </c>
      <c r="J709" s="36" t="n">
        <f aca="false">I708*a_yield*(1-a_tax)</f>
        <v>202.5</v>
      </c>
      <c r="K709" s="36" t="n">
        <f aca="false">J708*a_yield*(1-a_tax)</f>
        <v>236.25</v>
      </c>
      <c r="L709" s="36" t="n">
        <f aca="false">K708*a_yield*(1-a_tax)</f>
        <v>270</v>
      </c>
      <c r="M709" s="36" t="n">
        <f aca="false">L708*a_yield*(1-a_tax)</f>
        <v>303.75</v>
      </c>
    </row>
    <row r="710" customFormat="false" ht="15" hidden="false" customHeight="false" outlineLevel="0" collapsed="false">
      <c r="A710" s="9" t="s">
        <v>492</v>
      </c>
      <c r="C710" s="36" t="n">
        <f aca="false">cf_pat</f>
        <v>480</v>
      </c>
      <c r="D710" s="36" t="n">
        <f aca="false">cf_pat*(1+a_pat_growth)^D683</f>
        <v>480</v>
      </c>
      <c r="E710" s="36" t="n">
        <f aca="false">cf_pat*(1+a_pat_growth)^E683</f>
        <v>480</v>
      </c>
      <c r="F710" s="36" t="n">
        <f aca="false">cf_pat*(1+a_pat_growth)^F683</f>
        <v>480</v>
      </c>
      <c r="G710" s="36" t="n">
        <f aca="false">cf_pat*(1+a_pat_growth)^G683</f>
        <v>480</v>
      </c>
      <c r="H710" s="36" t="n">
        <f aca="false">cf_pat*(1+a_pat_growth)^H683</f>
        <v>480</v>
      </c>
      <c r="I710" s="36" t="n">
        <f aca="false">cf_pat*(1+a_pat_growth)^I683</f>
        <v>480</v>
      </c>
      <c r="J710" s="36" t="n">
        <f aca="false">cf_pat*(1+a_pat_growth)^J683</f>
        <v>480</v>
      </c>
      <c r="K710" s="36" t="n">
        <f aca="false">cf_pat*(1+a_pat_growth)^K683</f>
        <v>480</v>
      </c>
      <c r="L710" s="36" t="n">
        <f aca="false">cf_pat*(1+a_pat_growth)^L683</f>
        <v>480</v>
      </c>
      <c r="M710" s="36" t="n">
        <f aca="false">cf_pat*(1+a_pat_growth)^M683</f>
        <v>480</v>
      </c>
    </row>
    <row r="711" customFormat="false" ht="15" hidden="false" customHeight="false" outlineLevel="0" collapsed="false">
      <c r="A711" s="9" t="s">
        <v>493</v>
      </c>
      <c r="C711" s="36" t="n">
        <f aca="false">0</f>
        <v>0</v>
      </c>
      <c r="D711" s="36" t="n">
        <f aca="false">cf_mdr*a_mdr_flow*(1-a_tax)</f>
        <v>69</v>
      </c>
      <c r="E711" s="36" t="n">
        <f aca="false">cf_mdr*a_mdr_flow*(1-a_tax)</f>
        <v>69</v>
      </c>
      <c r="F711" s="36" t="n">
        <f aca="false">cf_mdr*a_mdr_flow*(1-a_tax)</f>
        <v>69</v>
      </c>
      <c r="G711" s="36" t="n">
        <f aca="false">cf_mdr*a_mdr_flow*(1-a_tax)</f>
        <v>69</v>
      </c>
      <c r="H711" s="36" t="n">
        <f aca="false">cf_mdr*a_mdr_flow*(1-a_tax)</f>
        <v>69</v>
      </c>
      <c r="I711" s="36" t="n">
        <f aca="false">cf_mdr*a_mdr_flow*(1-a_tax)</f>
        <v>69</v>
      </c>
      <c r="J711" s="36" t="n">
        <f aca="false">cf_mdr*a_mdr_flow*(1-a_tax)</f>
        <v>69</v>
      </c>
      <c r="K711" s="36" t="n">
        <f aca="false">cf_mdr*a_mdr_flow*(1-a_tax)</f>
        <v>69</v>
      </c>
      <c r="L711" s="36" t="n">
        <f aca="false">cf_mdr*a_mdr_flow*(1-a_tax)</f>
        <v>69</v>
      </c>
      <c r="M711" s="36" t="n">
        <f aca="false">cf_mdr*a_mdr_flow*(1-a_tax)</f>
        <v>69</v>
      </c>
    </row>
    <row r="712" customFormat="false" ht="15" hidden="false" customHeight="false" outlineLevel="0" collapsed="false">
      <c r="A712" s="9" t="s">
        <v>494</v>
      </c>
      <c r="C712" s="50" t="n">
        <f aca="false">cf_eps</f>
        <v>7.5</v>
      </c>
      <c r="D712" s="50" t="n">
        <f aca="false">D710/cf_shares</f>
        <v>7.5</v>
      </c>
      <c r="E712" s="50" t="n">
        <f aca="false">E710/cf_shares</f>
        <v>7.5</v>
      </c>
      <c r="F712" s="50" t="n">
        <f aca="false">F710/cf_shares</f>
        <v>7.5</v>
      </c>
      <c r="G712" s="50" t="n">
        <f aca="false">G710/cf_shares</f>
        <v>7.5</v>
      </c>
      <c r="H712" s="50" t="n">
        <f aca="false">H710/cf_shares</f>
        <v>7.5</v>
      </c>
      <c r="I712" s="50" t="n">
        <f aca="false">I710/cf_shares</f>
        <v>7.5</v>
      </c>
      <c r="J712" s="50" t="n">
        <f aca="false">J710/cf_shares</f>
        <v>7.5</v>
      </c>
      <c r="K712" s="50" t="n">
        <f aca="false">K710/cf_shares</f>
        <v>7.5</v>
      </c>
      <c r="L712" s="50" t="n">
        <f aca="false">L710/cf_shares</f>
        <v>7.5</v>
      </c>
      <c r="M712" s="50" t="n">
        <f aca="false">M710/cf_shares</f>
        <v>7.5</v>
      </c>
    </row>
    <row r="713" customFormat="false" ht="15" hidden="false" customHeight="false" outlineLevel="0" collapsed="false">
      <c r="A713" s="9" t="s">
        <v>495</v>
      </c>
      <c r="C713" s="50" t="n">
        <f aca="false">cf_eps</f>
        <v>7.5</v>
      </c>
      <c r="D713" s="50" t="n">
        <f aca="false">(D710+D711)/cf_shares</f>
        <v>8.578125</v>
      </c>
      <c r="E713" s="50" t="n">
        <f aca="false">(E710+E711)/cf_shares</f>
        <v>8.578125</v>
      </c>
      <c r="F713" s="50" t="n">
        <f aca="false">(F710+F711)/cf_shares</f>
        <v>8.578125</v>
      </c>
      <c r="G713" s="50" t="n">
        <f aca="false">(G710+G711)/cf_shares</f>
        <v>8.578125</v>
      </c>
      <c r="H713" s="50" t="n">
        <f aca="false">(H710+H711)/cf_shares</f>
        <v>8.578125</v>
      </c>
      <c r="I713" s="50" t="n">
        <f aca="false">(I710+I711)/cf_shares</f>
        <v>8.578125</v>
      </c>
      <c r="J713" s="50" t="n">
        <f aca="false">(J710+J711)/cf_shares</f>
        <v>8.578125</v>
      </c>
      <c r="K713" s="50" t="n">
        <f aca="false">(K710+K711)/cf_shares</f>
        <v>8.578125</v>
      </c>
      <c r="L713" s="50" t="n">
        <f aca="false">(L710+L711)/cf_shares</f>
        <v>8.578125</v>
      </c>
      <c r="M713" s="50" t="n">
        <f aca="false">(M710+M711)/cf_shares</f>
        <v>8.578125</v>
      </c>
    </row>
    <row r="714" customFormat="false" ht="15" hidden="false" customHeight="false" outlineLevel="0" collapsed="false">
      <c r="A714" s="4" t="s">
        <v>496</v>
      </c>
      <c r="C714" s="41" t="n">
        <f aca="false">-C701-C703</f>
        <v>-94.5</v>
      </c>
      <c r="D714" s="41" t="n">
        <f aca="false">D693+D705*(1-a_tax)-C701-C703-D707-D709</f>
        <v>-134.58125</v>
      </c>
      <c r="E714" s="41" t="n">
        <f aca="false">E693+E705*(1-a_tax)-C701-C703-E707-E709</f>
        <v>-119.5153125</v>
      </c>
      <c r="F714" s="41" t="n">
        <f aca="false">F693+F705*(1-a_tax)-C701-C703-F707-F709</f>
        <v>-145.528875</v>
      </c>
      <c r="G714" s="41" t="n">
        <f aca="false">G693+G705*(1-a_tax)-C701-C703-G707-G709</f>
        <v>-170.082496875</v>
      </c>
      <c r="H714" s="41" t="n">
        <f aca="false">H693+H705*(1-a_tax)-C701-C703-H707-H709</f>
        <v>-192.961554375</v>
      </c>
      <c r="I714" s="41" t="n">
        <f aca="false">I693+I705*(1-a_tax)-C701-C703-I707-I709</f>
        <v>-223.0577098125</v>
      </c>
      <c r="J714" s="41" t="n">
        <f aca="false">J693+J705*(1-a_tax)-C701-C703-J707-J709</f>
        <v>-252.78848079375</v>
      </c>
      <c r="K714" s="41" t="n">
        <f aca="false">K693+K705*(1-a_tax)-C701-C703-K707-K709</f>
        <v>-282.117328873125</v>
      </c>
      <c r="L714" s="41" t="n">
        <f aca="false">L693+L705*(1-a_tax)-C701-C703-L707-L709</f>
        <v>-311.004061760438</v>
      </c>
      <c r="M714" s="41" t="n">
        <f aca="false">M693+M705*(1-a_tax)-C701-C703-M707-M709</f>
        <v>-339.404467936481</v>
      </c>
    </row>
    <row r="715" customFormat="false" ht="15" hidden="false" customHeight="false" outlineLevel="0" collapsed="false">
      <c r="A715" s="9" t="s">
        <v>497</v>
      </c>
      <c r="C715" s="36" t="n">
        <f aca="false">C710+C714</f>
        <v>385.5</v>
      </c>
      <c r="D715" s="36" t="n">
        <f aca="false">D710+D714</f>
        <v>345.41875</v>
      </c>
      <c r="E715" s="36" t="n">
        <f aca="false">E710+E714</f>
        <v>360.4846875</v>
      </c>
      <c r="F715" s="36" t="n">
        <f aca="false">F710+F714</f>
        <v>334.471125</v>
      </c>
      <c r="G715" s="36" t="n">
        <f aca="false">G710+G714</f>
        <v>309.917503125</v>
      </c>
      <c r="H715" s="36" t="n">
        <f aca="false">H710+H714</f>
        <v>287.038445625</v>
      </c>
      <c r="I715" s="36" t="n">
        <f aca="false">I710+I714</f>
        <v>256.9422901875</v>
      </c>
      <c r="J715" s="36" t="n">
        <f aca="false">J710+J714</f>
        <v>227.21151920625</v>
      </c>
      <c r="K715" s="36" t="n">
        <f aca="false">K710+K714</f>
        <v>197.882671126875</v>
      </c>
      <c r="L715" s="36" t="n">
        <f aca="false">L710+L714</f>
        <v>168.995938239563</v>
      </c>
      <c r="M715" s="36" t="n">
        <f aca="false">M710+M714</f>
        <v>140.595532063519</v>
      </c>
    </row>
    <row r="716" customFormat="false" ht="15" hidden="false" customHeight="false" outlineLevel="0" collapsed="false">
      <c r="A716" s="4" t="s">
        <v>498</v>
      </c>
      <c r="C716" s="48" t="n">
        <f aca="false">C715/C700</f>
        <v>5.92858021653543</v>
      </c>
      <c r="D716" s="48" t="n">
        <f aca="false">D715/C700</f>
        <v>5.31217319758858</v>
      </c>
      <c r="E716" s="48" t="n">
        <f aca="false">E715/C700</f>
        <v>5.54387130136565</v>
      </c>
      <c r="F716" s="48" t="n">
        <f aca="false">F715/C700</f>
        <v>5.14381036232776</v>
      </c>
      <c r="G716" s="48" t="n">
        <f aca="false">G715/C700</f>
        <v>4.76620175819697</v>
      </c>
      <c r="H716" s="48" t="n">
        <f aca="false">H715/C700</f>
        <v>4.41434617410495</v>
      </c>
      <c r="I716" s="48" t="n">
        <f aca="false">I715/C700</f>
        <v>3.95149929545245</v>
      </c>
      <c r="J716" s="48" t="n">
        <f aca="false">J715/C700</f>
        <v>3.49427164133628</v>
      </c>
      <c r="K716" s="48" t="n">
        <f aca="false">K715/C700</f>
        <v>3.04322513421006</v>
      </c>
      <c r="L716" s="48" t="n">
        <f aca="false">L715/C700</f>
        <v>2.5989778887728</v>
      </c>
      <c r="M716" s="48" t="n">
        <f aca="false">M715/C700</f>
        <v>2.16220983119339</v>
      </c>
    </row>
    <row r="717" customFormat="false" ht="15" hidden="false" customHeight="false" outlineLevel="0" collapsed="false">
      <c r="A717" s="4" t="s">
        <v>499</v>
      </c>
      <c r="C717" s="14" t="n">
        <f aca="false">C716/cf_eps-1</f>
        <v>-0.209522637795276</v>
      </c>
      <c r="D717" s="14" t="n">
        <f aca="false">D716/cf_eps-1</f>
        <v>-0.291710240321522</v>
      </c>
      <c r="E717" s="14" t="n">
        <f aca="false">E716/cf_eps-1</f>
        <v>-0.260817159817913</v>
      </c>
      <c r="F717" s="14" t="n">
        <f aca="false">F716/cf_eps-1</f>
        <v>-0.314158618356299</v>
      </c>
      <c r="G717" s="14" t="n">
        <f aca="false">G716/cf_eps-1</f>
        <v>-0.364506432240404</v>
      </c>
      <c r="H717" s="14" t="n">
        <f aca="false">H716/cf_eps-1</f>
        <v>-0.411420510119341</v>
      </c>
      <c r="I717" s="14" t="n">
        <f aca="false">I716/cf_eps-1</f>
        <v>-0.473133427273007</v>
      </c>
      <c r="J717" s="14" t="n">
        <f aca="false">J716/cf_eps-1</f>
        <v>-0.534097114488497</v>
      </c>
      <c r="K717" s="14" t="n">
        <f aca="false">K716/cf_eps-1</f>
        <v>-0.594236648771992</v>
      </c>
      <c r="L717" s="14" t="n">
        <f aca="false">L716/cf_eps-1</f>
        <v>-0.653469614830293</v>
      </c>
      <c r="M717" s="14" t="n">
        <f aca="false">M716/cf_eps-1</f>
        <v>-0.711705355840882</v>
      </c>
    </row>
    <row r="718" customFormat="false" ht="15" hidden="false" customHeight="false" outlineLevel="0" collapsed="false">
      <c r="A718" s="9" t="s">
        <v>500</v>
      </c>
      <c r="C718" s="50" t="n">
        <f aca="false">C716</f>
        <v>5.92858021653543</v>
      </c>
      <c r="D718" s="50" t="n">
        <f aca="false">(D715+D711)/C700</f>
        <v>6.37331985113189</v>
      </c>
      <c r="E718" s="50" t="n">
        <f aca="false">(E715+E711)/C700</f>
        <v>6.60501795490896</v>
      </c>
      <c r="F718" s="50" t="n">
        <f aca="false">(F715+F711)/C700</f>
        <v>6.20495701587106</v>
      </c>
      <c r="G718" s="50" t="n">
        <f aca="false">(G715+G711)/C700</f>
        <v>5.82734841174028</v>
      </c>
      <c r="H718" s="50" t="n">
        <f aca="false">(H715+H711)/C700</f>
        <v>5.47549282764825</v>
      </c>
      <c r="I718" s="50" t="n">
        <f aca="false">(I715+I711)/C700</f>
        <v>5.01264594899576</v>
      </c>
      <c r="J718" s="50" t="n">
        <f aca="false">(J715+J711)/C700</f>
        <v>4.55541829487958</v>
      </c>
      <c r="K718" s="50" t="n">
        <f aca="false">(K715+K711)/C700</f>
        <v>4.10437178775337</v>
      </c>
      <c r="L718" s="50" t="n">
        <f aca="false">(L715+L711)/C700</f>
        <v>3.66012454231611</v>
      </c>
      <c r="M718" s="50" t="n">
        <f aca="false">(M715+M711)/C700</f>
        <v>3.22335648473669</v>
      </c>
    </row>
    <row r="719" customFormat="false" ht="15" hidden="false" customHeight="false" outlineLevel="0" collapsed="false">
      <c r="A719" s="9" t="s">
        <v>501</v>
      </c>
      <c r="C719" s="18" t="n">
        <f aca="false">C717</f>
        <v>-0.209522637795276</v>
      </c>
      <c r="D719" s="18" t="n">
        <f aca="false">D718/D713-1</f>
        <v>-0.25702646544182</v>
      </c>
      <c r="E719" s="18" t="n">
        <f aca="false">E718/E713-1</f>
        <v>-0.230016121832107</v>
      </c>
      <c r="F719" s="18" t="n">
        <f aca="false">F718/F713-1</f>
        <v>-0.276653462630696</v>
      </c>
      <c r="G719" s="18" t="n">
        <f aca="false">G718/G713-1</f>
        <v>-0.320673409196033</v>
      </c>
      <c r="H719" s="18" t="n">
        <f aca="false">H718/H713-1</f>
        <v>-0.36169118220494</v>
      </c>
      <c r="I719" s="18" t="n">
        <f aca="false">I718/I713-1</f>
        <v>-0.415647831082462</v>
      </c>
      <c r="J719" s="18" t="n">
        <f aca="false">J718/J713-1</f>
        <v>-0.468949415533163</v>
      </c>
      <c r="K719" s="18" t="n">
        <f aca="false">K718/K713-1</f>
        <v>-0.521530429114361</v>
      </c>
      <c r="L719" s="18" t="n">
        <f aca="false">L718/L713-1</f>
        <v>-0.573318814739106</v>
      </c>
      <c r="M719" s="18" t="n">
        <f aca="false">M718/M713-1</f>
        <v>-0.624235309611751</v>
      </c>
    </row>
    <row r="720" customFormat="false" ht="15" hidden="false" customHeight="false" outlineLevel="0" collapsed="false">
      <c r="A720" s="9" t="s">
        <v>502</v>
      </c>
      <c r="C720" s="50" t="n">
        <f aca="false">(C715+C703)/C700</f>
        <v>5.92858021653543</v>
      </c>
      <c r="D720" s="50" t="n">
        <f aca="false">(D715+C703)/C700</f>
        <v>5.31217319758858</v>
      </c>
      <c r="E720" s="50" t="n">
        <f aca="false">(E715+C703)/C700</f>
        <v>5.54387130136565</v>
      </c>
      <c r="F720" s="50" t="n">
        <f aca="false">(F715+C703)/C700</f>
        <v>5.14381036232776</v>
      </c>
      <c r="G720" s="50" t="n">
        <f aca="false">(G715+C703)/C700</f>
        <v>4.76620175819697</v>
      </c>
      <c r="H720" s="50" t="n">
        <f aca="false">(H715+C703)/C700</f>
        <v>4.41434617410495</v>
      </c>
      <c r="I720" s="50" t="n">
        <f aca="false">(I715+C703)/C700</f>
        <v>3.95149929545245</v>
      </c>
      <c r="J720" s="50" t="n">
        <f aca="false">(J715+C703)/C700</f>
        <v>3.49427164133628</v>
      </c>
      <c r="K720" s="50" t="n">
        <f aca="false">(K715+C703)/C700</f>
        <v>3.04322513421006</v>
      </c>
      <c r="L720" s="50" t="n">
        <f aca="false">(L715+C703)/C700</f>
        <v>2.5989778887728</v>
      </c>
      <c r="M720" s="50" t="n">
        <f aca="false">(M715+C703)/C700</f>
        <v>2.16220983119339</v>
      </c>
    </row>
    <row r="721" customFormat="false" ht="15" hidden="false" customHeight="false" outlineLevel="0" collapsed="false">
      <c r="A721" s="9" t="s">
        <v>503</v>
      </c>
      <c r="C721" s="50" t="n">
        <f aca="false">(C715-C702+C703)/C700</f>
        <v>4.48680487204724</v>
      </c>
      <c r="D721" s="50" t="n">
        <f aca="false">(D715-C702+C703)/C700</f>
        <v>3.87039785310039</v>
      </c>
      <c r="E721" s="50" t="n">
        <f aca="false">(E715-C702+C703)/C700</f>
        <v>4.10209595687746</v>
      </c>
      <c r="F721" s="50" t="n">
        <f aca="false">(F715-C702+C703)/C700</f>
        <v>3.70203501783957</v>
      </c>
      <c r="G721" s="50" t="n">
        <f aca="false">(G715-C702+C703)/C700</f>
        <v>3.32442641370878</v>
      </c>
      <c r="H721" s="50" t="n">
        <f aca="false">(H715-C702+C703)/C700</f>
        <v>2.97257082961676</v>
      </c>
      <c r="I721" s="50" t="n">
        <f aca="false">(I715-C702+C703)/C700</f>
        <v>2.50972395096426</v>
      </c>
      <c r="J721" s="50" t="n">
        <f aca="false">(J715-C702+C703)/C700</f>
        <v>2.05249629684809</v>
      </c>
      <c r="K721" s="50" t="n">
        <f aca="false">(K715-C702+C703)/C700</f>
        <v>1.60144978972187</v>
      </c>
      <c r="L721" s="50" t="n">
        <f aca="false">(L715-C702+C703)/C700</f>
        <v>1.15720254428461</v>
      </c>
      <c r="M721" s="50" t="n">
        <f aca="false">(M715-C702+C703)/C700</f>
        <v>0.720434486705198</v>
      </c>
    </row>
    <row r="722" customFormat="false" ht="15" hidden="false" customHeight="false" outlineLevel="0" collapsed="false">
      <c r="A722" s="9" t="s">
        <v>504</v>
      </c>
      <c r="C722" s="50" t="n">
        <f aca="false">C710/C700</f>
        <v>7.38188976377953</v>
      </c>
      <c r="D722" s="50" t="n">
        <f aca="false">D710/C700</f>
        <v>7.38188976377953</v>
      </c>
      <c r="E722" s="50" t="n">
        <f aca="false">E710/C700</f>
        <v>7.38188976377953</v>
      </c>
      <c r="F722" s="50" t="n">
        <f aca="false">F710/C700</f>
        <v>7.38188976377953</v>
      </c>
      <c r="G722" s="50" t="n">
        <f aca="false">G710/C700</f>
        <v>7.38188976377953</v>
      </c>
      <c r="H722" s="50" t="n">
        <f aca="false">H710/C700</f>
        <v>7.38188976377953</v>
      </c>
      <c r="I722" s="50" t="n">
        <f aca="false">I710/C700</f>
        <v>7.38188976377953</v>
      </c>
      <c r="J722" s="50" t="n">
        <f aca="false">J710/C700</f>
        <v>7.38188976377953</v>
      </c>
      <c r="K722" s="50" t="n">
        <f aca="false">K710/C700</f>
        <v>7.38188976377953</v>
      </c>
      <c r="L722" s="50" t="n">
        <f aca="false">L710/C700</f>
        <v>7.38188976377953</v>
      </c>
      <c r="M722" s="50" t="n">
        <f aca="false">M710/C700</f>
        <v>7.38188976377953</v>
      </c>
    </row>
    <row r="723" customFormat="false" ht="15" hidden="false" customHeight="false" outlineLevel="0" collapsed="false">
      <c r="A723" s="9" t="s">
        <v>505</v>
      </c>
      <c r="D723" s="36" t="n">
        <f aca="false">D696+D705*(1-a_tax)-D706-IF(D683=1,C704,0)</f>
        <v>-946.64375</v>
      </c>
      <c r="E723" s="36" t="n">
        <f aca="false">E696+E705*(1-a_tax)-E706-IF(E683=1,C704,0)</f>
        <v>-742.0215625</v>
      </c>
      <c r="F723" s="36" t="n">
        <f aca="false">F696+F705*(1-a_tax)-F706-IF(F683=1,C704,0)</f>
        <v>-734.36075</v>
      </c>
      <c r="G723" s="36" t="n">
        <f aca="false">G696+G705*(1-a_tax)-G706-IF(G683=1,C704,0)</f>
        <v>-725.247559375</v>
      </c>
      <c r="H723" s="36" t="n">
        <f aca="false">H696+H705*(1-a_tax)-H706-IF(H683=1,C704,0)</f>
        <v>-714.468123125</v>
      </c>
      <c r="I723" s="36" t="n">
        <f aca="false">I696+I705*(1-a_tax)-I706-IF(I683=1,C704,0)</f>
        <v>-710.9149354375</v>
      </c>
      <c r="J723" s="36" t="n">
        <f aca="false">J696+J705*(1-a_tax)-J706-IF(J683=1,C704,0)</f>
        <v>-707.00642898125</v>
      </c>
      <c r="K723" s="36" t="n">
        <f aca="false">K696+K705*(1-a_tax)-K706-IF(K683=1,C704,0)</f>
        <v>-702.707071879375</v>
      </c>
      <c r="L723" s="36" t="n">
        <f aca="false">L696+L705*(1-a_tax)-L706-IF(L683=1,C704,0)</f>
        <v>-697.977779067312</v>
      </c>
      <c r="M723" s="36" t="n">
        <f aca="false">M696+M705*(1-a_tax)-M706-IF(M683=1,C704,0)</f>
        <v>-692.775556974044</v>
      </c>
    </row>
    <row r="724" customFormat="false" ht="15" hidden="false" customHeight="false" outlineLevel="0" collapsed="false">
      <c r="A724" s="4" t="s">
        <v>506</v>
      </c>
      <c r="D724" s="41" t="n">
        <f aca="false">D723-C701</f>
        <v>-1041.14375</v>
      </c>
      <c r="E724" s="41" t="n">
        <f aca="false">E723-C701</f>
        <v>-836.5215625</v>
      </c>
      <c r="F724" s="41" t="n">
        <f aca="false">F723-C701</f>
        <v>-828.86075</v>
      </c>
      <c r="G724" s="41" t="n">
        <f aca="false">G723-C701</f>
        <v>-819.747559375</v>
      </c>
      <c r="H724" s="41" t="n">
        <f aca="false">H723-C701</f>
        <v>-808.968123125</v>
      </c>
      <c r="I724" s="41" t="n">
        <f aca="false">I723-C701</f>
        <v>-805.4149354375</v>
      </c>
      <c r="J724" s="41" t="n">
        <f aca="false">J723-C701</f>
        <v>-801.50642898125</v>
      </c>
      <c r="K724" s="41" t="n">
        <f aca="false">K723-C701</f>
        <v>-797.207071879375</v>
      </c>
      <c r="L724" s="41" t="n">
        <f aca="false">L723-C701</f>
        <v>-792.477779067312</v>
      </c>
      <c r="M724" s="41" t="n">
        <f aca="false">M723-C701</f>
        <v>-787.275556974044</v>
      </c>
    </row>
    <row r="725" customFormat="false" ht="15" hidden="false" customHeight="false" outlineLevel="0" collapsed="false">
      <c r="A725" s="9" t="s">
        <v>507</v>
      </c>
      <c r="C725" s="36" t="n">
        <f aca="false">0</f>
        <v>0</v>
      </c>
      <c r="D725" s="36" t="n">
        <f aca="false">D711</f>
        <v>69</v>
      </c>
      <c r="E725" s="36" t="n">
        <f aca="false">E711</f>
        <v>69</v>
      </c>
      <c r="F725" s="36" t="n">
        <f aca="false">F711</f>
        <v>69</v>
      </c>
      <c r="G725" s="36" t="n">
        <f aca="false">G711</f>
        <v>69</v>
      </c>
      <c r="H725" s="36" t="n">
        <f aca="false">H711</f>
        <v>69</v>
      </c>
      <c r="I725" s="36" t="n">
        <f aca="false">I711</f>
        <v>69</v>
      </c>
      <c r="J725" s="36" t="n">
        <f aca="false">J711</f>
        <v>69</v>
      </c>
      <c r="K725" s="36" t="n">
        <f aca="false">K711</f>
        <v>69</v>
      </c>
      <c r="L725" s="36" t="n">
        <f aca="false">L711</f>
        <v>69</v>
      </c>
      <c r="M725" s="36" t="n">
        <f aca="false">M711</f>
        <v>69</v>
      </c>
    </row>
    <row r="726" customFormat="false" ht="15" hidden="false" customHeight="false" outlineLevel="0" collapsed="false">
      <c r="A726" s="9" t="s">
        <v>508</v>
      </c>
      <c r="D726" s="36" t="n">
        <f aca="false">D724+D725</f>
        <v>-972.14375</v>
      </c>
      <c r="E726" s="36" t="n">
        <f aca="false">E724+E725</f>
        <v>-767.5215625</v>
      </c>
      <c r="F726" s="36" t="n">
        <f aca="false">F724+F725</f>
        <v>-759.86075</v>
      </c>
      <c r="G726" s="36" t="n">
        <f aca="false">G724+G725</f>
        <v>-750.747559375</v>
      </c>
      <c r="H726" s="36" t="n">
        <f aca="false">H724+H725</f>
        <v>-739.968123125</v>
      </c>
      <c r="I726" s="36" t="n">
        <f aca="false">I724+I725</f>
        <v>-736.4149354375</v>
      </c>
      <c r="J726" s="36" t="n">
        <f aca="false">J724+J725</f>
        <v>-732.50642898125</v>
      </c>
      <c r="K726" s="36" t="n">
        <f aca="false">K724+K725</f>
        <v>-728.207071879375</v>
      </c>
      <c r="L726" s="36" t="n">
        <f aca="false">L724+L725</f>
        <v>-723.477779067312</v>
      </c>
      <c r="M726" s="36" t="n">
        <f aca="false">M724+M725</f>
        <v>-718.275556974044</v>
      </c>
    </row>
    <row r="727" customFormat="false" ht="15" hidden="false" customHeight="false" outlineLevel="0" collapsed="false">
      <c r="A727" s="9" t="s">
        <v>509</v>
      </c>
      <c r="D727" s="36" t="n">
        <f aca="false">IF(lv_mdr_in_deal=1,D726,D724)</f>
        <v>-1041.14375</v>
      </c>
      <c r="E727" s="36" t="n">
        <f aca="false">IF(lv_mdr_in_deal=1,E726,E724)</f>
        <v>-836.5215625</v>
      </c>
      <c r="F727" s="36" t="n">
        <f aca="false">IF(lv_mdr_in_deal=1,F726,F724)</f>
        <v>-828.86075</v>
      </c>
      <c r="G727" s="36" t="n">
        <f aca="false">IF(lv_mdr_in_deal=1,G726,G724)</f>
        <v>-819.747559375</v>
      </c>
      <c r="H727" s="36" t="n">
        <f aca="false">IF(lv_mdr_in_deal=1,H726,H724)</f>
        <v>-808.968123125</v>
      </c>
      <c r="I727" s="36" t="n">
        <f aca="false">IF(lv_mdr_in_deal=1,I726,I724)</f>
        <v>-805.4149354375</v>
      </c>
      <c r="J727" s="36" t="n">
        <f aca="false">IF(lv_mdr_in_deal=1,J726,J724)</f>
        <v>-801.50642898125</v>
      </c>
      <c r="K727" s="36" t="n">
        <f aca="false">IF(lv_mdr_in_deal=1,K726,K724)</f>
        <v>-797.207071879375</v>
      </c>
      <c r="L727" s="36" t="n">
        <f aca="false">IF(lv_mdr_in_deal=1,L726,L724)</f>
        <v>-792.477779067312</v>
      </c>
      <c r="M727" s="36" t="n">
        <f aca="false">IF(lv_mdr_in_deal=1,M726,M724)</f>
        <v>-787.275556974044</v>
      </c>
    </row>
    <row r="728" customFormat="false" ht="15" hidden="false" customHeight="false" outlineLevel="0" collapsed="false">
      <c r="A728" s="9" t="s">
        <v>510</v>
      </c>
      <c r="C728" s="36" t="n">
        <f aca="false">-lv_price</f>
        <v>-4000</v>
      </c>
      <c r="D728" s="36" t="n">
        <f aca="false">C728+D727</f>
        <v>-5041.14375</v>
      </c>
      <c r="E728" s="36" t="n">
        <f aca="false">D728+E727</f>
        <v>-5877.6653125</v>
      </c>
      <c r="F728" s="36" t="n">
        <f aca="false">E728+F727</f>
        <v>-6706.5260625</v>
      </c>
      <c r="G728" s="36" t="n">
        <f aca="false">F728+G727</f>
        <v>-7526.273621875</v>
      </c>
      <c r="H728" s="36" t="n">
        <f aca="false">G728+H727</f>
        <v>-8335.241745</v>
      </c>
      <c r="I728" s="36" t="n">
        <f aca="false">H728+I727</f>
        <v>-9140.6566804375</v>
      </c>
      <c r="J728" s="36" t="n">
        <f aca="false">I728+J727</f>
        <v>-9942.16310941875</v>
      </c>
      <c r="K728" s="36" t="n">
        <f aca="false">J728+K727</f>
        <v>-10739.3701812981</v>
      </c>
      <c r="L728" s="36" t="n">
        <f aca="false">K728+L727</f>
        <v>-11531.8479603654</v>
      </c>
      <c r="M728" s="36" t="n">
        <f aca="false">L728+M727</f>
        <v>-12319.1235173395</v>
      </c>
    </row>
    <row r="729" customFormat="false" ht="15" hidden="false" customHeight="false" outlineLevel="0" collapsed="false">
      <c r="A729" s="9" t="s">
        <v>511</v>
      </c>
      <c r="C729" s="43" t="n">
        <f aca="false">1</f>
        <v>1</v>
      </c>
      <c r="D729" s="43" t="n">
        <f aca="false">1/(1+Scenarios!$E$43)^D683</f>
        <v>0.884955752212389</v>
      </c>
      <c r="E729" s="43" t="n">
        <f aca="false">1/(1+Scenarios!$E$43)^E683</f>
        <v>0.783146683373796</v>
      </c>
      <c r="F729" s="43" t="n">
        <f aca="false">1/(1+Scenarios!$E$43)^F683</f>
        <v>0.693050162277696</v>
      </c>
      <c r="G729" s="43" t="n">
        <f aca="false">1/(1+Scenarios!$E$43)^G683</f>
        <v>0.613318727679377</v>
      </c>
      <c r="H729" s="43" t="n">
        <f aca="false">1/(1+Scenarios!$E$43)^H683</f>
        <v>0.542759935999449</v>
      </c>
      <c r="I729" s="43" t="n">
        <f aca="false">1/(1+Scenarios!$E$43)^I683</f>
        <v>0.48031852743314</v>
      </c>
      <c r="J729" s="43" t="n">
        <f aca="false">1/(1+Scenarios!$E$43)^J683</f>
        <v>0.425060643746142</v>
      </c>
      <c r="K729" s="43" t="n">
        <f aca="false">1/(1+Scenarios!$E$43)^K683</f>
        <v>0.37615986172225</v>
      </c>
      <c r="L729" s="43" t="n">
        <f aca="false">1/(1+Scenarios!$E$43)^L683</f>
        <v>0.332884833382522</v>
      </c>
      <c r="M729" s="43" t="n">
        <f aca="false">1/(1+Scenarios!$E$43)^M683</f>
        <v>0.294588348126126</v>
      </c>
    </row>
    <row r="730" customFormat="false" ht="15" hidden="false" customHeight="false" outlineLevel="0" collapsed="false">
      <c r="A730" s="9" t="s">
        <v>512</v>
      </c>
      <c r="C730" s="46" t="n">
        <f aca="false">99</f>
        <v>99</v>
      </c>
      <c r="D730" s="46" t="n">
        <f aca="false">IF(D714&gt;=0,D683,99)</f>
        <v>99</v>
      </c>
      <c r="E730" s="46" t="n">
        <f aca="false">IF(E714&gt;=0,E683,99)</f>
        <v>99</v>
      </c>
      <c r="F730" s="46" t="n">
        <f aca="false">IF(F714&gt;=0,F683,99)</f>
        <v>99</v>
      </c>
      <c r="G730" s="46" t="n">
        <f aca="false">IF(G714&gt;=0,G683,99)</f>
        <v>99</v>
      </c>
      <c r="H730" s="46" t="n">
        <f aca="false">IF(H714&gt;=0,H683,99)</f>
        <v>99</v>
      </c>
      <c r="I730" s="46" t="n">
        <f aca="false">IF(I714&gt;=0,I683,99)</f>
        <v>99</v>
      </c>
      <c r="J730" s="46" t="n">
        <f aca="false">IF(J714&gt;=0,J683,99)</f>
        <v>99</v>
      </c>
      <c r="K730" s="46" t="n">
        <f aca="false">IF(K714&gt;=0,K683,99)</f>
        <v>99</v>
      </c>
      <c r="L730" s="46" t="n">
        <f aca="false">IF(L714&gt;=0,L683,99)</f>
        <v>99</v>
      </c>
      <c r="M730" s="46" t="n">
        <f aca="false">IF(M714&gt;=0,M683,99)</f>
        <v>99</v>
      </c>
    </row>
    <row r="731" customFormat="false" ht="15" hidden="false" customHeight="false" outlineLevel="0" collapsed="false">
      <c r="A731" s="9" t="s">
        <v>513</v>
      </c>
      <c r="C731" s="46" t="n">
        <f aca="false">99</f>
        <v>99</v>
      </c>
      <c r="D731" s="46" t="n">
        <f aca="false">IF(D714+D711&gt;=0,D683,99)</f>
        <v>99</v>
      </c>
      <c r="E731" s="46" t="n">
        <f aca="false">IF(E714+E711&gt;=0,E683,99)</f>
        <v>99</v>
      </c>
      <c r="F731" s="46" t="n">
        <f aca="false">IF(F714+F711&gt;=0,F683,99)</f>
        <v>99</v>
      </c>
      <c r="G731" s="46" t="n">
        <f aca="false">IF(G714+G711&gt;=0,G683,99)</f>
        <v>99</v>
      </c>
      <c r="H731" s="46" t="n">
        <f aca="false">IF(H714+H711&gt;=0,H683,99)</f>
        <v>99</v>
      </c>
      <c r="I731" s="46" t="n">
        <f aca="false">IF(I714+I711&gt;=0,I683,99)</f>
        <v>99</v>
      </c>
      <c r="J731" s="46" t="n">
        <f aca="false">IF(J714+J711&gt;=0,J683,99)</f>
        <v>99</v>
      </c>
      <c r="K731" s="46" t="n">
        <f aca="false">IF(K714+K711&gt;=0,K683,99)</f>
        <v>99</v>
      </c>
      <c r="L731" s="46" t="n">
        <f aca="false">IF(L714+L711&gt;=0,L683,99)</f>
        <v>99</v>
      </c>
      <c r="M731" s="46" t="n">
        <f aca="false">IF(M714+M711&gt;=0,M683,99)</f>
        <v>99</v>
      </c>
    </row>
    <row r="732" customFormat="false" ht="15" hidden="false" customHeight="false" outlineLevel="0" collapsed="false">
      <c r="A732" s="9" t="s">
        <v>514</v>
      </c>
      <c r="C732" s="46" t="n">
        <f aca="false">99</f>
        <v>99</v>
      </c>
      <c r="D732" s="46" t="n">
        <f aca="false">IF(D724&gt;=0,D683,99)</f>
        <v>99</v>
      </c>
      <c r="E732" s="46" t="n">
        <f aca="false">IF(E724&gt;=0,E683,99)</f>
        <v>99</v>
      </c>
      <c r="F732" s="46" t="n">
        <f aca="false">IF(F724&gt;=0,F683,99)</f>
        <v>99</v>
      </c>
      <c r="G732" s="46" t="n">
        <f aca="false">IF(G724&gt;=0,G683,99)</f>
        <v>99</v>
      </c>
      <c r="H732" s="46" t="n">
        <f aca="false">IF(H724&gt;=0,H683,99)</f>
        <v>99</v>
      </c>
      <c r="I732" s="46" t="n">
        <f aca="false">IF(I724&gt;=0,I683,99)</f>
        <v>99</v>
      </c>
      <c r="J732" s="46" t="n">
        <f aca="false">IF(J724&gt;=0,J683,99)</f>
        <v>99</v>
      </c>
      <c r="K732" s="46" t="n">
        <f aca="false">IF(K724&gt;=0,K683,99)</f>
        <v>99</v>
      </c>
      <c r="L732" s="46" t="n">
        <f aca="false">IF(L724&gt;=0,L683,99)</f>
        <v>99</v>
      </c>
      <c r="M732" s="46" t="n">
        <f aca="false">IF(M724&gt;=0,M683,99)</f>
        <v>99</v>
      </c>
    </row>
    <row r="733" customFormat="false" ht="15" hidden="false" customHeight="false" outlineLevel="0" collapsed="false">
      <c r="A733" s="9" t="s">
        <v>515</v>
      </c>
      <c r="C733" s="46" t="n">
        <f aca="false">99</f>
        <v>99</v>
      </c>
      <c r="D733" s="46" t="n">
        <f aca="false">IF(D726&gt;=0,D683,99)</f>
        <v>99</v>
      </c>
      <c r="E733" s="46" t="n">
        <f aca="false">IF(E726&gt;=0,E683,99)</f>
        <v>99</v>
      </c>
      <c r="F733" s="46" t="n">
        <f aca="false">IF(F726&gt;=0,F683,99)</f>
        <v>99</v>
      </c>
      <c r="G733" s="46" t="n">
        <f aca="false">IF(G726&gt;=0,G683,99)</f>
        <v>99</v>
      </c>
      <c r="H733" s="46" t="n">
        <f aca="false">IF(H726&gt;=0,H683,99)</f>
        <v>99</v>
      </c>
      <c r="I733" s="46" t="n">
        <f aca="false">IF(I726&gt;=0,I683,99)</f>
        <v>99</v>
      </c>
      <c r="J733" s="46" t="n">
        <f aca="false">IF(J726&gt;=0,J683,99)</f>
        <v>99</v>
      </c>
      <c r="K733" s="46" t="n">
        <f aca="false">IF(K726&gt;=0,K683,99)</f>
        <v>99</v>
      </c>
      <c r="L733" s="46" t="n">
        <f aca="false">IF(L726&gt;=0,L683,99)</f>
        <v>99</v>
      </c>
      <c r="M733" s="46" t="n">
        <f aca="false">IF(M726&gt;=0,M683,99)</f>
        <v>99</v>
      </c>
    </row>
    <row r="734" customFormat="false" ht="15" hidden="false" customHeight="false" outlineLevel="0" collapsed="false">
      <c r="A734" s="9" t="s">
        <v>516</v>
      </c>
      <c r="C734" s="46" t="n">
        <f aca="false">99</f>
        <v>99</v>
      </c>
      <c r="D734" s="46" t="n">
        <f aca="false">IF(D728&gt;=0,D683,99)</f>
        <v>99</v>
      </c>
      <c r="E734" s="46" t="n">
        <f aca="false">IF(E728&gt;=0,E683,99)</f>
        <v>99</v>
      </c>
      <c r="F734" s="46" t="n">
        <f aca="false">IF(F728&gt;=0,F683,99)</f>
        <v>99</v>
      </c>
      <c r="G734" s="46" t="n">
        <f aca="false">IF(G728&gt;=0,G683,99)</f>
        <v>99</v>
      </c>
      <c r="H734" s="46" t="n">
        <f aca="false">IF(H728&gt;=0,H683,99)</f>
        <v>99</v>
      </c>
      <c r="I734" s="46" t="n">
        <f aca="false">IF(I728&gt;=0,I683,99)</f>
        <v>99</v>
      </c>
      <c r="J734" s="46" t="n">
        <f aca="false">IF(J728&gt;=0,J683,99)</f>
        <v>99</v>
      </c>
      <c r="K734" s="46" t="n">
        <f aca="false">IF(K728&gt;=0,K683,99)</f>
        <v>99</v>
      </c>
      <c r="L734" s="46" t="n">
        <f aca="false">IF(L728&gt;=0,L683,99)</f>
        <v>99</v>
      </c>
      <c r="M734" s="46" t="n">
        <f aca="false">IF(M728&gt;=0,M683,99)</f>
        <v>99</v>
      </c>
    </row>
    <row r="735" customFormat="false" ht="15" hidden="false" customHeight="false" outlineLevel="0" collapsed="false">
      <c r="A735" s="4" t="s">
        <v>517</v>
      </c>
      <c r="C735" s="23" t="n">
        <f aca="false">MIN(D730:M730)</f>
        <v>99</v>
      </c>
    </row>
    <row r="736" customFormat="false" ht="15" hidden="false" customHeight="false" outlineLevel="0" collapsed="false">
      <c r="A736" s="9" t="s">
        <v>518</v>
      </c>
      <c r="C736" s="46" t="n">
        <f aca="false">MIN(D731:M731)</f>
        <v>99</v>
      </c>
    </row>
    <row r="737" customFormat="false" ht="15" hidden="false" customHeight="false" outlineLevel="0" collapsed="false">
      <c r="A737" s="4" t="s">
        <v>519</v>
      </c>
      <c r="C737" s="23" t="n">
        <f aca="false">MIN(D732:M732)</f>
        <v>99</v>
      </c>
    </row>
    <row r="738" customFormat="false" ht="15" hidden="false" customHeight="false" outlineLevel="0" collapsed="false">
      <c r="A738" s="9" t="s">
        <v>520</v>
      </c>
      <c r="C738" s="46" t="n">
        <f aca="false">MIN(D733:M733)</f>
        <v>99</v>
      </c>
    </row>
    <row r="739" customFormat="false" ht="15" hidden="false" customHeight="false" outlineLevel="0" collapsed="false">
      <c r="A739" s="9" t="s">
        <v>521</v>
      </c>
      <c r="C739" s="46" t="n">
        <f aca="false">MIN(D734:M734)</f>
        <v>99</v>
      </c>
    </row>
    <row r="740" customFormat="false" ht="15" hidden="false" customHeight="false" outlineLevel="0" collapsed="false">
      <c r="A740" s="4" t="s">
        <v>522</v>
      </c>
      <c r="C740" s="15" t="n">
        <f aca="false">M728</f>
        <v>-12319.1235173395</v>
      </c>
    </row>
    <row r="741" customFormat="false" ht="15" hidden="false" customHeight="false" outlineLevel="0" collapsed="false">
      <c r="A741" s="9" t="s">
        <v>523</v>
      </c>
      <c r="C741" s="36" t="n">
        <f aca="false">SUMPRODUCT(D696:M696,D729:M729)</f>
        <v>108.138308304178</v>
      </c>
    </row>
    <row r="742" customFormat="false" ht="15" hidden="false" customHeight="false" outlineLevel="0" collapsed="false">
      <c r="A742" s="9" t="s">
        <v>524</v>
      </c>
      <c r="C742" s="36" t="n">
        <f aca="false">M696*(1+a_tg)/(Scenarios!$E$43-a_tg)</f>
        <v>751.070814715676</v>
      </c>
    </row>
    <row r="743" customFormat="false" ht="15" hidden="false" customHeight="false" outlineLevel="0" collapsed="false">
      <c r="A743" s="9" t="s">
        <v>314</v>
      </c>
      <c r="C743" s="36" t="n">
        <f aca="false">C742*M729</f>
        <v>221.256710632834</v>
      </c>
    </row>
    <row r="744" customFormat="false" ht="15" hidden="false" customHeight="false" outlineLevel="0" collapsed="false">
      <c r="A744" s="4" t="s">
        <v>525</v>
      </c>
      <c r="C744" s="15" t="n">
        <f aca="false">C741+C743</f>
        <v>329.395018937012</v>
      </c>
    </row>
    <row r="745" customFormat="false" ht="15" hidden="false" customHeight="false" outlineLevel="0" collapsed="false">
      <c r="A745" s="9" t="s">
        <v>526</v>
      </c>
      <c r="C745" s="32" t="n">
        <f aca="false">SUMPRODUCT(D706:M706,D729:M729)-a_recovery*M708*M729</f>
        <v>4069.68260696466</v>
      </c>
    </row>
    <row r="746" customFormat="false" ht="15" hidden="false" customHeight="false" outlineLevel="0" collapsed="false">
      <c r="A746" s="9" t="s">
        <v>527</v>
      </c>
      <c r="C746" s="36" t="n">
        <f aca="false">SUMPRODUCT(D705:M705,D729:M729)*(1-a_tax)</f>
        <v>0</v>
      </c>
    </row>
    <row r="747" customFormat="false" ht="15" hidden="false" customHeight="false" outlineLevel="0" collapsed="false">
      <c r="A747" s="9" t="s">
        <v>528</v>
      </c>
      <c r="C747" s="36" t="n">
        <f aca="false">C704*D729</f>
        <v>141.592920353982</v>
      </c>
    </row>
    <row r="748" customFormat="false" ht="15" hidden="false" customHeight="false" outlineLevel="0" collapsed="false">
      <c r="A748" s="4" t="s">
        <v>529</v>
      </c>
      <c r="C748" s="20" t="n">
        <f aca="false">C744+C746-C745-C747-lv_price</f>
        <v>-7881.88050838163</v>
      </c>
    </row>
    <row r="749" customFormat="false" ht="15" hidden="false" customHeight="false" outlineLevel="0" collapsed="false">
      <c r="A749" s="9" t="s">
        <v>530</v>
      </c>
      <c r="C749" s="32" t="n">
        <f aca="false">C748+SUMPRODUCT(D725:M725,D729:M729)</f>
        <v>-7507.46970854088</v>
      </c>
    </row>
    <row r="750" customFormat="false" ht="15" hidden="false" customHeight="false" outlineLevel="0" collapsed="false">
      <c r="A750" s="4" t="s">
        <v>531</v>
      </c>
      <c r="C750" s="59" t="n">
        <f aca="false">lv_price/D686</f>
        <v>26.4462809917355</v>
      </c>
    </row>
    <row r="751" customFormat="false" ht="15" hidden="false" customHeight="false" outlineLevel="0" collapsed="false">
      <c r="A751" s="9" t="s">
        <v>532</v>
      </c>
      <c r="C751" s="17" t="n">
        <f aca="false">(lv_price+C745)/D686</f>
        <v>53.3532734344771</v>
      </c>
    </row>
    <row r="752" customFormat="false" ht="15" hidden="false" customHeight="false" outlineLevel="0" collapsed="false">
      <c r="A752" s="4" t="s">
        <v>533</v>
      </c>
      <c r="C752" s="15" t="n">
        <f aca="false">(C748+C745)/SUMPRODUCT(D729:M729)</f>
        <v>-702.548257982014</v>
      </c>
    </row>
    <row r="753" customFormat="false" ht="15" hidden="false" customHeight="false" outlineLevel="0" collapsed="false">
      <c r="A753" s="4" t="s">
        <v>534</v>
      </c>
      <c r="C753" s="25" t="n">
        <f aca="false">D716</f>
        <v>5.31217319758858</v>
      </c>
    </row>
    <row r="754" customFormat="false" ht="15" hidden="false" customHeight="false" outlineLevel="0" collapsed="false">
      <c r="A754" s="9" t="s">
        <v>535</v>
      </c>
      <c r="C754" s="50" t="n">
        <f aca="false">F716</f>
        <v>5.14381036232776</v>
      </c>
    </row>
    <row r="755" customFormat="false" ht="15" hidden="false" customHeight="false" outlineLevel="0" collapsed="false">
      <c r="A755" s="4" t="s">
        <v>536</v>
      </c>
      <c r="C755" s="20" t="n">
        <f aca="false">D724</f>
        <v>-1041.14375</v>
      </c>
    </row>
    <row r="756" customFormat="false" ht="15" hidden="false" customHeight="false" outlineLevel="0" collapsed="false">
      <c r="A756" s="9" t="s">
        <v>537</v>
      </c>
      <c r="C756" s="32" t="n">
        <f aca="false">cf_cash-lv_mix_cash-C704</f>
        <v>6640</v>
      </c>
    </row>
    <row r="757" customFormat="false" ht="15" hidden="false" customHeight="false" outlineLevel="0" collapsed="false">
      <c r="A757" s="9" t="s">
        <v>538</v>
      </c>
      <c r="C757" s="32" t="n">
        <f aca="false">cf_debt+lv_mix_debt</f>
        <v>350</v>
      </c>
    </row>
    <row r="758" customFormat="false" ht="15" hidden="false" customHeight="false" outlineLevel="0" collapsed="false">
      <c r="A758" s="9" t="s">
        <v>539</v>
      </c>
      <c r="C758" s="34" t="n">
        <f aca="false">C757/cf_ebitda</f>
        <v>0.546875</v>
      </c>
    </row>
    <row r="759" customFormat="false" ht="15" hidden="false" customHeight="false" outlineLevel="0" collapsed="false">
      <c r="A759" s="9" t="s">
        <v>540</v>
      </c>
      <c r="C759" s="32" t="n">
        <f aca="false">C756+SUM(D727:F727)+3*cf_pat</f>
        <v>5373.4739375</v>
      </c>
    </row>
    <row r="761" customFormat="false" ht="15" hidden="false" customHeight="false" outlineLevel="0" collapsed="false">
      <c r="A761" s="7" t="s">
        <v>882</v>
      </c>
      <c r="B761" s="8"/>
      <c r="C761" s="8"/>
      <c r="D761" s="8"/>
      <c r="E761" s="8"/>
      <c r="F761" s="8"/>
      <c r="G761" s="8"/>
      <c r="H761" s="8"/>
      <c r="I761" s="8"/>
      <c r="J761" s="8"/>
      <c r="K761" s="8"/>
      <c r="L761" s="8"/>
      <c r="M761" s="8"/>
      <c r="N761" s="8"/>
    </row>
    <row r="762" customFormat="false" ht="15" hidden="false" customHeight="false" outlineLevel="0" collapsed="false">
      <c r="A762" s="4" t="s">
        <v>284</v>
      </c>
      <c r="C762" s="39" t="n">
        <v>0</v>
      </c>
      <c r="D762" s="39" t="n">
        <v>1</v>
      </c>
      <c r="E762" s="39" t="n">
        <v>2</v>
      </c>
      <c r="F762" s="39" t="n">
        <v>3</v>
      </c>
      <c r="G762" s="39" t="n">
        <v>4</v>
      </c>
      <c r="H762" s="39" t="n">
        <v>5</v>
      </c>
      <c r="I762" s="39" t="n">
        <v>6</v>
      </c>
      <c r="J762" s="39" t="n">
        <v>7</v>
      </c>
      <c r="K762" s="39" t="n">
        <v>8</v>
      </c>
      <c r="L762" s="39" t="n">
        <v>9</v>
      </c>
      <c r="M762" s="39" t="n">
        <v>10</v>
      </c>
    </row>
    <row r="763" customFormat="false" ht="15" hidden="false" customHeight="false" outlineLevel="0" collapsed="false">
      <c r="A763" s="9" t="s">
        <v>285</v>
      </c>
      <c r="C763" s="40" t="n">
        <f aca="false">cf_arr</f>
        <v>220</v>
      </c>
      <c r="D763" s="36" t="n">
        <f aca="false">C763*(1+Scenarios!$F$39)</f>
        <v>264</v>
      </c>
      <c r="E763" s="36" t="n">
        <f aca="false">D763*(1+Scenarios!$F$39)</f>
        <v>316.8</v>
      </c>
      <c r="F763" s="36" t="n">
        <f aca="false">E763*(1+Scenarios!$F$39)</f>
        <v>380.16</v>
      </c>
      <c r="G763" s="36" t="n">
        <f aca="false">F763*(1+Scenarios!$F$39)</f>
        <v>456.192</v>
      </c>
      <c r="H763" s="36" t="n">
        <f aca="false">G763*(1+Scenarios!$F$39)</f>
        <v>547.4304</v>
      </c>
      <c r="I763" s="36" t="n">
        <f aca="false">H763*(1+Scenarios!$F$39)</f>
        <v>656.91648</v>
      </c>
      <c r="J763" s="36" t="n">
        <f aca="false">I763*(1+Scenarios!$F$39)</f>
        <v>788.299776</v>
      </c>
      <c r="K763" s="36" t="n">
        <f aca="false">J763*(1+Scenarios!$F$39)</f>
        <v>945.9597312</v>
      </c>
      <c r="L763" s="36" t="n">
        <f aca="false">K763*(1+Scenarios!$F$39)</f>
        <v>1135.15167744</v>
      </c>
      <c r="M763" s="36" t="n">
        <f aca="false">L763*(1+Scenarios!$F$39)</f>
        <v>1362.182012928</v>
      </c>
    </row>
    <row r="764" customFormat="false" ht="15" hidden="false" customHeight="false" outlineLevel="0" collapsed="false">
      <c r="A764" s="9" t="s">
        <v>286</v>
      </c>
      <c r="C764" s="18" t="n">
        <f aca="false">1</f>
        <v>1</v>
      </c>
      <c r="D764" s="18" t="n">
        <f aca="false">IF(D762&gt;=a_churn_year,1-Scenarios!$F$40,1)</f>
        <v>0.625</v>
      </c>
      <c r="E764" s="18" t="n">
        <f aca="false">IF(E762&gt;=a_churn_year,1-Scenarios!$F$40,1)</f>
        <v>0.625</v>
      </c>
      <c r="F764" s="18" t="n">
        <f aca="false">IF(F762&gt;=a_churn_year,1-Scenarios!$F$40,1)</f>
        <v>0.625</v>
      </c>
      <c r="G764" s="18" t="n">
        <f aca="false">IF(G762&gt;=a_churn_year,1-Scenarios!$F$40,1)</f>
        <v>0.625</v>
      </c>
      <c r="H764" s="18" t="n">
        <f aca="false">IF(H762&gt;=a_churn_year,1-Scenarios!$F$40,1)</f>
        <v>0.625</v>
      </c>
      <c r="I764" s="18" t="n">
        <f aca="false">IF(I762&gt;=a_churn_year,1-Scenarios!$F$40,1)</f>
        <v>0.625</v>
      </c>
      <c r="J764" s="18" t="n">
        <f aca="false">IF(J762&gt;=a_churn_year,1-Scenarios!$F$40,1)</f>
        <v>0.625</v>
      </c>
      <c r="K764" s="18" t="n">
        <f aca="false">IF(K762&gt;=a_churn_year,1-Scenarios!$F$40,1)</f>
        <v>0.625</v>
      </c>
      <c r="L764" s="18" t="n">
        <f aca="false">IF(L762&gt;=a_churn_year,1-Scenarios!$F$40,1)</f>
        <v>0.625</v>
      </c>
      <c r="M764" s="18" t="n">
        <f aca="false">IF(M762&gt;=a_churn_year,1-Scenarios!$F$40,1)</f>
        <v>0.625</v>
      </c>
    </row>
    <row r="765" customFormat="false" ht="15" hidden="false" customHeight="false" outlineLevel="0" collapsed="false">
      <c r="A765" s="4" t="s">
        <v>287</v>
      </c>
      <c r="C765" s="41" t="n">
        <f aca="false">C763*C764</f>
        <v>220</v>
      </c>
      <c r="D765" s="41" t="n">
        <f aca="false">D763*D764</f>
        <v>165</v>
      </c>
      <c r="E765" s="41" t="n">
        <f aca="false">E763*E764</f>
        <v>198</v>
      </c>
      <c r="F765" s="41" t="n">
        <f aca="false">F763*F764</f>
        <v>237.6</v>
      </c>
      <c r="G765" s="41" t="n">
        <f aca="false">G763*G764</f>
        <v>285.12</v>
      </c>
      <c r="H765" s="41" t="n">
        <f aca="false">H763*H764</f>
        <v>342.144</v>
      </c>
      <c r="I765" s="41" t="n">
        <f aca="false">I763*I764</f>
        <v>410.5728</v>
      </c>
      <c r="J765" s="41" t="n">
        <f aca="false">J763*J764</f>
        <v>492.68736</v>
      </c>
      <c r="K765" s="41" t="n">
        <f aca="false">K763*K764</f>
        <v>591.224832</v>
      </c>
      <c r="L765" s="41" t="n">
        <f aca="false">L763*L764</f>
        <v>709.4697984</v>
      </c>
      <c r="M765" s="41" t="n">
        <f aca="false">M763*M764</f>
        <v>851.36375808</v>
      </c>
    </row>
    <row r="766" customFormat="false" ht="15" hidden="false" customHeight="false" outlineLevel="0" collapsed="false">
      <c r="A766" s="9" t="s">
        <v>288</v>
      </c>
      <c r="C766" s="18" t="n">
        <f aca="false">MIN(a_m0+a_mstep*C762,a_mcap)</f>
        <v>0</v>
      </c>
      <c r="D766" s="18" t="n">
        <f aca="false">MIN(a_m0+a_mstep*D762,a_mcap)</f>
        <v>0.05</v>
      </c>
      <c r="E766" s="18" t="n">
        <f aca="false">MIN(a_m0+a_mstep*E762,a_mcap)</f>
        <v>0.1</v>
      </c>
      <c r="F766" s="18" t="n">
        <f aca="false">MIN(a_m0+a_mstep*F762,a_mcap)</f>
        <v>0.15</v>
      </c>
      <c r="G766" s="18" t="n">
        <f aca="false">MIN(a_m0+a_mstep*G762,a_mcap)</f>
        <v>0.2</v>
      </c>
      <c r="H766" s="18" t="n">
        <f aca="false">MIN(a_m0+a_mstep*H762,a_mcap)</f>
        <v>0.25</v>
      </c>
      <c r="I766" s="18" t="n">
        <f aca="false">MIN(a_m0+a_mstep*I762,a_mcap)</f>
        <v>0.25</v>
      </c>
      <c r="J766" s="18" t="n">
        <f aca="false">MIN(a_m0+a_mstep*J762,a_mcap)</f>
        <v>0.25</v>
      </c>
      <c r="K766" s="18" t="n">
        <f aca="false">MIN(a_m0+a_mstep*K762,a_mcap)</f>
        <v>0.25</v>
      </c>
      <c r="L766" s="18" t="n">
        <f aca="false">MIN(a_m0+a_mstep*L762,a_mcap)</f>
        <v>0.25</v>
      </c>
      <c r="M766" s="18" t="n">
        <f aca="false">MIN(a_m0+a_mstep*M762,a_mcap)</f>
        <v>0.25</v>
      </c>
    </row>
    <row r="767" customFormat="false" ht="15" hidden="false" customHeight="false" outlineLevel="0" collapsed="false">
      <c r="A767" s="9" t="s">
        <v>289</v>
      </c>
      <c r="C767" s="36" t="n">
        <f aca="false">IF(C762=a_churn_year,a_sticky*(C763-C765)*(1-C766),0)</f>
        <v>0</v>
      </c>
      <c r="D767" s="36" t="n">
        <f aca="false">IF(D762=a_churn_year,a_sticky*(D763-D765)*(1-D766),0)</f>
        <v>47.025</v>
      </c>
      <c r="E767" s="36" t="n">
        <f aca="false">IF(E762=a_churn_year,a_sticky*(E763-E765)*(1-E766),0)</f>
        <v>0</v>
      </c>
      <c r="F767" s="36" t="n">
        <f aca="false">IF(F762=a_churn_year,a_sticky*(F763-F765)*(1-F766),0)</f>
        <v>0</v>
      </c>
      <c r="G767" s="36" t="n">
        <f aca="false">IF(G762=a_churn_year,a_sticky*(G763-G765)*(1-G766),0)</f>
        <v>0</v>
      </c>
      <c r="H767" s="36" t="n">
        <f aca="false">IF(H762=a_churn_year,a_sticky*(H763-H765)*(1-H766),0)</f>
        <v>0</v>
      </c>
      <c r="I767" s="36" t="n">
        <f aca="false">IF(I762=a_churn_year,a_sticky*(I763-I765)*(1-I766),0)</f>
        <v>0</v>
      </c>
      <c r="J767" s="36" t="n">
        <f aca="false">IF(J762=a_churn_year,a_sticky*(J763-J765)*(1-J766),0)</f>
        <v>0</v>
      </c>
      <c r="K767" s="36" t="n">
        <f aca="false">IF(K762=a_churn_year,a_sticky*(K763-K765)*(1-K766),0)</f>
        <v>0</v>
      </c>
      <c r="L767" s="36" t="n">
        <f aca="false">IF(L762=a_churn_year,a_sticky*(L763-L765)*(1-L766),0)</f>
        <v>0</v>
      </c>
      <c r="M767" s="36" t="n">
        <f aca="false">IF(M762=a_churn_year,a_sticky*(M763-M765)*(1-M766),0)</f>
        <v>0</v>
      </c>
    </row>
    <row r="768" customFormat="false" ht="15" hidden="false" customHeight="false" outlineLevel="0" collapsed="false">
      <c r="A768" s="4" t="s">
        <v>290</v>
      </c>
      <c r="C768" s="41" t="n">
        <f aca="false">C765*C766-C767</f>
        <v>0</v>
      </c>
      <c r="D768" s="41" t="n">
        <f aca="false">D765*D766-D767</f>
        <v>-38.775</v>
      </c>
      <c r="E768" s="41" t="n">
        <f aca="false">E765*E766-E767</f>
        <v>19.8</v>
      </c>
      <c r="F768" s="41" t="n">
        <f aca="false">F765*F766-F767</f>
        <v>35.64</v>
      </c>
      <c r="G768" s="41" t="n">
        <f aca="false">G765*G766-G767</f>
        <v>57.024</v>
      </c>
      <c r="H768" s="41" t="n">
        <f aca="false">H765*H766-H767</f>
        <v>85.536</v>
      </c>
      <c r="I768" s="41" t="n">
        <f aca="false">I765*I766-I767</f>
        <v>102.6432</v>
      </c>
      <c r="J768" s="41" t="n">
        <f aca="false">J765*J766-J767</f>
        <v>123.17184</v>
      </c>
      <c r="K768" s="41" t="n">
        <f aca="false">K765*K766-K767</f>
        <v>147.806208</v>
      </c>
      <c r="L768" s="41" t="n">
        <f aca="false">L765*L766-L767</f>
        <v>177.3674496</v>
      </c>
      <c r="M768" s="41" t="n">
        <f aca="false">M765*M766-M767</f>
        <v>212.84093952</v>
      </c>
    </row>
    <row r="769" customFormat="false" ht="15" hidden="false" customHeight="false" outlineLevel="0" collapsed="false">
      <c r="A769" s="9" t="s">
        <v>291</v>
      </c>
      <c r="C769" s="36" t="n">
        <f aca="false">C765*a_da</f>
        <v>6.6</v>
      </c>
      <c r="D769" s="36" t="n">
        <f aca="false">D765*a_da</f>
        <v>4.95</v>
      </c>
      <c r="E769" s="36" t="n">
        <f aca="false">E765*a_da</f>
        <v>5.94</v>
      </c>
      <c r="F769" s="36" t="n">
        <f aca="false">F765*a_da</f>
        <v>7.128</v>
      </c>
      <c r="G769" s="36" t="n">
        <f aca="false">G765*a_da</f>
        <v>8.5536</v>
      </c>
      <c r="H769" s="36" t="n">
        <f aca="false">H765*a_da</f>
        <v>10.26432</v>
      </c>
      <c r="I769" s="36" t="n">
        <f aca="false">I765*a_da</f>
        <v>12.317184</v>
      </c>
      <c r="J769" s="36" t="n">
        <f aca="false">J765*a_da</f>
        <v>14.7806208</v>
      </c>
      <c r="K769" s="36" t="n">
        <f aca="false">K765*a_da</f>
        <v>17.73674496</v>
      </c>
      <c r="L769" s="36" t="n">
        <f aca="false">L765*a_da</f>
        <v>21.284093952</v>
      </c>
      <c r="M769" s="36" t="n">
        <f aca="false">M765*a_da</f>
        <v>25.5409127424</v>
      </c>
    </row>
    <row r="770" customFormat="false" ht="15" hidden="false" customHeight="false" outlineLevel="0" collapsed="false">
      <c r="A770" s="9" t="s">
        <v>292</v>
      </c>
      <c r="C770" s="36" t="n">
        <f aca="false">C768-C769</f>
        <v>-6.6</v>
      </c>
      <c r="D770" s="36" t="n">
        <f aca="false">D768-D769</f>
        <v>-43.725</v>
      </c>
      <c r="E770" s="36" t="n">
        <f aca="false">E768-E769</f>
        <v>13.86</v>
      </c>
      <c r="F770" s="36" t="n">
        <f aca="false">F768-F769</f>
        <v>28.512</v>
      </c>
      <c r="G770" s="36" t="n">
        <f aca="false">G768-G769</f>
        <v>48.4704</v>
      </c>
      <c r="H770" s="36" t="n">
        <f aca="false">H768-H769</f>
        <v>75.27168</v>
      </c>
      <c r="I770" s="36" t="n">
        <f aca="false">I768-I769</f>
        <v>90.326016</v>
      </c>
      <c r="J770" s="36" t="n">
        <f aca="false">J768-J769</f>
        <v>108.3912192</v>
      </c>
      <c r="K770" s="36" t="n">
        <f aca="false">K768-K769</f>
        <v>130.06946304</v>
      </c>
      <c r="L770" s="36" t="n">
        <f aca="false">L768-L769</f>
        <v>156.083355648</v>
      </c>
      <c r="M770" s="36" t="n">
        <f aca="false">M768-M769</f>
        <v>187.3000267776</v>
      </c>
    </row>
    <row r="771" customFormat="false" ht="15" hidden="false" customHeight="false" outlineLevel="0" collapsed="false">
      <c r="A771" s="9" t="s">
        <v>293</v>
      </c>
      <c r="C771" s="36" t="n">
        <f aca="false">MAX(0,C770)*a_tax</f>
        <v>0</v>
      </c>
      <c r="D771" s="36" t="n">
        <f aca="false">MAX(0,D770)*a_tax</f>
        <v>0</v>
      </c>
      <c r="E771" s="36" t="n">
        <f aca="false">MAX(0,E770)*a_tax</f>
        <v>3.465</v>
      </c>
      <c r="F771" s="36" t="n">
        <f aca="false">MAX(0,F770)*a_tax</f>
        <v>7.128</v>
      </c>
      <c r="G771" s="36" t="n">
        <f aca="false">MAX(0,G770)*a_tax</f>
        <v>12.1176</v>
      </c>
      <c r="H771" s="36" t="n">
        <f aca="false">MAX(0,H770)*a_tax</f>
        <v>18.81792</v>
      </c>
      <c r="I771" s="36" t="n">
        <f aca="false">MAX(0,I770)*a_tax</f>
        <v>22.581504</v>
      </c>
      <c r="J771" s="36" t="n">
        <f aca="false">MAX(0,J770)*a_tax</f>
        <v>27.0978048</v>
      </c>
      <c r="K771" s="36" t="n">
        <f aca="false">MAX(0,K770)*a_tax</f>
        <v>32.51736576</v>
      </c>
      <c r="L771" s="36" t="n">
        <f aca="false">MAX(0,L770)*a_tax</f>
        <v>39.020838912</v>
      </c>
      <c r="M771" s="36" t="n">
        <f aca="false">MAX(0,M770)*a_tax</f>
        <v>46.8250066944</v>
      </c>
    </row>
    <row r="772" customFormat="false" ht="15" hidden="false" customHeight="false" outlineLevel="0" collapsed="false">
      <c r="A772" s="4" t="s">
        <v>294</v>
      </c>
      <c r="C772" s="42" t="n">
        <f aca="false">cf_lim_pat</f>
        <v>0</v>
      </c>
      <c r="D772" s="41" t="n">
        <f aca="false">D770-D771</f>
        <v>-43.725</v>
      </c>
      <c r="E772" s="41" t="n">
        <f aca="false">E770-E771</f>
        <v>10.395</v>
      </c>
      <c r="F772" s="41" t="n">
        <f aca="false">F770-F771</f>
        <v>21.384</v>
      </c>
      <c r="G772" s="41" t="n">
        <f aca="false">G770-G771</f>
        <v>36.3528</v>
      </c>
      <c r="H772" s="41" t="n">
        <f aca="false">H770-H771</f>
        <v>56.45376</v>
      </c>
      <c r="I772" s="41" t="n">
        <f aca="false">I770-I771</f>
        <v>67.744512</v>
      </c>
      <c r="J772" s="41" t="n">
        <f aca="false">J770-J771</f>
        <v>81.2934144</v>
      </c>
      <c r="K772" s="41" t="n">
        <f aca="false">K770-K771</f>
        <v>97.55209728</v>
      </c>
      <c r="L772" s="41" t="n">
        <f aca="false">L770-L771</f>
        <v>117.062516736</v>
      </c>
      <c r="M772" s="41" t="n">
        <f aca="false">M770-M771</f>
        <v>140.4750200832</v>
      </c>
    </row>
    <row r="773" customFormat="false" ht="15" hidden="false" customHeight="false" outlineLevel="0" collapsed="false">
      <c r="A773" s="9" t="s">
        <v>295</v>
      </c>
      <c r="C773" s="36" t="n">
        <f aca="false">C765*a_capex</f>
        <v>6.6</v>
      </c>
      <c r="D773" s="36" t="n">
        <f aca="false">D765*a_capex</f>
        <v>4.95</v>
      </c>
      <c r="E773" s="36" t="n">
        <f aca="false">E765*a_capex</f>
        <v>5.94</v>
      </c>
      <c r="F773" s="36" t="n">
        <f aca="false">F765*a_capex</f>
        <v>7.128</v>
      </c>
      <c r="G773" s="36" t="n">
        <f aca="false">G765*a_capex</f>
        <v>8.5536</v>
      </c>
      <c r="H773" s="36" t="n">
        <f aca="false">H765*a_capex</f>
        <v>10.26432</v>
      </c>
      <c r="I773" s="36" t="n">
        <f aca="false">I765*a_capex</f>
        <v>12.317184</v>
      </c>
      <c r="J773" s="36" t="n">
        <f aca="false">J765*a_capex</f>
        <v>14.7806208</v>
      </c>
      <c r="K773" s="36" t="n">
        <f aca="false">K765*a_capex</f>
        <v>17.73674496</v>
      </c>
      <c r="L773" s="36" t="n">
        <f aca="false">L765*a_capex</f>
        <v>21.284093952</v>
      </c>
      <c r="M773" s="36" t="n">
        <f aca="false">M765*a_capex</f>
        <v>25.5409127424</v>
      </c>
    </row>
    <row r="774" customFormat="false" ht="15" hidden="false" customHeight="false" outlineLevel="0" collapsed="false">
      <c r="A774" s="9" t="s">
        <v>296</v>
      </c>
      <c r="C774" s="36" t="n">
        <f aca="false">0</f>
        <v>0</v>
      </c>
      <c r="D774" s="36" t="n">
        <f aca="false">a_wc*(D765-C765)</f>
        <v>-2.75</v>
      </c>
      <c r="E774" s="36" t="n">
        <f aca="false">a_wc*(E765-D765)</f>
        <v>1.65</v>
      </c>
      <c r="F774" s="36" t="n">
        <f aca="false">a_wc*(F765-E765)</f>
        <v>1.98</v>
      </c>
      <c r="G774" s="36" t="n">
        <f aca="false">a_wc*(G765-F765)</f>
        <v>2.376</v>
      </c>
      <c r="H774" s="36" t="n">
        <f aca="false">a_wc*(H765-G765)</f>
        <v>2.8512</v>
      </c>
      <c r="I774" s="36" t="n">
        <f aca="false">a_wc*(I765-H765)</f>
        <v>3.42144</v>
      </c>
      <c r="J774" s="36" t="n">
        <f aca="false">a_wc*(J765-I765)</f>
        <v>4.105728</v>
      </c>
      <c r="K774" s="36" t="n">
        <f aca="false">a_wc*(K765-J765)</f>
        <v>4.9268736</v>
      </c>
      <c r="L774" s="36" t="n">
        <f aca="false">a_wc*(L765-K765)</f>
        <v>5.91224832</v>
      </c>
      <c r="M774" s="36" t="n">
        <f aca="false">a_wc*(M765-L765)</f>
        <v>7.094697984</v>
      </c>
    </row>
    <row r="775" customFormat="false" ht="15" hidden="false" customHeight="false" outlineLevel="0" collapsed="false">
      <c r="A775" s="4" t="s">
        <v>297</v>
      </c>
      <c r="C775" s="36" t="n">
        <f aca="false">0</f>
        <v>0</v>
      </c>
      <c r="D775" s="41" t="n">
        <f aca="false">D772+D769-D773-D774</f>
        <v>-40.975</v>
      </c>
      <c r="E775" s="41" t="n">
        <f aca="false">E772+E769-E773-E774</f>
        <v>8.745</v>
      </c>
      <c r="F775" s="41" t="n">
        <f aca="false">F772+F769-F773-F774</f>
        <v>19.404</v>
      </c>
      <c r="G775" s="41" t="n">
        <f aca="false">G772+G769-G773-G774</f>
        <v>33.9768</v>
      </c>
      <c r="H775" s="41" t="n">
        <f aca="false">H772+H769-H773-H774</f>
        <v>53.60256</v>
      </c>
      <c r="I775" s="41" t="n">
        <f aca="false">I772+I769-I773-I774</f>
        <v>64.323072</v>
      </c>
      <c r="J775" s="41" t="n">
        <f aca="false">J772+J769-J773-J774</f>
        <v>77.1876864</v>
      </c>
      <c r="K775" s="41" t="n">
        <f aca="false">K772+K769-K773-K774</f>
        <v>92.62522368</v>
      </c>
      <c r="L775" s="41" t="n">
        <f aca="false">L772+L769-L773-L774</f>
        <v>111.150268416</v>
      </c>
      <c r="M775" s="41" t="n">
        <f aca="false">M772+M769-M773-M774</f>
        <v>133.3803220992</v>
      </c>
    </row>
    <row r="777" customFormat="false" ht="15" hidden="false" customHeight="false" outlineLevel="0" collapsed="false">
      <c r="A777" s="7" t="s">
        <v>883</v>
      </c>
      <c r="B777" s="8"/>
      <c r="C777" s="8"/>
      <c r="D777" s="8"/>
      <c r="E777" s="8"/>
      <c r="F777" s="8"/>
      <c r="G777" s="8"/>
      <c r="H777" s="8"/>
      <c r="I777" s="8"/>
      <c r="J777" s="8"/>
      <c r="K777" s="8"/>
      <c r="L777" s="8"/>
      <c r="M777" s="8"/>
      <c r="N777" s="8"/>
    </row>
    <row r="778" customFormat="false" ht="15" hidden="false" customHeight="false" outlineLevel="0" collapsed="false">
      <c r="A778" s="9" t="s">
        <v>482</v>
      </c>
      <c r="C778" s="35" t="n">
        <f aca="false">lv_mix_eq/(c_price*(1-a_issue_disc))</f>
        <v>1.024</v>
      </c>
    </row>
    <row r="779" customFormat="false" ht="15" hidden="false" customHeight="false" outlineLevel="0" collapsed="false">
      <c r="A779" s="9" t="s">
        <v>449</v>
      </c>
      <c r="C779" s="35" t="n">
        <f aca="false">cf_shares+C778</f>
        <v>65.024</v>
      </c>
    </row>
    <row r="780" customFormat="false" ht="15" hidden="false" customHeight="false" outlineLevel="0" collapsed="false">
      <c r="A780" s="9" t="s">
        <v>483</v>
      </c>
      <c r="C780" s="36" t="n">
        <f aca="false">lv_mix_cash*a_yield*(1-a_tax)+lv_mix_debt*a_kd*(1-a_tax)</f>
        <v>94.5</v>
      </c>
    </row>
    <row r="781" customFormat="false" ht="15" hidden="false" customHeight="false" outlineLevel="0" collapsed="false">
      <c r="A781" s="9" t="s">
        <v>484</v>
      </c>
      <c r="C781" s="36" t="n">
        <f aca="false">lv_price*a_ppa_share/a_ppa_life*(1-a_tax)</f>
        <v>93.75</v>
      </c>
    </row>
    <row r="782" customFormat="false" ht="15" hidden="false" customHeight="false" outlineLevel="0" collapsed="false">
      <c r="A782" s="9" t="s">
        <v>485</v>
      </c>
      <c r="C782" s="36" t="n">
        <f aca="false">a_ppa_on*C781</f>
        <v>0</v>
      </c>
    </row>
    <row r="783" customFormat="false" ht="15" hidden="false" customHeight="false" outlineLevel="0" collapsed="false">
      <c r="A783" s="9" t="s">
        <v>486</v>
      </c>
      <c r="C783" s="36" t="n">
        <f aca="false">lv_price*a_fees_pct+a_integ_full</f>
        <v>160</v>
      </c>
    </row>
    <row r="784" customFormat="false" ht="15" hidden="false" customHeight="false" outlineLevel="0" collapsed="false">
      <c r="A784" s="9" t="s">
        <v>487</v>
      </c>
      <c r="C784" s="36" t="n">
        <f aca="false">0</f>
        <v>0</v>
      </c>
      <c r="D784" s="36" t="n">
        <f aca="false">a_syn_on*(a_syn_partner_rev_y3+a_syn_xsell_y3)*a_mcap*IF(D762=1,a_syn_ramp1,IF(D762=2,a_syn_ramp2,1))+a_syn_on*IF(D762&gt;=2,a_syn_cost,0)</f>
        <v>0</v>
      </c>
      <c r="E784" s="36" t="n">
        <f aca="false">a_syn_on*(a_syn_partner_rev_y3+a_syn_xsell_y3)*a_mcap*IF(E762=1,a_syn_ramp1,IF(E762=2,a_syn_ramp2,1))+a_syn_on*IF(E762&gt;=2,a_syn_cost,0)</f>
        <v>0</v>
      </c>
      <c r="F784" s="36" t="n">
        <f aca="false">a_syn_on*(a_syn_partner_rev_y3+a_syn_xsell_y3)*a_mcap*IF(F762=1,a_syn_ramp1,IF(F762=2,a_syn_ramp2,1))+a_syn_on*IF(F762&gt;=2,a_syn_cost,0)</f>
        <v>0</v>
      </c>
      <c r="G784" s="36" t="n">
        <f aca="false">a_syn_on*(a_syn_partner_rev_y3+a_syn_xsell_y3)*a_mcap*IF(G762=1,a_syn_ramp1,IF(G762=2,a_syn_ramp2,1))+a_syn_on*IF(G762&gt;=2,a_syn_cost,0)</f>
        <v>0</v>
      </c>
      <c r="H784" s="36" t="n">
        <f aca="false">a_syn_on*(a_syn_partner_rev_y3+a_syn_xsell_y3)*a_mcap*IF(H762=1,a_syn_ramp1,IF(H762=2,a_syn_ramp2,1))+a_syn_on*IF(H762&gt;=2,a_syn_cost,0)</f>
        <v>0</v>
      </c>
      <c r="I784" s="36" t="n">
        <f aca="false">a_syn_on*(a_syn_partner_rev_y3+a_syn_xsell_y3)*a_mcap*IF(I762=1,a_syn_ramp1,IF(I762=2,a_syn_ramp2,1))+a_syn_on*IF(I762&gt;=2,a_syn_cost,0)</f>
        <v>0</v>
      </c>
      <c r="J784" s="36" t="n">
        <f aca="false">a_syn_on*(a_syn_partner_rev_y3+a_syn_xsell_y3)*a_mcap*IF(J762=1,a_syn_ramp1,IF(J762=2,a_syn_ramp2,1))+a_syn_on*IF(J762&gt;=2,a_syn_cost,0)</f>
        <v>0</v>
      </c>
      <c r="K784" s="36" t="n">
        <f aca="false">a_syn_on*(a_syn_partner_rev_y3+a_syn_xsell_y3)*a_mcap*IF(K762=1,a_syn_ramp1,IF(K762=2,a_syn_ramp2,1))+a_syn_on*IF(K762&gt;=2,a_syn_cost,0)</f>
        <v>0</v>
      </c>
      <c r="L784" s="36" t="n">
        <f aca="false">a_syn_on*(a_syn_partner_rev_y3+a_syn_xsell_y3)*a_mcap*IF(L762=1,a_syn_ramp1,IF(L762=2,a_syn_ramp2,1))+a_syn_on*IF(L762&gt;=2,a_syn_cost,0)</f>
        <v>0</v>
      </c>
      <c r="M784" s="36" t="n">
        <f aca="false">a_syn_on*(a_syn_partner_rev_y3+a_syn_xsell_y3)*a_mcap*IF(M762=1,a_syn_ramp1,IF(M762=2,a_syn_ramp2,1))+a_syn_on*IF(M762&gt;=2,a_syn_cost,0)</f>
        <v>0</v>
      </c>
    </row>
    <row r="785" customFormat="false" ht="15" hidden="false" customHeight="false" outlineLevel="0" collapsed="false">
      <c r="A785" s="9" t="s">
        <v>488</v>
      </c>
      <c r="C785" s="36" t="n">
        <f aca="false">0</f>
        <v>0</v>
      </c>
      <c r="D785" s="36" t="n">
        <f aca="false">CHOOSE(Scenarios!$F$42,Scenarios!$F$41,Scenarios!$F$41*D765/cf_arr,Scenarios!$F$41*(1-a_tax))</f>
        <v>750</v>
      </c>
      <c r="E785" s="36" t="n">
        <f aca="false">CHOOSE(Scenarios!$F$42,Scenarios!$F$41,Scenarios!$F$41*E765/cf_arr,Scenarios!$F$41*(1-a_tax))</f>
        <v>750</v>
      </c>
      <c r="F785" s="36" t="n">
        <f aca="false">CHOOSE(Scenarios!$F$42,Scenarios!$F$41,Scenarios!$F$41*F765/cf_arr,Scenarios!$F$41*(1-a_tax))</f>
        <v>750</v>
      </c>
      <c r="G785" s="36" t="n">
        <f aca="false">CHOOSE(Scenarios!$F$42,Scenarios!$F$41,Scenarios!$F$41*G765/cf_arr,Scenarios!$F$41*(1-a_tax))</f>
        <v>750</v>
      </c>
      <c r="H785" s="36" t="n">
        <f aca="false">CHOOSE(Scenarios!$F$42,Scenarios!$F$41,Scenarios!$F$41*H765/cf_arr,Scenarios!$F$41*(1-a_tax))</f>
        <v>750</v>
      </c>
      <c r="I785" s="36" t="n">
        <f aca="false">CHOOSE(Scenarios!$F$42,Scenarios!$F$41,Scenarios!$F$41*I765/cf_arr,Scenarios!$F$41*(1-a_tax))</f>
        <v>750</v>
      </c>
      <c r="J785" s="36" t="n">
        <f aca="false">CHOOSE(Scenarios!$F$42,Scenarios!$F$41,Scenarios!$F$41*J765/cf_arr,Scenarios!$F$41*(1-a_tax))</f>
        <v>750</v>
      </c>
      <c r="K785" s="36" t="n">
        <f aca="false">CHOOSE(Scenarios!$F$42,Scenarios!$F$41,Scenarios!$F$41*K765/cf_arr,Scenarios!$F$41*(1-a_tax))</f>
        <v>750</v>
      </c>
      <c r="L785" s="36" t="n">
        <f aca="false">CHOOSE(Scenarios!$F$42,Scenarios!$F$41,Scenarios!$F$41*L765/cf_arr,Scenarios!$F$41*(1-a_tax))</f>
        <v>750</v>
      </c>
      <c r="M785" s="36" t="n">
        <f aca="false">CHOOSE(Scenarios!$F$42,Scenarios!$F$41,Scenarios!$F$41*M765/cf_arr,Scenarios!$F$41*(1-a_tax))</f>
        <v>750</v>
      </c>
    </row>
    <row r="786" customFormat="false" ht="15" hidden="false" customHeight="false" outlineLevel="0" collapsed="false">
      <c r="A786" s="9" t="s">
        <v>489</v>
      </c>
      <c r="C786" s="36" t="n">
        <f aca="false">0</f>
        <v>0</v>
      </c>
      <c r="D786" s="36" t="n">
        <f aca="false">IF(Scenarios!$F$42=3,Scenarios!$F$41*(1-a_tax),0)</f>
        <v>0</v>
      </c>
      <c r="E786" s="36" t="n">
        <f aca="false">IF(Scenarios!$F$42=3,Scenarios!$F$41*(1-a_tax),0)</f>
        <v>0</v>
      </c>
      <c r="F786" s="36" t="n">
        <f aca="false">IF(Scenarios!$F$42=3,Scenarios!$F$41*(1-a_tax),0)</f>
        <v>0</v>
      </c>
      <c r="G786" s="36" t="n">
        <f aca="false">IF(Scenarios!$F$42=3,Scenarios!$F$41*(1-a_tax),0)</f>
        <v>0</v>
      </c>
      <c r="H786" s="36" t="n">
        <f aca="false">IF(Scenarios!$F$42=3,Scenarios!$F$41*(1-a_tax),0)</f>
        <v>0</v>
      </c>
      <c r="I786" s="36" t="n">
        <f aca="false">IF(Scenarios!$F$42=3,Scenarios!$F$41*(1-a_tax),0)</f>
        <v>0</v>
      </c>
      <c r="J786" s="36" t="n">
        <f aca="false">IF(Scenarios!$F$42=3,Scenarios!$F$41*(1-a_tax),0)</f>
        <v>0</v>
      </c>
      <c r="K786" s="36" t="n">
        <f aca="false">IF(Scenarios!$F$42=3,Scenarios!$F$41*(1-a_tax),0)</f>
        <v>0</v>
      </c>
      <c r="L786" s="36" t="n">
        <f aca="false">IF(Scenarios!$F$42=3,Scenarios!$F$41*(1-a_tax),0)</f>
        <v>0</v>
      </c>
      <c r="M786" s="36" t="n">
        <f aca="false">IF(Scenarios!$F$42=3,Scenarios!$F$41*(1-a_tax),0)</f>
        <v>0</v>
      </c>
    </row>
    <row r="787" customFormat="false" ht="15" hidden="false" customHeight="false" outlineLevel="0" collapsed="false">
      <c r="A787" s="9" t="s">
        <v>490</v>
      </c>
      <c r="C787" s="36" t="n">
        <f aca="false">0</f>
        <v>0</v>
      </c>
      <c r="D787" s="36" t="n">
        <f aca="false">IF(Scenarios!$F$42=3,0,C787+D785)</f>
        <v>750</v>
      </c>
      <c r="E787" s="36" t="n">
        <f aca="false">IF(Scenarios!$F$42=3,0,D787+E785)</f>
        <v>1500</v>
      </c>
      <c r="F787" s="36" t="n">
        <f aca="false">IF(Scenarios!$F$42=3,0,E787+F785)</f>
        <v>2250</v>
      </c>
      <c r="G787" s="36" t="n">
        <f aca="false">IF(Scenarios!$F$42=3,0,F787+G785)</f>
        <v>3000</v>
      </c>
      <c r="H787" s="36" t="n">
        <f aca="false">IF(Scenarios!$F$42=3,0,G787+H785)</f>
        <v>3750</v>
      </c>
      <c r="I787" s="36" t="n">
        <f aca="false">IF(Scenarios!$F$42=3,0,H787+I785)</f>
        <v>4500</v>
      </c>
      <c r="J787" s="36" t="n">
        <f aca="false">IF(Scenarios!$F$42=3,0,I787+J785)</f>
        <v>5250</v>
      </c>
      <c r="K787" s="36" t="n">
        <f aca="false">IF(Scenarios!$F$42=3,0,J787+K785)</f>
        <v>6000</v>
      </c>
      <c r="L787" s="36" t="n">
        <f aca="false">IF(Scenarios!$F$42=3,0,K787+L785)</f>
        <v>6750</v>
      </c>
      <c r="M787" s="36" t="n">
        <f aca="false">IF(Scenarios!$F$42=3,0,L787+M785)</f>
        <v>7500</v>
      </c>
    </row>
    <row r="788" customFormat="false" ht="15" hidden="false" customHeight="false" outlineLevel="0" collapsed="false">
      <c r="A788" s="9" t="s">
        <v>491</v>
      </c>
      <c r="C788" s="36" t="n">
        <f aca="false">0</f>
        <v>0</v>
      </c>
      <c r="D788" s="36" t="n">
        <f aca="false">C787*a_yield*(1-a_tax)</f>
        <v>0</v>
      </c>
      <c r="E788" s="36" t="n">
        <f aca="false">D787*a_yield*(1-a_tax)</f>
        <v>33.75</v>
      </c>
      <c r="F788" s="36" t="n">
        <f aca="false">E787*a_yield*(1-a_tax)</f>
        <v>67.5</v>
      </c>
      <c r="G788" s="36" t="n">
        <f aca="false">F787*a_yield*(1-a_tax)</f>
        <v>101.25</v>
      </c>
      <c r="H788" s="36" t="n">
        <f aca="false">G787*a_yield*(1-a_tax)</f>
        <v>135</v>
      </c>
      <c r="I788" s="36" t="n">
        <f aca="false">H787*a_yield*(1-a_tax)</f>
        <v>168.75</v>
      </c>
      <c r="J788" s="36" t="n">
        <f aca="false">I787*a_yield*(1-a_tax)</f>
        <v>202.5</v>
      </c>
      <c r="K788" s="36" t="n">
        <f aca="false">J787*a_yield*(1-a_tax)</f>
        <v>236.25</v>
      </c>
      <c r="L788" s="36" t="n">
        <f aca="false">K787*a_yield*(1-a_tax)</f>
        <v>270</v>
      </c>
      <c r="M788" s="36" t="n">
        <f aca="false">L787*a_yield*(1-a_tax)</f>
        <v>303.75</v>
      </c>
    </row>
    <row r="789" customFormat="false" ht="15" hidden="false" customHeight="false" outlineLevel="0" collapsed="false">
      <c r="A789" s="9" t="s">
        <v>492</v>
      </c>
      <c r="C789" s="36" t="n">
        <f aca="false">cf_pat</f>
        <v>480</v>
      </c>
      <c r="D789" s="36" t="n">
        <f aca="false">cf_pat*(1+a_pat_growth)^D762</f>
        <v>480</v>
      </c>
      <c r="E789" s="36" t="n">
        <f aca="false">cf_pat*(1+a_pat_growth)^E762</f>
        <v>480</v>
      </c>
      <c r="F789" s="36" t="n">
        <f aca="false">cf_pat*(1+a_pat_growth)^F762</f>
        <v>480</v>
      </c>
      <c r="G789" s="36" t="n">
        <f aca="false">cf_pat*(1+a_pat_growth)^G762</f>
        <v>480</v>
      </c>
      <c r="H789" s="36" t="n">
        <f aca="false">cf_pat*(1+a_pat_growth)^H762</f>
        <v>480</v>
      </c>
      <c r="I789" s="36" t="n">
        <f aca="false">cf_pat*(1+a_pat_growth)^I762</f>
        <v>480</v>
      </c>
      <c r="J789" s="36" t="n">
        <f aca="false">cf_pat*(1+a_pat_growth)^J762</f>
        <v>480</v>
      </c>
      <c r="K789" s="36" t="n">
        <f aca="false">cf_pat*(1+a_pat_growth)^K762</f>
        <v>480</v>
      </c>
      <c r="L789" s="36" t="n">
        <f aca="false">cf_pat*(1+a_pat_growth)^L762</f>
        <v>480</v>
      </c>
      <c r="M789" s="36" t="n">
        <f aca="false">cf_pat*(1+a_pat_growth)^M762</f>
        <v>480</v>
      </c>
    </row>
    <row r="790" customFormat="false" ht="15" hidden="false" customHeight="false" outlineLevel="0" collapsed="false">
      <c r="A790" s="9" t="s">
        <v>493</v>
      </c>
      <c r="C790" s="36" t="n">
        <f aca="false">0</f>
        <v>0</v>
      </c>
      <c r="D790" s="36" t="n">
        <f aca="false">cf_mdr*a_mdr_flow*(1-a_tax)</f>
        <v>69</v>
      </c>
      <c r="E790" s="36" t="n">
        <f aca="false">cf_mdr*a_mdr_flow*(1-a_tax)</f>
        <v>69</v>
      </c>
      <c r="F790" s="36" t="n">
        <f aca="false">cf_mdr*a_mdr_flow*(1-a_tax)</f>
        <v>69</v>
      </c>
      <c r="G790" s="36" t="n">
        <f aca="false">cf_mdr*a_mdr_flow*(1-a_tax)</f>
        <v>69</v>
      </c>
      <c r="H790" s="36" t="n">
        <f aca="false">cf_mdr*a_mdr_flow*(1-a_tax)</f>
        <v>69</v>
      </c>
      <c r="I790" s="36" t="n">
        <f aca="false">cf_mdr*a_mdr_flow*(1-a_tax)</f>
        <v>69</v>
      </c>
      <c r="J790" s="36" t="n">
        <f aca="false">cf_mdr*a_mdr_flow*(1-a_tax)</f>
        <v>69</v>
      </c>
      <c r="K790" s="36" t="n">
        <f aca="false">cf_mdr*a_mdr_flow*(1-a_tax)</f>
        <v>69</v>
      </c>
      <c r="L790" s="36" t="n">
        <f aca="false">cf_mdr*a_mdr_flow*(1-a_tax)</f>
        <v>69</v>
      </c>
      <c r="M790" s="36" t="n">
        <f aca="false">cf_mdr*a_mdr_flow*(1-a_tax)</f>
        <v>69</v>
      </c>
    </row>
    <row r="791" customFormat="false" ht="15" hidden="false" customHeight="false" outlineLevel="0" collapsed="false">
      <c r="A791" s="9" t="s">
        <v>494</v>
      </c>
      <c r="C791" s="50" t="n">
        <f aca="false">cf_eps</f>
        <v>7.5</v>
      </c>
      <c r="D791" s="50" t="n">
        <f aca="false">D789/cf_shares</f>
        <v>7.5</v>
      </c>
      <c r="E791" s="50" t="n">
        <f aca="false">E789/cf_shares</f>
        <v>7.5</v>
      </c>
      <c r="F791" s="50" t="n">
        <f aca="false">F789/cf_shares</f>
        <v>7.5</v>
      </c>
      <c r="G791" s="50" t="n">
        <f aca="false">G789/cf_shares</f>
        <v>7.5</v>
      </c>
      <c r="H791" s="50" t="n">
        <f aca="false">H789/cf_shares</f>
        <v>7.5</v>
      </c>
      <c r="I791" s="50" t="n">
        <f aca="false">I789/cf_shares</f>
        <v>7.5</v>
      </c>
      <c r="J791" s="50" t="n">
        <f aca="false">J789/cf_shares</f>
        <v>7.5</v>
      </c>
      <c r="K791" s="50" t="n">
        <f aca="false">K789/cf_shares</f>
        <v>7.5</v>
      </c>
      <c r="L791" s="50" t="n">
        <f aca="false">L789/cf_shares</f>
        <v>7.5</v>
      </c>
      <c r="M791" s="50" t="n">
        <f aca="false">M789/cf_shares</f>
        <v>7.5</v>
      </c>
    </row>
    <row r="792" customFormat="false" ht="15" hidden="false" customHeight="false" outlineLevel="0" collapsed="false">
      <c r="A792" s="9" t="s">
        <v>495</v>
      </c>
      <c r="C792" s="50" t="n">
        <f aca="false">cf_eps</f>
        <v>7.5</v>
      </c>
      <c r="D792" s="50" t="n">
        <f aca="false">(D789+D790)/cf_shares</f>
        <v>8.578125</v>
      </c>
      <c r="E792" s="50" t="n">
        <f aca="false">(E789+E790)/cf_shares</f>
        <v>8.578125</v>
      </c>
      <c r="F792" s="50" t="n">
        <f aca="false">(F789+F790)/cf_shares</f>
        <v>8.578125</v>
      </c>
      <c r="G792" s="50" t="n">
        <f aca="false">(G789+G790)/cf_shares</f>
        <v>8.578125</v>
      </c>
      <c r="H792" s="50" t="n">
        <f aca="false">(H789+H790)/cf_shares</f>
        <v>8.578125</v>
      </c>
      <c r="I792" s="50" t="n">
        <f aca="false">(I789+I790)/cf_shares</f>
        <v>8.578125</v>
      </c>
      <c r="J792" s="50" t="n">
        <f aca="false">(J789+J790)/cf_shares</f>
        <v>8.578125</v>
      </c>
      <c r="K792" s="50" t="n">
        <f aca="false">(K789+K790)/cf_shares</f>
        <v>8.578125</v>
      </c>
      <c r="L792" s="50" t="n">
        <f aca="false">(L789+L790)/cf_shares</f>
        <v>8.578125</v>
      </c>
      <c r="M792" s="50" t="n">
        <f aca="false">(M789+M790)/cf_shares</f>
        <v>8.578125</v>
      </c>
    </row>
    <row r="793" customFormat="false" ht="15" hidden="false" customHeight="false" outlineLevel="0" collapsed="false">
      <c r="A793" s="4" t="s">
        <v>496</v>
      </c>
      <c r="C793" s="41" t="n">
        <f aca="false">-C780-C782</f>
        <v>-94.5</v>
      </c>
      <c r="D793" s="41" t="n">
        <f aca="false">D772+D784*(1-a_tax)-C780-C782-D786-D788</f>
        <v>-138.225</v>
      </c>
      <c r="E793" s="41" t="n">
        <f aca="false">E772+E784*(1-a_tax)-C780-C782-E786-E788</f>
        <v>-117.855</v>
      </c>
      <c r="F793" s="41" t="n">
        <f aca="false">F772+F784*(1-a_tax)-C780-C782-F786-F788</f>
        <v>-140.616</v>
      </c>
      <c r="G793" s="41" t="n">
        <f aca="false">G772+G784*(1-a_tax)-C780-C782-G786-G788</f>
        <v>-159.3972</v>
      </c>
      <c r="H793" s="41" t="n">
        <f aca="false">H772+H784*(1-a_tax)-C780-C782-H786-H788</f>
        <v>-173.04624</v>
      </c>
      <c r="I793" s="41" t="n">
        <f aca="false">I772+I784*(1-a_tax)-C780-C782-I786-I788</f>
        <v>-195.505488</v>
      </c>
      <c r="J793" s="41" t="n">
        <f aca="false">J772+J784*(1-a_tax)-C780-C782-J786-J788</f>
        <v>-215.7065856</v>
      </c>
      <c r="K793" s="41" t="n">
        <f aca="false">K772+K784*(1-a_tax)-C780-C782-K786-K788</f>
        <v>-233.19790272</v>
      </c>
      <c r="L793" s="41" t="n">
        <f aca="false">L772+L784*(1-a_tax)-C780-C782-L786-L788</f>
        <v>-247.437483264</v>
      </c>
      <c r="M793" s="41" t="n">
        <f aca="false">M772+M784*(1-a_tax)-C780-C782-M786-M788</f>
        <v>-257.7749799168</v>
      </c>
    </row>
    <row r="794" customFormat="false" ht="15" hidden="false" customHeight="false" outlineLevel="0" collapsed="false">
      <c r="A794" s="9" t="s">
        <v>497</v>
      </c>
      <c r="C794" s="36" t="n">
        <f aca="false">C789+C793</f>
        <v>385.5</v>
      </c>
      <c r="D794" s="36" t="n">
        <f aca="false">D789+D793</f>
        <v>341.775</v>
      </c>
      <c r="E794" s="36" t="n">
        <f aca="false">E789+E793</f>
        <v>362.145</v>
      </c>
      <c r="F794" s="36" t="n">
        <f aca="false">F789+F793</f>
        <v>339.384</v>
      </c>
      <c r="G794" s="36" t="n">
        <f aca="false">G789+G793</f>
        <v>320.6028</v>
      </c>
      <c r="H794" s="36" t="n">
        <f aca="false">H789+H793</f>
        <v>306.95376</v>
      </c>
      <c r="I794" s="36" t="n">
        <f aca="false">I789+I793</f>
        <v>284.494512</v>
      </c>
      <c r="J794" s="36" t="n">
        <f aca="false">J789+J793</f>
        <v>264.2934144</v>
      </c>
      <c r="K794" s="36" t="n">
        <f aca="false">K789+K793</f>
        <v>246.80209728</v>
      </c>
      <c r="L794" s="36" t="n">
        <f aca="false">L789+L793</f>
        <v>232.562516736</v>
      </c>
      <c r="M794" s="36" t="n">
        <f aca="false">M789+M793</f>
        <v>222.2250200832</v>
      </c>
    </row>
    <row r="795" customFormat="false" ht="15" hidden="false" customHeight="false" outlineLevel="0" collapsed="false">
      <c r="A795" s="4" t="s">
        <v>498</v>
      </c>
      <c r="C795" s="48" t="n">
        <f aca="false">C794/C779</f>
        <v>5.92858021653543</v>
      </c>
      <c r="D795" s="48" t="n">
        <f aca="false">D794/C779</f>
        <v>5.25613619586614</v>
      </c>
      <c r="E795" s="48" t="n">
        <f aca="false">E794/C779</f>
        <v>5.56940514271654</v>
      </c>
      <c r="F795" s="48" t="n">
        <f aca="false">F794/C779</f>
        <v>5.21936515748032</v>
      </c>
      <c r="G795" s="48" t="n">
        <f aca="false">G794/C779</f>
        <v>4.93053026574803</v>
      </c>
      <c r="H795" s="48" t="n">
        <f aca="false">H794/C779</f>
        <v>4.72062253937008</v>
      </c>
      <c r="I795" s="48" t="n">
        <f aca="false">I794/C779</f>
        <v>4.37522317913386</v>
      </c>
      <c r="J795" s="48" t="n">
        <f aca="false">J794/C779</f>
        <v>4.06455177165354</v>
      </c>
      <c r="K795" s="48" t="n">
        <f aca="false">K794/C779</f>
        <v>3.79555390748031</v>
      </c>
      <c r="L795" s="48" t="n">
        <f aca="false">L794/C779</f>
        <v>3.57656429527559</v>
      </c>
      <c r="M795" s="48" t="n">
        <f aca="false">M794/C779</f>
        <v>3.41758458543307</v>
      </c>
    </row>
    <row r="796" customFormat="false" ht="15" hidden="false" customHeight="false" outlineLevel="0" collapsed="false">
      <c r="A796" s="4" t="s">
        <v>499</v>
      </c>
      <c r="C796" s="14" t="n">
        <f aca="false">C795/cf_eps-1</f>
        <v>-0.209522637795276</v>
      </c>
      <c r="D796" s="14" t="n">
        <f aca="false">D795/cf_eps-1</f>
        <v>-0.299181840551181</v>
      </c>
      <c r="E796" s="14" t="n">
        <f aca="false">E795/cf_eps-1</f>
        <v>-0.257412647637795</v>
      </c>
      <c r="F796" s="14" t="n">
        <f aca="false">F795/cf_eps-1</f>
        <v>-0.304084645669291</v>
      </c>
      <c r="G796" s="14" t="n">
        <f aca="false">G795/cf_eps-1</f>
        <v>-0.342595964566929</v>
      </c>
      <c r="H796" s="14" t="n">
        <f aca="false">H795/cf_eps-1</f>
        <v>-0.370583661417323</v>
      </c>
      <c r="I796" s="14" t="n">
        <f aca="false">I795/cf_eps-1</f>
        <v>-0.416636909448819</v>
      </c>
      <c r="J796" s="14" t="n">
        <f aca="false">J795/cf_eps-1</f>
        <v>-0.458059763779528</v>
      </c>
      <c r="K796" s="14" t="n">
        <f aca="false">K795/cf_eps-1</f>
        <v>-0.493926145669291</v>
      </c>
      <c r="L796" s="14" t="n">
        <f aca="false">L795/cf_eps-1</f>
        <v>-0.523124760629921</v>
      </c>
      <c r="M796" s="14" t="n">
        <f aca="false">M795/cf_eps-1</f>
        <v>-0.544322055275591</v>
      </c>
    </row>
    <row r="797" customFormat="false" ht="15" hidden="false" customHeight="false" outlineLevel="0" collapsed="false">
      <c r="A797" s="9" t="s">
        <v>500</v>
      </c>
      <c r="C797" s="50" t="n">
        <f aca="false">C795</f>
        <v>5.92858021653543</v>
      </c>
      <c r="D797" s="50" t="n">
        <f aca="false">(D794+D790)/C779</f>
        <v>6.31728284940945</v>
      </c>
      <c r="E797" s="50" t="n">
        <f aca="false">(E794+E790)/C779</f>
        <v>6.63055179625984</v>
      </c>
      <c r="F797" s="50" t="n">
        <f aca="false">(F794+F790)/C779</f>
        <v>6.28051181102362</v>
      </c>
      <c r="G797" s="50" t="n">
        <f aca="false">(G794+G790)/C779</f>
        <v>5.99167691929134</v>
      </c>
      <c r="H797" s="50" t="n">
        <f aca="false">(H794+H790)/C779</f>
        <v>5.78176919291339</v>
      </c>
      <c r="I797" s="50" t="n">
        <f aca="false">(I794+I790)/C779</f>
        <v>5.43636983267717</v>
      </c>
      <c r="J797" s="50" t="n">
        <f aca="false">(J794+J790)/C779</f>
        <v>5.12569842519685</v>
      </c>
      <c r="K797" s="50" t="n">
        <f aca="false">(K794+K790)/C779</f>
        <v>4.85670056102362</v>
      </c>
      <c r="L797" s="50" t="n">
        <f aca="false">(L794+L790)/C779</f>
        <v>4.6377109488189</v>
      </c>
      <c r="M797" s="50" t="n">
        <f aca="false">(M794+M790)/C779</f>
        <v>4.47873123897638</v>
      </c>
    </row>
    <row r="798" customFormat="false" ht="15" hidden="false" customHeight="false" outlineLevel="0" collapsed="false">
      <c r="A798" s="9" t="s">
        <v>501</v>
      </c>
      <c r="C798" s="18" t="n">
        <f aca="false">C796</f>
        <v>-0.209522637795276</v>
      </c>
      <c r="D798" s="18" t="n">
        <f aca="false">D797/D792-1</f>
        <v>-0.263559012090702</v>
      </c>
      <c r="E798" s="18" t="n">
        <f aca="false">E797/E792-1</f>
        <v>-0.227039499160966</v>
      </c>
      <c r="F798" s="18" t="n">
        <f aca="false">F797/F792-1</f>
        <v>-0.267845617658448</v>
      </c>
      <c r="G798" s="18" t="n">
        <f aca="false">G797/G792-1</f>
        <v>-0.301516716148186</v>
      </c>
      <c r="H798" s="18" t="n">
        <f aca="false">H797/H792-1</f>
        <v>-0.325986833613012</v>
      </c>
      <c r="I798" s="18" t="n">
        <f aca="false">I797/I792-1</f>
        <v>-0.366251968503937</v>
      </c>
      <c r="J798" s="18" t="n">
        <f aca="false">J797/J792-1</f>
        <v>-0.402468671743901</v>
      </c>
      <c r="K798" s="18" t="n">
        <f aca="false">K797/K792-1</f>
        <v>-0.433827257002711</v>
      </c>
      <c r="L798" s="18" t="n">
        <f aca="false">L797/L792-1</f>
        <v>-0.459356100684136</v>
      </c>
      <c r="M798" s="18" t="n">
        <f aca="false">M797/M792-1</f>
        <v>-0.477889254472699</v>
      </c>
    </row>
    <row r="799" customFormat="false" ht="15" hidden="false" customHeight="false" outlineLevel="0" collapsed="false">
      <c r="A799" s="9" t="s">
        <v>502</v>
      </c>
      <c r="C799" s="50" t="n">
        <f aca="false">(C794+C782)/C779</f>
        <v>5.92858021653543</v>
      </c>
      <c r="D799" s="50" t="n">
        <f aca="false">(D794+C782)/C779</f>
        <v>5.25613619586614</v>
      </c>
      <c r="E799" s="50" t="n">
        <f aca="false">(E794+C782)/C779</f>
        <v>5.56940514271654</v>
      </c>
      <c r="F799" s="50" t="n">
        <f aca="false">(F794+C782)/C779</f>
        <v>5.21936515748032</v>
      </c>
      <c r="G799" s="50" t="n">
        <f aca="false">(G794+C782)/C779</f>
        <v>4.93053026574803</v>
      </c>
      <c r="H799" s="50" t="n">
        <f aca="false">(H794+C782)/C779</f>
        <v>4.72062253937008</v>
      </c>
      <c r="I799" s="50" t="n">
        <f aca="false">(I794+C782)/C779</f>
        <v>4.37522317913386</v>
      </c>
      <c r="J799" s="50" t="n">
        <f aca="false">(J794+C782)/C779</f>
        <v>4.06455177165354</v>
      </c>
      <c r="K799" s="50" t="n">
        <f aca="false">(K794+C782)/C779</f>
        <v>3.79555390748031</v>
      </c>
      <c r="L799" s="50" t="n">
        <f aca="false">(L794+C782)/C779</f>
        <v>3.57656429527559</v>
      </c>
      <c r="M799" s="50" t="n">
        <f aca="false">(M794+C782)/C779</f>
        <v>3.41758458543307</v>
      </c>
    </row>
    <row r="800" customFormat="false" ht="15" hidden="false" customHeight="false" outlineLevel="0" collapsed="false">
      <c r="A800" s="9" t="s">
        <v>503</v>
      </c>
      <c r="C800" s="50" t="n">
        <f aca="false">(C794-C781+C782)/C779</f>
        <v>4.48680487204724</v>
      </c>
      <c r="D800" s="50" t="n">
        <f aca="false">(D794-C781+C782)/C779</f>
        <v>3.81436085137795</v>
      </c>
      <c r="E800" s="50" t="n">
        <f aca="false">(E794-C781+C782)/C779</f>
        <v>4.12762979822835</v>
      </c>
      <c r="F800" s="50" t="n">
        <f aca="false">(F794-C781+C782)/C779</f>
        <v>3.77758981299213</v>
      </c>
      <c r="G800" s="50" t="n">
        <f aca="false">(G794-C781+C782)/C779</f>
        <v>3.48875492125984</v>
      </c>
      <c r="H800" s="50" t="n">
        <f aca="false">(H794-C781+C782)/C779</f>
        <v>3.27884719488189</v>
      </c>
      <c r="I800" s="50" t="n">
        <f aca="false">(I794-C781+C782)/C779</f>
        <v>2.93344783464567</v>
      </c>
      <c r="J800" s="50" t="n">
        <f aca="false">(J794-C781+C782)/C779</f>
        <v>2.62277642716535</v>
      </c>
      <c r="K800" s="50" t="n">
        <f aca="false">(K794-C781+C782)/C779</f>
        <v>2.35377856299213</v>
      </c>
      <c r="L800" s="50" t="n">
        <f aca="false">(L794-C781+C782)/C779</f>
        <v>2.1347889507874</v>
      </c>
      <c r="M800" s="50" t="n">
        <f aca="false">(M794-C781+C782)/C779</f>
        <v>1.97580924094488</v>
      </c>
    </row>
    <row r="801" customFormat="false" ht="15" hidden="false" customHeight="false" outlineLevel="0" collapsed="false">
      <c r="A801" s="9" t="s">
        <v>504</v>
      </c>
      <c r="C801" s="50" t="n">
        <f aca="false">C789/C779</f>
        <v>7.38188976377953</v>
      </c>
      <c r="D801" s="50" t="n">
        <f aca="false">D789/C779</f>
        <v>7.38188976377953</v>
      </c>
      <c r="E801" s="50" t="n">
        <f aca="false">E789/C779</f>
        <v>7.38188976377953</v>
      </c>
      <c r="F801" s="50" t="n">
        <f aca="false">F789/C779</f>
        <v>7.38188976377953</v>
      </c>
      <c r="G801" s="50" t="n">
        <f aca="false">G789/C779</f>
        <v>7.38188976377953</v>
      </c>
      <c r="H801" s="50" t="n">
        <f aca="false">H789/C779</f>
        <v>7.38188976377953</v>
      </c>
      <c r="I801" s="50" t="n">
        <f aca="false">I789/C779</f>
        <v>7.38188976377953</v>
      </c>
      <c r="J801" s="50" t="n">
        <f aca="false">J789/C779</f>
        <v>7.38188976377953</v>
      </c>
      <c r="K801" s="50" t="n">
        <f aca="false">K789/C779</f>
        <v>7.38188976377953</v>
      </c>
      <c r="L801" s="50" t="n">
        <f aca="false">L789/C779</f>
        <v>7.38188976377953</v>
      </c>
      <c r="M801" s="50" t="n">
        <f aca="false">M789/C779</f>
        <v>7.38188976377953</v>
      </c>
    </row>
    <row r="802" customFormat="false" ht="15" hidden="false" customHeight="false" outlineLevel="0" collapsed="false">
      <c r="A802" s="9" t="s">
        <v>505</v>
      </c>
      <c r="D802" s="36" t="n">
        <f aca="false">D775+D784*(1-a_tax)-D785-IF(D762=1,C783,0)</f>
        <v>-950.975</v>
      </c>
      <c r="E802" s="36" t="n">
        <f aca="false">E775+E784*(1-a_tax)-E785-IF(E762=1,C783,0)</f>
        <v>-741.255</v>
      </c>
      <c r="F802" s="36" t="n">
        <f aca="false">F775+F784*(1-a_tax)-F785-IF(F762=1,C783,0)</f>
        <v>-730.596</v>
      </c>
      <c r="G802" s="36" t="n">
        <f aca="false">G775+G784*(1-a_tax)-G785-IF(G762=1,C783,0)</f>
        <v>-716.0232</v>
      </c>
      <c r="H802" s="36" t="n">
        <f aca="false">H775+H784*(1-a_tax)-H785-IF(H762=1,C783,0)</f>
        <v>-696.39744</v>
      </c>
      <c r="I802" s="36" t="n">
        <f aca="false">I775+I784*(1-a_tax)-I785-IF(I762=1,C783,0)</f>
        <v>-685.676928</v>
      </c>
      <c r="J802" s="36" t="n">
        <f aca="false">J775+J784*(1-a_tax)-J785-IF(J762=1,C783,0)</f>
        <v>-672.8123136</v>
      </c>
      <c r="K802" s="36" t="n">
        <f aca="false">K775+K784*(1-a_tax)-K785-IF(K762=1,C783,0)</f>
        <v>-657.37477632</v>
      </c>
      <c r="L802" s="36" t="n">
        <f aca="false">L775+L784*(1-a_tax)-L785-IF(L762=1,C783,0)</f>
        <v>-638.849731584</v>
      </c>
      <c r="M802" s="36" t="n">
        <f aca="false">M775+M784*(1-a_tax)-M785-IF(M762=1,C783,0)</f>
        <v>-616.6196779008</v>
      </c>
    </row>
    <row r="803" customFormat="false" ht="15" hidden="false" customHeight="false" outlineLevel="0" collapsed="false">
      <c r="A803" s="4" t="s">
        <v>506</v>
      </c>
      <c r="D803" s="41" t="n">
        <f aca="false">D802-C780</f>
        <v>-1045.475</v>
      </c>
      <c r="E803" s="41" t="n">
        <f aca="false">E802-C780</f>
        <v>-835.755</v>
      </c>
      <c r="F803" s="41" t="n">
        <f aca="false">F802-C780</f>
        <v>-825.096</v>
      </c>
      <c r="G803" s="41" t="n">
        <f aca="false">G802-C780</f>
        <v>-810.5232</v>
      </c>
      <c r="H803" s="41" t="n">
        <f aca="false">H802-C780</f>
        <v>-790.89744</v>
      </c>
      <c r="I803" s="41" t="n">
        <f aca="false">I802-C780</f>
        <v>-780.176928</v>
      </c>
      <c r="J803" s="41" t="n">
        <f aca="false">J802-C780</f>
        <v>-767.3123136</v>
      </c>
      <c r="K803" s="41" t="n">
        <f aca="false">K802-C780</f>
        <v>-751.87477632</v>
      </c>
      <c r="L803" s="41" t="n">
        <f aca="false">L802-C780</f>
        <v>-733.349731584</v>
      </c>
      <c r="M803" s="41" t="n">
        <f aca="false">M802-C780</f>
        <v>-711.1196779008</v>
      </c>
    </row>
    <row r="804" customFormat="false" ht="15" hidden="false" customHeight="false" outlineLevel="0" collapsed="false">
      <c r="A804" s="9" t="s">
        <v>507</v>
      </c>
      <c r="C804" s="36" t="n">
        <f aca="false">0</f>
        <v>0</v>
      </c>
      <c r="D804" s="36" t="n">
        <f aca="false">D790</f>
        <v>69</v>
      </c>
      <c r="E804" s="36" t="n">
        <f aca="false">E790</f>
        <v>69</v>
      </c>
      <c r="F804" s="36" t="n">
        <f aca="false">F790</f>
        <v>69</v>
      </c>
      <c r="G804" s="36" t="n">
        <f aca="false">G790</f>
        <v>69</v>
      </c>
      <c r="H804" s="36" t="n">
        <f aca="false">H790</f>
        <v>69</v>
      </c>
      <c r="I804" s="36" t="n">
        <f aca="false">I790</f>
        <v>69</v>
      </c>
      <c r="J804" s="36" t="n">
        <f aca="false">J790</f>
        <v>69</v>
      </c>
      <c r="K804" s="36" t="n">
        <f aca="false">K790</f>
        <v>69</v>
      </c>
      <c r="L804" s="36" t="n">
        <f aca="false">L790</f>
        <v>69</v>
      </c>
      <c r="M804" s="36" t="n">
        <f aca="false">M790</f>
        <v>69</v>
      </c>
    </row>
    <row r="805" customFormat="false" ht="15" hidden="false" customHeight="false" outlineLevel="0" collapsed="false">
      <c r="A805" s="9" t="s">
        <v>508</v>
      </c>
      <c r="D805" s="36" t="n">
        <f aca="false">D803+D804</f>
        <v>-976.475</v>
      </c>
      <c r="E805" s="36" t="n">
        <f aca="false">E803+E804</f>
        <v>-766.755</v>
      </c>
      <c r="F805" s="36" t="n">
        <f aca="false">F803+F804</f>
        <v>-756.096</v>
      </c>
      <c r="G805" s="36" t="n">
        <f aca="false">G803+G804</f>
        <v>-741.5232</v>
      </c>
      <c r="H805" s="36" t="n">
        <f aca="false">H803+H804</f>
        <v>-721.89744</v>
      </c>
      <c r="I805" s="36" t="n">
        <f aca="false">I803+I804</f>
        <v>-711.176928</v>
      </c>
      <c r="J805" s="36" t="n">
        <f aca="false">J803+J804</f>
        <v>-698.3123136</v>
      </c>
      <c r="K805" s="36" t="n">
        <f aca="false">K803+K804</f>
        <v>-682.87477632</v>
      </c>
      <c r="L805" s="36" t="n">
        <f aca="false">L803+L804</f>
        <v>-664.349731584</v>
      </c>
      <c r="M805" s="36" t="n">
        <f aca="false">M803+M804</f>
        <v>-642.1196779008</v>
      </c>
    </row>
    <row r="806" customFormat="false" ht="15" hidden="false" customHeight="false" outlineLevel="0" collapsed="false">
      <c r="A806" s="9" t="s">
        <v>509</v>
      </c>
      <c r="D806" s="36" t="n">
        <f aca="false">IF(lv_mdr_in_deal=1,D805,D803)</f>
        <v>-1045.475</v>
      </c>
      <c r="E806" s="36" t="n">
        <f aca="false">IF(lv_mdr_in_deal=1,E805,E803)</f>
        <v>-835.755</v>
      </c>
      <c r="F806" s="36" t="n">
        <f aca="false">IF(lv_mdr_in_deal=1,F805,F803)</f>
        <v>-825.096</v>
      </c>
      <c r="G806" s="36" t="n">
        <f aca="false">IF(lv_mdr_in_deal=1,G805,G803)</f>
        <v>-810.5232</v>
      </c>
      <c r="H806" s="36" t="n">
        <f aca="false">IF(lv_mdr_in_deal=1,H805,H803)</f>
        <v>-790.89744</v>
      </c>
      <c r="I806" s="36" t="n">
        <f aca="false">IF(lv_mdr_in_deal=1,I805,I803)</f>
        <v>-780.176928</v>
      </c>
      <c r="J806" s="36" t="n">
        <f aca="false">IF(lv_mdr_in_deal=1,J805,J803)</f>
        <v>-767.3123136</v>
      </c>
      <c r="K806" s="36" t="n">
        <f aca="false">IF(lv_mdr_in_deal=1,K805,K803)</f>
        <v>-751.87477632</v>
      </c>
      <c r="L806" s="36" t="n">
        <f aca="false">IF(lv_mdr_in_deal=1,L805,L803)</f>
        <v>-733.349731584</v>
      </c>
      <c r="M806" s="36" t="n">
        <f aca="false">IF(lv_mdr_in_deal=1,M805,M803)</f>
        <v>-711.1196779008</v>
      </c>
    </row>
    <row r="807" customFormat="false" ht="15" hidden="false" customHeight="false" outlineLevel="0" collapsed="false">
      <c r="A807" s="9" t="s">
        <v>510</v>
      </c>
      <c r="C807" s="36" t="n">
        <f aca="false">-lv_price</f>
        <v>-4000</v>
      </c>
      <c r="D807" s="36" t="n">
        <f aca="false">C807+D806</f>
        <v>-5045.475</v>
      </c>
      <c r="E807" s="36" t="n">
        <f aca="false">D807+E806</f>
        <v>-5881.23</v>
      </c>
      <c r="F807" s="36" t="n">
        <f aca="false">E807+F806</f>
        <v>-6706.326</v>
      </c>
      <c r="G807" s="36" t="n">
        <f aca="false">F807+G806</f>
        <v>-7516.8492</v>
      </c>
      <c r="H807" s="36" t="n">
        <f aca="false">G807+H806</f>
        <v>-8307.74664</v>
      </c>
      <c r="I807" s="36" t="n">
        <f aca="false">H807+I806</f>
        <v>-9087.923568</v>
      </c>
      <c r="J807" s="36" t="n">
        <f aca="false">I807+J806</f>
        <v>-9855.2358816</v>
      </c>
      <c r="K807" s="36" t="n">
        <f aca="false">J807+K806</f>
        <v>-10607.11065792</v>
      </c>
      <c r="L807" s="36" t="n">
        <f aca="false">K807+L806</f>
        <v>-11340.460389504</v>
      </c>
      <c r="M807" s="36" t="n">
        <f aca="false">L807+M806</f>
        <v>-12051.5800674048</v>
      </c>
    </row>
    <row r="808" customFormat="false" ht="15" hidden="false" customHeight="false" outlineLevel="0" collapsed="false">
      <c r="A808" s="9" t="s">
        <v>511</v>
      </c>
      <c r="C808" s="43" t="n">
        <f aca="false">1</f>
        <v>1</v>
      </c>
      <c r="D808" s="43" t="n">
        <f aca="false">1/(1+Scenarios!$F$43)^D762</f>
        <v>0.869565217391304</v>
      </c>
      <c r="E808" s="43" t="n">
        <f aca="false">1/(1+Scenarios!$F$43)^E762</f>
        <v>0.756143667296787</v>
      </c>
      <c r="F808" s="43" t="n">
        <f aca="false">1/(1+Scenarios!$F$43)^F762</f>
        <v>0.657516232431988</v>
      </c>
      <c r="G808" s="43" t="n">
        <f aca="false">1/(1+Scenarios!$F$43)^G762</f>
        <v>0.571753245593033</v>
      </c>
      <c r="H808" s="43" t="n">
        <f aca="false">1/(1+Scenarios!$F$43)^H762</f>
        <v>0.49717673529829</v>
      </c>
      <c r="I808" s="43" t="n">
        <f aca="false">1/(1+Scenarios!$F$43)^I762</f>
        <v>0.432327595911556</v>
      </c>
      <c r="J808" s="43" t="n">
        <f aca="false">1/(1+Scenarios!$F$43)^J762</f>
        <v>0.375937039923093</v>
      </c>
      <c r="K808" s="43" t="n">
        <f aca="false">1/(1+Scenarios!$F$43)^K762</f>
        <v>0.326901773846168</v>
      </c>
      <c r="L808" s="43" t="n">
        <f aca="false">1/(1+Scenarios!$F$43)^L762</f>
        <v>0.284262412040146</v>
      </c>
      <c r="M808" s="43" t="n">
        <f aca="false">1/(1+Scenarios!$F$43)^M762</f>
        <v>0.247184706121866</v>
      </c>
    </row>
    <row r="809" customFormat="false" ht="15" hidden="false" customHeight="false" outlineLevel="0" collapsed="false">
      <c r="A809" s="9" t="s">
        <v>512</v>
      </c>
      <c r="C809" s="46" t="n">
        <f aca="false">99</f>
        <v>99</v>
      </c>
      <c r="D809" s="46" t="n">
        <f aca="false">IF(D793&gt;=0,D762,99)</f>
        <v>99</v>
      </c>
      <c r="E809" s="46" t="n">
        <f aca="false">IF(E793&gt;=0,E762,99)</f>
        <v>99</v>
      </c>
      <c r="F809" s="46" t="n">
        <f aca="false">IF(F793&gt;=0,F762,99)</f>
        <v>99</v>
      </c>
      <c r="G809" s="46" t="n">
        <f aca="false">IF(G793&gt;=0,G762,99)</f>
        <v>99</v>
      </c>
      <c r="H809" s="46" t="n">
        <f aca="false">IF(H793&gt;=0,H762,99)</f>
        <v>99</v>
      </c>
      <c r="I809" s="46" t="n">
        <f aca="false">IF(I793&gt;=0,I762,99)</f>
        <v>99</v>
      </c>
      <c r="J809" s="46" t="n">
        <f aca="false">IF(J793&gt;=0,J762,99)</f>
        <v>99</v>
      </c>
      <c r="K809" s="46" t="n">
        <f aca="false">IF(K793&gt;=0,K762,99)</f>
        <v>99</v>
      </c>
      <c r="L809" s="46" t="n">
        <f aca="false">IF(L793&gt;=0,L762,99)</f>
        <v>99</v>
      </c>
      <c r="M809" s="46" t="n">
        <f aca="false">IF(M793&gt;=0,M762,99)</f>
        <v>99</v>
      </c>
    </row>
    <row r="810" customFormat="false" ht="15" hidden="false" customHeight="false" outlineLevel="0" collapsed="false">
      <c r="A810" s="9" t="s">
        <v>513</v>
      </c>
      <c r="C810" s="46" t="n">
        <f aca="false">99</f>
        <v>99</v>
      </c>
      <c r="D810" s="46" t="n">
        <f aca="false">IF(D793+D790&gt;=0,D762,99)</f>
        <v>99</v>
      </c>
      <c r="E810" s="46" t="n">
        <f aca="false">IF(E793+E790&gt;=0,E762,99)</f>
        <v>99</v>
      </c>
      <c r="F810" s="46" t="n">
        <f aca="false">IF(F793+F790&gt;=0,F762,99)</f>
        <v>99</v>
      </c>
      <c r="G810" s="46" t="n">
        <f aca="false">IF(G793+G790&gt;=0,G762,99)</f>
        <v>99</v>
      </c>
      <c r="H810" s="46" t="n">
        <f aca="false">IF(H793+H790&gt;=0,H762,99)</f>
        <v>99</v>
      </c>
      <c r="I810" s="46" t="n">
        <f aca="false">IF(I793+I790&gt;=0,I762,99)</f>
        <v>99</v>
      </c>
      <c r="J810" s="46" t="n">
        <f aca="false">IF(J793+J790&gt;=0,J762,99)</f>
        <v>99</v>
      </c>
      <c r="K810" s="46" t="n">
        <f aca="false">IF(K793+K790&gt;=0,K762,99)</f>
        <v>99</v>
      </c>
      <c r="L810" s="46" t="n">
        <f aca="false">IF(L793+L790&gt;=0,L762,99)</f>
        <v>99</v>
      </c>
      <c r="M810" s="46" t="n">
        <f aca="false">IF(M793+M790&gt;=0,M762,99)</f>
        <v>99</v>
      </c>
    </row>
    <row r="811" customFormat="false" ht="15" hidden="false" customHeight="false" outlineLevel="0" collapsed="false">
      <c r="A811" s="9" t="s">
        <v>514</v>
      </c>
      <c r="C811" s="46" t="n">
        <f aca="false">99</f>
        <v>99</v>
      </c>
      <c r="D811" s="46" t="n">
        <f aca="false">IF(D803&gt;=0,D762,99)</f>
        <v>99</v>
      </c>
      <c r="E811" s="46" t="n">
        <f aca="false">IF(E803&gt;=0,E762,99)</f>
        <v>99</v>
      </c>
      <c r="F811" s="46" t="n">
        <f aca="false">IF(F803&gt;=0,F762,99)</f>
        <v>99</v>
      </c>
      <c r="G811" s="46" t="n">
        <f aca="false">IF(G803&gt;=0,G762,99)</f>
        <v>99</v>
      </c>
      <c r="H811" s="46" t="n">
        <f aca="false">IF(H803&gt;=0,H762,99)</f>
        <v>99</v>
      </c>
      <c r="I811" s="46" t="n">
        <f aca="false">IF(I803&gt;=0,I762,99)</f>
        <v>99</v>
      </c>
      <c r="J811" s="46" t="n">
        <f aca="false">IF(J803&gt;=0,J762,99)</f>
        <v>99</v>
      </c>
      <c r="K811" s="46" t="n">
        <f aca="false">IF(K803&gt;=0,K762,99)</f>
        <v>99</v>
      </c>
      <c r="L811" s="46" t="n">
        <f aca="false">IF(L803&gt;=0,L762,99)</f>
        <v>99</v>
      </c>
      <c r="M811" s="46" t="n">
        <f aca="false">IF(M803&gt;=0,M762,99)</f>
        <v>99</v>
      </c>
    </row>
    <row r="812" customFormat="false" ht="15" hidden="false" customHeight="false" outlineLevel="0" collapsed="false">
      <c r="A812" s="9" t="s">
        <v>515</v>
      </c>
      <c r="C812" s="46" t="n">
        <f aca="false">99</f>
        <v>99</v>
      </c>
      <c r="D812" s="46" t="n">
        <f aca="false">IF(D805&gt;=0,D762,99)</f>
        <v>99</v>
      </c>
      <c r="E812" s="46" t="n">
        <f aca="false">IF(E805&gt;=0,E762,99)</f>
        <v>99</v>
      </c>
      <c r="F812" s="46" t="n">
        <f aca="false">IF(F805&gt;=0,F762,99)</f>
        <v>99</v>
      </c>
      <c r="G812" s="46" t="n">
        <f aca="false">IF(G805&gt;=0,G762,99)</f>
        <v>99</v>
      </c>
      <c r="H812" s="46" t="n">
        <f aca="false">IF(H805&gt;=0,H762,99)</f>
        <v>99</v>
      </c>
      <c r="I812" s="46" t="n">
        <f aca="false">IF(I805&gt;=0,I762,99)</f>
        <v>99</v>
      </c>
      <c r="J812" s="46" t="n">
        <f aca="false">IF(J805&gt;=0,J762,99)</f>
        <v>99</v>
      </c>
      <c r="K812" s="46" t="n">
        <f aca="false">IF(K805&gt;=0,K762,99)</f>
        <v>99</v>
      </c>
      <c r="L812" s="46" t="n">
        <f aca="false">IF(L805&gt;=0,L762,99)</f>
        <v>99</v>
      </c>
      <c r="M812" s="46" t="n">
        <f aca="false">IF(M805&gt;=0,M762,99)</f>
        <v>99</v>
      </c>
    </row>
    <row r="813" customFormat="false" ht="15" hidden="false" customHeight="false" outlineLevel="0" collapsed="false">
      <c r="A813" s="9" t="s">
        <v>516</v>
      </c>
      <c r="C813" s="46" t="n">
        <f aca="false">99</f>
        <v>99</v>
      </c>
      <c r="D813" s="46" t="n">
        <f aca="false">IF(D807&gt;=0,D762,99)</f>
        <v>99</v>
      </c>
      <c r="E813" s="46" t="n">
        <f aca="false">IF(E807&gt;=0,E762,99)</f>
        <v>99</v>
      </c>
      <c r="F813" s="46" t="n">
        <f aca="false">IF(F807&gt;=0,F762,99)</f>
        <v>99</v>
      </c>
      <c r="G813" s="46" t="n">
        <f aca="false">IF(G807&gt;=0,G762,99)</f>
        <v>99</v>
      </c>
      <c r="H813" s="46" t="n">
        <f aca="false">IF(H807&gt;=0,H762,99)</f>
        <v>99</v>
      </c>
      <c r="I813" s="46" t="n">
        <f aca="false">IF(I807&gt;=0,I762,99)</f>
        <v>99</v>
      </c>
      <c r="J813" s="46" t="n">
        <f aca="false">IF(J807&gt;=0,J762,99)</f>
        <v>99</v>
      </c>
      <c r="K813" s="46" t="n">
        <f aca="false">IF(K807&gt;=0,K762,99)</f>
        <v>99</v>
      </c>
      <c r="L813" s="46" t="n">
        <f aca="false">IF(L807&gt;=0,L762,99)</f>
        <v>99</v>
      </c>
      <c r="M813" s="46" t="n">
        <f aca="false">IF(M807&gt;=0,M762,99)</f>
        <v>99</v>
      </c>
    </row>
    <row r="814" customFormat="false" ht="15" hidden="false" customHeight="false" outlineLevel="0" collapsed="false">
      <c r="A814" s="4" t="s">
        <v>517</v>
      </c>
      <c r="C814" s="23" t="n">
        <f aca="false">MIN(D809:M809)</f>
        <v>99</v>
      </c>
    </row>
    <row r="815" customFormat="false" ht="15" hidden="false" customHeight="false" outlineLevel="0" collapsed="false">
      <c r="A815" s="9" t="s">
        <v>518</v>
      </c>
      <c r="C815" s="46" t="n">
        <f aca="false">MIN(D810:M810)</f>
        <v>99</v>
      </c>
    </row>
    <row r="816" customFormat="false" ht="15" hidden="false" customHeight="false" outlineLevel="0" collapsed="false">
      <c r="A816" s="4" t="s">
        <v>519</v>
      </c>
      <c r="C816" s="23" t="n">
        <f aca="false">MIN(D811:M811)</f>
        <v>99</v>
      </c>
    </row>
    <row r="817" customFormat="false" ht="15" hidden="false" customHeight="false" outlineLevel="0" collapsed="false">
      <c r="A817" s="9" t="s">
        <v>520</v>
      </c>
      <c r="C817" s="46" t="n">
        <f aca="false">MIN(D812:M812)</f>
        <v>99</v>
      </c>
    </row>
    <row r="818" customFormat="false" ht="15" hidden="false" customHeight="false" outlineLevel="0" collapsed="false">
      <c r="A818" s="9" t="s">
        <v>521</v>
      </c>
      <c r="C818" s="46" t="n">
        <f aca="false">MIN(D813:M813)</f>
        <v>99</v>
      </c>
    </row>
    <row r="819" customFormat="false" ht="15" hidden="false" customHeight="false" outlineLevel="0" collapsed="false">
      <c r="A819" s="4" t="s">
        <v>522</v>
      </c>
      <c r="C819" s="15" t="n">
        <f aca="false">M807</f>
        <v>-12051.5800674048</v>
      </c>
    </row>
    <row r="820" customFormat="false" ht="15" hidden="false" customHeight="false" outlineLevel="0" collapsed="false">
      <c r="A820" s="9" t="s">
        <v>523</v>
      </c>
      <c r="C820" s="36" t="n">
        <f aca="false">SUMPRODUCT(D775:M775,D808:M808)</f>
        <v>181.487896487704</v>
      </c>
    </row>
    <row r="821" customFormat="false" ht="15" hidden="false" customHeight="false" outlineLevel="0" collapsed="false">
      <c r="A821" s="9" t="s">
        <v>524</v>
      </c>
      <c r="C821" s="36" t="n">
        <f aca="false">M775*(1+a_tg)/(Scenarios!$F$43-a_tg)</f>
        <v>1400.4933820416</v>
      </c>
    </row>
    <row r="822" customFormat="false" ht="15" hidden="false" customHeight="false" outlineLevel="0" collapsed="false">
      <c r="A822" s="9" t="s">
        <v>314</v>
      </c>
      <c r="C822" s="36" t="n">
        <f aca="false">C821*M808</f>
        <v>346.180545065571</v>
      </c>
    </row>
    <row r="823" customFormat="false" ht="15" hidden="false" customHeight="false" outlineLevel="0" collapsed="false">
      <c r="A823" s="4" t="s">
        <v>525</v>
      </c>
      <c r="C823" s="15" t="n">
        <f aca="false">C820+C822</f>
        <v>527.668441553275</v>
      </c>
    </row>
    <row r="824" customFormat="false" ht="15" hidden="false" customHeight="false" outlineLevel="0" collapsed="false">
      <c r="A824" s="9" t="s">
        <v>526</v>
      </c>
      <c r="C824" s="32" t="n">
        <f aca="false">SUMPRODUCT(D785:M785,D808:M808)-a_recovery*M787*M808</f>
        <v>3764.07646939067</v>
      </c>
    </row>
    <row r="825" customFormat="false" ht="15" hidden="false" customHeight="false" outlineLevel="0" collapsed="false">
      <c r="A825" s="9" t="s">
        <v>527</v>
      </c>
      <c r="C825" s="36" t="n">
        <f aca="false">SUMPRODUCT(D784:M784,D808:M808)*(1-a_tax)</f>
        <v>0</v>
      </c>
    </row>
    <row r="826" customFormat="false" ht="15" hidden="false" customHeight="false" outlineLevel="0" collapsed="false">
      <c r="A826" s="9" t="s">
        <v>528</v>
      </c>
      <c r="C826" s="36" t="n">
        <f aca="false">C783*D808</f>
        <v>139.130434782609</v>
      </c>
    </row>
    <row r="827" customFormat="false" ht="15" hidden="false" customHeight="false" outlineLevel="0" collapsed="false">
      <c r="A827" s="4" t="s">
        <v>529</v>
      </c>
      <c r="C827" s="20" t="n">
        <f aca="false">C823+C825-C824-C826-lv_price</f>
        <v>-7375.53846262001</v>
      </c>
    </row>
    <row r="828" customFormat="false" ht="15" hidden="false" customHeight="false" outlineLevel="0" collapsed="false">
      <c r="A828" s="9" t="s">
        <v>530</v>
      </c>
      <c r="C828" s="32" t="n">
        <f aca="false">C827+SUMPRODUCT(D804:M804,D808:M808)</f>
        <v>-7029.24342743607</v>
      </c>
    </row>
    <row r="829" customFormat="false" ht="15" hidden="false" customHeight="false" outlineLevel="0" collapsed="false">
      <c r="A829" s="4" t="s">
        <v>531</v>
      </c>
      <c r="C829" s="59" t="n">
        <f aca="false">lv_price/D765</f>
        <v>24.2424242424242</v>
      </c>
    </row>
    <row r="830" customFormat="false" ht="15" hidden="false" customHeight="false" outlineLevel="0" collapsed="false">
      <c r="A830" s="9" t="s">
        <v>532</v>
      </c>
      <c r="C830" s="17" t="n">
        <f aca="false">(lv_price+C824)/D765</f>
        <v>47.055008905398</v>
      </c>
    </row>
    <row r="831" customFormat="false" ht="15" hidden="false" customHeight="false" outlineLevel="0" collapsed="false">
      <c r="A831" s="4" t="s">
        <v>533</v>
      </c>
      <c r="C831" s="15" t="n">
        <f aca="false">(C827+C824)/SUMPRODUCT(D808:M808)</f>
        <v>-719.591250854812</v>
      </c>
    </row>
    <row r="832" customFormat="false" ht="15" hidden="false" customHeight="false" outlineLevel="0" collapsed="false">
      <c r="A832" s="4" t="s">
        <v>534</v>
      </c>
      <c r="C832" s="25" t="n">
        <f aca="false">D795</f>
        <v>5.25613619586614</v>
      </c>
    </row>
    <row r="833" customFormat="false" ht="15" hidden="false" customHeight="false" outlineLevel="0" collapsed="false">
      <c r="A833" s="9" t="s">
        <v>535</v>
      </c>
      <c r="C833" s="50" t="n">
        <f aca="false">F795</f>
        <v>5.21936515748032</v>
      </c>
    </row>
    <row r="834" customFormat="false" ht="15" hidden="false" customHeight="false" outlineLevel="0" collapsed="false">
      <c r="A834" s="4" t="s">
        <v>536</v>
      </c>
      <c r="C834" s="20" t="n">
        <f aca="false">D803</f>
        <v>-1045.475</v>
      </c>
    </row>
    <row r="835" customFormat="false" ht="15" hidden="false" customHeight="false" outlineLevel="0" collapsed="false">
      <c r="A835" s="9" t="s">
        <v>537</v>
      </c>
      <c r="C835" s="32" t="n">
        <f aca="false">cf_cash-lv_mix_cash-C783</f>
        <v>6640</v>
      </c>
    </row>
    <row r="836" customFormat="false" ht="15" hidden="false" customHeight="false" outlineLevel="0" collapsed="false">
      <c r="A836" s="9" t="s">
        <v>538</v>
      </c>
      <c r="C836" s="32" t="n">
        <f aca="false">cf_debt+lv_mix_debt</f>
        <v>350</v>
      </c>
    </row>
    <row r="837" customFormat="false" ht="15" hidden="false" customHeight="false" outlineLevel="0" collapsed="false">
      <c r="A837" s="9" t="s">
        <v>539</v>
      </c>
      <c r="C837" s="34" t="n">
        <f aca="false">C836/cf_ebitda</f>
        <v>0.546875</v>
      </c>
    </row>
    <row r="838" customFormat="false" ht="15" hidden="false" customHeight="false" outlineLevel="0" collapsed="false">
      <c r="A838" s="9" t="s">
        <v>540</v>
      </c>
      <c r="C838" s="32" t="n">
        <f aca="false">C835+SUM(D806:F806)+3*cf_pat</f>
        <v>5373.674</v>
      </c>
    </row>
    <row r="840" customFormat="false" ht="15" hidden="false" customHeight="false" outlineLevel="0" collapsed="false">
      <c r="A840" s="7" t="s">
        <v>884</v>
      </c>
      <c r="B840" s="8"/>
      <c r="C840" s="8"/>
      <c r="D840" s="8"/>
      <c r="E840" s="8"/>
      <c r="F840" s="8"/>
      <c r="G840" s="8"/>
      <c r="H840" s="8"/>
      <c r="I840" s="8"/>
      <c r="J840" s="8"/>
      <c r="K840" s="8"/>
      <c r="L840" s="8"/>
      <c r="M840" s="8"/>
      <c r="N840" s="8"/>
    </row>
    <row r="841" customFormat="false" ht="15" hidden="false" customHeight="false" outlineLevel="0" collapsed="false">
      <c r="A841" s="4" t="s">
        <v>284</v>
      </c>
      <c r="C841" s="39" t="n">
        <v>0</v>
      </c>
      <c r="D841" s="39" t="n">
        <v>1</v>
      </c>
      <c r="E841" s="39" t="n">
        <v>2</v>
      </c>
      <c r="F841" s="39" t="n">
        <v>3</v>
      </c>
      <c r="G841" s="39" t="n">
        <v>4</v>
      </c>
      <c r="H841" s="39" t="n">
        <v>5</v>
      </c>
      <c r="I841" s="39" t="n">
        <v>6</v>
      </c>
      <c r="J841" s="39" t="n">
        <v>7</v>
      </c>
      <c r="K841" s="39" t="n">
        <v>8</v>
      </c>
      <c r="L841" s="39" t="n">
        <v>9</v>
      </c>
      <c r="M841" s="39" t="n">
        <v>10</v>
      </c>
    </row>
    <row r="842" customFormat="false" ht="15" hidden="false" customHeight="false" outlineLevel="0" collapsed="false">
      <c r="A842" s="9" t="s">
        <v>285</v>
      </c>
      <c r="C842" s="40" t="n">
        <f aca="false">cf_arr</f>
        <v>220</v>
      </c>
      <c r="D842" s="36" t="n">
        <f aca="false">C842*(1+Scenarios!$G$39)</f>
        <v>264</v>
      </c>
      <c r="E842" s="36" t="n">
        <f aca="false">D842*(1+Scenarios!$G$39)</f>
        <v>316.8</v>
      </c>
      <c r="F842" s="36" t="n">
        <f aca="false">E842*(1+Scenarios!$G$39)</f>
        <v>380.16</v>
      </c>
      <c r="G842" s="36" t="n">
        <f aca="false">F842*(1+Scenarios!$G$39)</f>
        <v>456.192</v>
      </c>
      <c r="H842" s="36" t="n">
        <f aca="false">G842*(1+Scenarios!$G$39)</f>
        <v>547.4304</v>
      </c>
      <c r="I842" s="36" t="n">
        <f aca="false">H842*(1+Scenarios!$G$39)</f>
        <v>656.91648</v>
      </c>
      <c r="J842" s="36" t="n">
        <f aca="false">I842*(1+Scenarios!$G$39)</f>
        <v>788.299776</v>
      </c>
      <c r="K842" s="36" t="n">
        <f aca="false">J842*(1+Scenarios!$G$39)</f>
        <v>945.9597312</v>
      </c>
      <c r="L842" s="36" t="n">
        <f aca="false">K842*(1+Scenarios!$G$39)</f>
        <v>1135.15167744</v>
      </c>
      <c r="M842" s="36" t="n">
        <f aca="false">L842*(1+Scenarios!$G$39)</f>
        <v>1362.182012928</v>
      </c>
    </row>
    <row r="843" customFormat="false" ht="15" hidden="false" customHeight="false" outlineLevel="0" collapsed="false">
      <c r="A843" s="9" t="s">
        <v>286</v>
      </c>
      <c r="C843" s="18" t="n">
        <f aca="false">1</f>
        <v>1</v>
      </c>
      <c r="D843" s="18" t="n">
        <f aca="false">IF(D841&gt;=a_churn_year,1-Scenarios!$G$40,1)</f>
        <v>0.625</v>
      </c>
      <c r="E843" s="18" t="n">
        <f aca="false">IF(E841&gt;=a_churn_year,1-Scenarios!$G$40,1)</f>
        <v>0.625</v>
      </c>
      <c r="F843" s="18" t="n">
        <f aca="false">IF(F841&gt;=a_churn_year,1-Scenarios!$G$40,1)</f>
        <v>0.625</v>
      </c>
      <c r="G843" s="18" t="n">
        <f aca="false">IF(G841&gt;=a_churn_year,1-Scenarios!$G$40,1)</f>
        <v>0.625</v>
      </c>
      <c r="H843" s="18" t="n">
        <f aca="false">IF(H841&gt;=a_churn_year,1-Scenarios!$G$40,1)</f>
        <v>0.625</v>
      </c>
      <c r="I843" s="18" t="n">
        <f aca="false">IF(I841&gt;=a_churn_year,1-Scenarios!$G$40,1)</f>
        <v>0.625</v>
      </c>
      <c r="J843" s="18" t="n">
        <f aca="false">IF(J841&gt;=a_churn_year,1-Scenarios!$G$40,1)</f>
        <v>0.625</v>
      </c>
      <c r="K843" s="18" t="n">
        <f aca="false">IF(K841&gt;=a_churn_year,1-Scenarios!$G$40,1)</f>
        <v>0.625</v>
      </c>
      <c r="L843" s="18" t="n">
        <f aca="false">IF(L841&gt;=a_churn_year,1-Scenarios!$G$40,1)</f>
        <v>0.625</v>
      </c>
      <c r="M843" s="18" t="n">
        <f aca="false">IF(M841&gt;=a_churn_year,1-Scenarios!$G$40,1)</f>
        <v>0.625</v>
      </c>
    </row>
    <row r="844" customFormat="false" ht="15" hidden="false" customHeight="false" outlineLevel="0" collapsed="false">
      <c r="A844" s="4" t="s">
        <v>287</v>
      </c>
      <c r="C844" s="41" t="n">
        <f aca="false">C842*C843</f>
        <v>220</v>
      </c>
      <c r="D844" s="41" t="n">
        <f aca="false">D842*D843</f>
        <v>165</v>
      </c>
      <c r="E844" s="41" t="n">
        <f aca="false">E842*E843</f>
        <v>198</v>
      </c>
      <c r="F844" s="41" t="n">
        <f aca="false">F842*F843</f>
        <v>237.6</v>
      </c>
      <c r="G844" s="41" t="n">
        <f aca="false">G842*G843</f>
        <v>285.12</v>
      </c>
      <c r="H844" s="41" t="n">
        <f aca="false">H842*H843</f>
        <v>342.144</v>
      </c>
      <c r="I844" s="41" t="n">
        <f aca="false">I842*I843</f>
        <v>410.5728</v>
      </c>
      <c r="J844" s="41" t="n">
        <f aca="false">J842*J843</f>
        <v>492.68736</v>
      </c>
      <c r="K844" s="41" t="n">
        <f aca="false">K842*K843</f>
        <v>591.224832</v>
      </c>
      <c r="L844" s="41" t="n">
        <f aca="false">L842*L843</f>
        <v>709.4697984</v>
      </c>
      <c r="M844" s="41" t="n">
        <f aca="false">M842*M843</f>
        <v>851.36375808</v>
      </c>
    </row>
    <row r="845" customFormat="false" ht="15" hidden="false" customHeight="false" outlineLevel="0" collapsed="false">
      <c r="A845" s="9" t="s">
        <v>288</v>
      </c>
      <c r="C845" s="18" t="n">
        <f aca="false">MIN(a_m0+a_mstep*C841,a_mcap)</f>
        <v>0</v>
      </c>
      <c r="D845" s="18" t="n">
        <f aca="false">MIN(a_m0+a_mstep*D841,a_mcap)</f>
        <v>0.05</v>
      </c>
      <c r="E845" s="18" t="n">
        <f aca="false">MIN(a_m0+a_mstep*E841,a_mcap)</f>
        <v>0.1</v>
      </c>
      <c r="F845" s="18" t="n">
        <f aca="false">MIN(a_m0+a_mstep*F841,a_mcap)</f>
        <v>0.15</v>
      </c>
      <c r="G845" s="18" t="n">
        <f aca="false">MIN(a_m0+a_mstep*G841,a_mcap)</f>
        <v>0.2</v>
      </c>
      <c r="H845" s="18" t="n">
        <f aca="false">MIN(a_m0+a_mstep*H841,a_mcap)</f>
        <v>0.25</v>
      </c>
      <c r="I845" s="18" t="n">
        <f aca="false">MIN(a_m0+a_mstep*I841,a_mcap)</f>
        <v>0.25</v>
      </c>
      <c r="J845" s="18" t="n">
        <f aca="false">MIN(a_m0+a_mstep*J841,a_mcap)</f>
        <v>0.25</v>
      </c>
      <c r="K845" s="18" t="n">
        <f aca="false">MIN(a_m0+a_mstep*K841,a_mcap)</f>
        <v>0.25</v>
      </c>
      <c r="L845" s="18" t="n">
        <f aca="false">MIN(a_m0+a_mstep*L841,a_mcap)</f>
        <v>0.25</v>
      </c>
      <c r="M845" s="18" t="n">
        <f aca="false">MIN(a_m0+a_mstep*M841,a_mcap)</f>
        <v>0.25</v>
      </c>
    </row>
    <row r="846" customFormat="false" ht="15" hidden="false" customHeight="false" outlineLevel="0" collapsed="false">
      <c r="A846" s="9" t="s">
        <v>289</v>
      </c>
      <c r="C846" s="36" t="n">
        <f aca="false">IF(C841=a_churn_year,a_sticky*(C842-C844)*(1-C845),0)</f>
        <v>0</v>
      </c>
      <c r="D846" s="36" t="n">
        <f aca="false">IF(D841=a_churn_year,a_sticky*(D842-D844)*(1-D845),0)</f>
        <v>47.025</v>
      </c>
      <c r="E846" s="36" t="n">
        <f aca="false">IF(E841=a_churn_year,a_sticky*(E842-E844)*(1-E845),0)</f>
        <v>0</v>
      </c>
      <c r="F846" s="36" t="n">
        <f aca="false">IF(F841=a_churn_year,a_sticky*(F842-F844)*(1-F845),0)</f>
        <v>0</v>
      </c>
      <c r="G846" s="36" t="n">
        <f aca="false">IF(G841=a_churn_year,a_sticky*(G842-G844)*(1-G845),0)</f>
        <v>0</v>
      </c>
      <c r="H846" s="36" t="n">
        <f aca="false">IF(H841=a_churn_year,a_sticky*(H842-H844)*(1-H845),0)</f>
        <v>0</v>
      </c>
      <c r="I846" s="36" t="n">
        <f aca="false">IF(I841=a_churn_year,a_sticky*(I842-I844)*(1-I845),0)</f>
        <v>0</v>
      </c>
      <c r="J846" s="36" t="n">
        <f aca="false">IF(J841=a_churn_year,a_sticky*(J842-J844)*(1-J845),0)</f>
        <v>0</v>
      </c>
      <c r="K846" s="36" t="n">
        <f aca="false">IF(K841=a_churn_year,a_sticky*(K842-K844)*(1-K845),0)</f>
        <v>0</v>
      </c>
      <c r="L846" s="36" t="n">
        <f aca="false">IF(L841=a_churn_year,a_sticky*(L842-L844)*(1-L845),0)</f>
        <v>0</v>
      </c>
      <c r="M846" s="36" t="n">
        <f aca="false">IF(M841=a_churn_year,a_sticky*(M842-M844)*(1-M845),0)</f>
        <v>0</v>
      </c>
    </row>
    <row r="847" customFormat="false" ht="15" hidden="false" customHeight="false" outlineLevel="0" collapsed="false">
      <c r="A847" s="4" t="s">
        <v>290</v>
      </c>
      <c r="C847" s="41" t="n">
        <f aca="false">C844*C845-C846</f>
        <v>0</v>
      </c>
      <c r="D847" s="41" t="n">
        <f aca="false">D844*D845-D846</f>
        <v>-38.775</v>
      </c>
      <c r="E847" s="41" t="n">
        <f aca="false">E844*E845-E846</f>
        <v>19.8</v>
      </c>
      <c r="F847" s="41" t="n">
        <f aca="false">F844*F845-F846</f>
        <v>35.64</v>
      </c>
      <c r="G847" s="41" t="n">
        <f aca="false">G844*G845-G846</f>
        <v>57.024</v>
      </c>
      <c r="H847" s="41" t="n">
        <f aca="false">H844*H845-H846</f>
        <v>85.536</v>
      </c>
      <c r="I847" s="41" t="n">
        <f aca="false">I844*I845-I846</f>
        <v>102.6432</v>
      </c>
      <c r="J847" s="41" t="n">
        <f aca="false">J844*J845-J846</f>
        <v>123.17184</v>
      </c>
      <c r="K847" s="41" t="n">
        <f aca="false">K844*K845-K846</f>
        <v>147.806208</v>
      </c>
      <c r="L847" s="41" t="n">
        <f aca="false">L844*L845-L846</f>
        <v>177.3674496</v>
      </c>
      <c r="M847" s="41" t="n">
        <f aca="false">M844*M845-M846</f>
        <v>212.84093952</v>
      </c>
    </row>
    <row r="848" customFormat="false" ht="15" hidden="false" customHeight="false" outlineLevel="0" collapsed="false">
      <c r="A848" s="9" t="s">
        <v>291</v>
      </c>
      <c r="C848" s="36" t="n">
        <f aca="false">C844*a_da</f>
        <v>6.6</v>
      </c>
      <c r="D848" s="36" t="n">
        <f aca="false">D844*a_da</f>
        <v>4.95</v>
      </c>
      <c r="E848" s="36" t="n">
        <f aca="false">E844*a_da</f>
        <v>5.94</v>
      </c>
      <c r="F848" s="36" t="n">
        <f aca="false">F844*a_da</f>
        <v>7.128</v>
      </c>
      <c r="G848" s="36" t="n">
        <f aca="false">G844*a_da</f>
        <v>8.5536</v>
      </c>
      <c r="H848" s="36" t="n">
        <f aca="false">H844*a_da</f>
        <v>10.26432</v>
      </c>
      <c r="I848" s="36" t="n">
        <f aca="false">I844*a_da</f>
        <v>12.317184</v>
      </c>
      <c r="J848" s="36" t="n">
        <f aca="false">J844*a_da</f>
        <v>14.7806208</v>
      </c>
      <c r="K848" s="36" t="n">
        <f aca="false">K844*a_da</f>
        <v>17.73674496</v>
      </c>
      <c r="L848" s="36" t="n">
        <f aca="false">L844*a_da</f>
        <v>21.284093952</v>
      </c>
      <c r="M848" s="36" t="n">
        <f aca="false">M844*a_da</f>
        <v>25.5409127424</v>
      </c>
    </row>
    <row r="849" customFormat="false" ht="15" hidden="false" customHeight="false" outlineLevel="0" collapsed="false">
      <c r="A849" s="9" t="s">
        <v>292</v>
      </c>
      <c r="C849" s="36" t="n">
        <f aca="false">C847-C848</f>
        <v>-6.6</v>
      </c>
      <c r="D849" s="36" t="n">
        <f aca="false">D847-D848</f>
        <v>-43.725</v>
      </c>
      <c r="E849" s="36" t="n">
        <f aca="false">E847-E848</f>
        <v>13.86</v>
      </c>
      <c r="F849" s="36" t="n">
        <f aca="false">F847-F848</f>
        <v>28.512</v>
      </c>
      <c r="G849" s="36" t="n">
        <f aca="false">G847-G848</f>
        <v>48.4704</v>
      </c>
      <c r="H849" s="36" t="n">
        <f aca="false">H847-H848</f>
        <v>75.27168</v>
      </c>
      <c r="I849" s="36" t="n">
        <f aca="false">I847-I848</f>
        <v>90.326016</v>
      </c>
      <c r="J849" s="36" t="n">
        <f aca="false">J847-J848</f>
        <v>108.3912192</v>
      </c>
      <c r="K849" s="36" t="n">
        <f aca="false">K847-K848</f>
        <v>130.06946304</v>
      </c>
      <c r="L849" s="36" t="n">
        <f aca="false">L847-L848</f>
        <v>156.083355648</v>
      </c>
      <c r="M849" s="36" t="n">
        <f aca="false">M847-M848</f>
        <v>187.3000267776</v>
      </c>
    </row>
    <row r="850" customFormat="false" ht="15" hidden="false" customHeight="false" outlineLevel="0" collapsed="false">
      <c r="A850" s="9" t="s">
        <v>293</v>
      </c>
      <c r="C850" s="36" t="n">
        <f aca="false">MAX(0,C849)*a_tax</f>
        <v>0</v>
      </c>
      <c r="D850" s="36" t="n">
        <f aca="false">MAX(0,D849)*a_tax</f>
        <v>0</v>
      </c>
      <c r="E850" s="36" t="n">
        <f aca="false">MAX(0,E849)*a_tax</f>
        <v>3.465</v>
      </c>
      <c r="F850" s="36" t="n">
        <f aca="false">MAX(0,F849)*a_tax</f>
        <v>7.128</v>
      </c>
      <c r="G850" s="36" t="n">
        <f aca="false">MAX(0,G849)*a_tax</f>
        <v>12.1176</v>
      </c>
      <c r="H850" s="36" t="n">
        <f aca="false">MAX(0,H849)*a_tax</f>
        <v>18.81792</v>
      </c>
      <c r="I850" s="36" t="n">
        <f aca="false">MAX(0,I849)*a_tax</f>
        <v>22.581504</v>
      </c>
      <c r="J850" s="36" t="n">
        <f aca="false">MAX(0,J849)*a_tax</f>
        <v>27.0978048</v>
      </c>
      <c r="K850" s="36" t="n">
        <f aca="false">MAX(0,K849)*a_tax</f>
        <v>32.51736576</v>
      </c>
      <c r="L850" s="36" t="n">
        <f aca="false">MAX(0,L849)*a_tax</f>
        <v>39.020838912</v>
      </c>
      <c r="M850" s="36" t="n">
        <f aca="false">MAX(0,M849)*a_tax</f>
        <v>46.8250066944</v>
      </c>
    </row>
    <row r="851" customFormat="false" ht="15" hidden="false" customHeight="false" outlineLevel="0" collapsed="false">
      <c r="A851" s="4" t="s">
        <v>294</v>
      </c>
      <c r="C851" s="42" t="n">
        <f aca="false">cf_lim_pat</f>
        <v>0</v>
      </c>
      <c r="D851" s="41" t="n">
        <f aca="false">D849-D850</f>
        <v>-43.725</v>
      </c>
      <c r="E851" s="41" t="n">
        <f aca="false">E849-E850</f>
        <v>10.395</v>
      </c>
      <c r="F851" s="41" t="n">
        <f aca="false">F849-F850</f>
        <v>21.384</v>
      </c>
      <c r="G851" s="41" t="n">
        <f aca="false">G849-G850</f>
        <v>36.3528</v>
      </c>
      <c r="H851" s="41" t="n">
        <f aca="false">H849-H850</f>
        <v>56.45376</v>
      </c>
      <c r="I851" s="41" t="n">
        <f aca="false">I849-I850</f>
        <v>67.744512</v>
      </c>
      <c r="J851" s="41" t="n">
        <f aca="false">J849-J850</f>
        <v>81.2934144</v>
      </c>
      <c r="K851" s="41" t="n">
        <f aca="false">K849-K850</f>
        <v>97.55209728</v>
      </c>
      <c r="L851" s="41" t="n">
        <f aca="false">L849-L850</f>
        <v>117.062516736</v>
      </c>
      <c r="M851" s="41" t="n">
        <f aca="false">M849-M850</f>
        <v>140.4750200832</v>
      </c>
    </row>
    <row r="852" customFormat="false" ht="15" hidden="false" customHeight="false" outlineLevel="0" collapsed="false">
      <c r="A852" s="9" t="s">
        <v>295</v>
      </c>
      <c r="C852" s="36" t="n">
        <f aca="false">C844*a_capex</f>
        <v>6.6</v>
      </c>
      <c r="D852" s="36" t="n">
        <f aca="false">D844*a_capex</f>
        <v>4.95</v>
      </c>
      <c r="E852" s="36" t="n">
        <f aca="false">E844*a_capex</f>
        <v>5.94</v>
      </c>
      <c r="F852" s="36" t="n">
        <f aca="false">F844*a_capex</f>
        <v>7.128</v>
      </c>
      <c r="G852" s="36" t="n">
        <f aca="false">G844*a_capex</f>
        <v>8.5536</v>
      </c>
      <c r="H852" s="36" t="n">
        <f aca="false">H844*a_capex</f>
        <v>10.26432</v>
      </c>
      <c r="I852" s="36" t="n">
        <f aca="false">I844*a_capex</f>
        <v>12.317184</v>
      </c>
      <c r="J852" s="36" t="n">
        <f aca="false">J844*a_capex</f>
        <v>14.7806208</v>
      </c>
      <c r="K852" s="36" t="n">
        <f aca="false">K844*a_capex</f>
        <v>17.73674496</v>
      </c>
      <c r="L852" s="36" t="n">
        <f aca="false">L844*a_capex</f>
        <v>21.284093952</v>
      </c>
      <c r="M852" s="36" t="n">
        <f aca="false">M844*a_capex</f>
        <v>25.5409127424</v>
      </c>
    </row>
    <row r="853" customFormat="false" ht="15" hidden="false" customHeight="false" outlineLevel="0" collapsed="false">
      <c r="A853" s="9" t="s">
        <v>296</v>
      </c>
      <c r="C853" s="36" t="n">
        <f aca="false">0</f>
        <v>0</v>
      </c>
      <c r="D853" s="36" t="n">
        <f aca="false">a_wc*(D844-C844)</f>
        <v>-2.75</v>
      </c>
      <c r="E853" s="36" t="n">
        <f aca="false">a_wc*(E844-D844)</f>
        <v>1.65</v>
      </c>
      <c r="F853" s="36" t="n">
        <f aca="false">a_wc*(F844-E844)</f>
        <v>1.98</v>
      </c>
      <c r="G853" s="36" t="n">
        <f aca="false">a_wc*(G844-F844)</f>
        <v>2.376</v>
      </c>
      <c r="H853" s="36" t="n">
        <f aca="false">a_wc*(H844-G844)</f>
        <v>2.8512</v>
      </c>
      <c r="I853" s="36" t="n">
        <f aca="false">a_wc*(I844-H844)</f>
        <v>3.42144</v>
      </c>
      <c r="J853" s="36" t="n">
        <f aca="false">a_wc*(J844-I844)</f>
        <v>4.105728</v>
      </c>
      <c r="K853" s="36" t="n">
        <f aca="false">a_wc*(K844-J844)</f>
        <v>4.9268736</v>
      </c>
      <c r="L853" s="36" t="n">
        <f aca="false">a_wc*(L844-K844)</f>
        <v>5.91224832</v>
      </c>
      <c r="M853" s="36" t="n">
        <f aca="false">a_wc*(M844-L844)</f>
        <v>7.094697984</v>
      </c>
    </row>
    <row r="854" customFormat="false" ht="15" hidden="false" customHeight="false" outlineLevel="0" collapsed="false">
      <c r="A854" s="4" t="s">
        <v>297</v>
      </c>
      <c r="C854" s="36" t="n">
        <f aca="false">0</f>
        <v>0</v>
      </c>
      <c r="D854" s="41" t="n">
        <f aca="false">D851+D848-D852-D853</f>
        <v>-40.975</v>
      </c>
      <c r="E854" s="41" t="n">
        <f aca="false">E851+E848-E852-E853</f>
        <v>8.745</v>
      </c>
      <c r="F854" s="41" t="n">
        <f aca="false">F851+F848-F852-F853</f>
        <v>19.404</v>
      </c>
      <c r="G854" s="41" t="n">
        <f aca="false">G851+G848-G852-G853</f>
        <v>33.9768</v>
      </c>
      <c r="H854" s="41" t="n">
        <f aca="false">H851+H848-H852-H853</f>
        <v>53.60256</v>
      </c>
      <c r="I854" s="41" t="n">
        <f aca="false">I851+I848-I852-I853</f>
        <v>64.323072</v>
      </c>
      <c r="J854" s="41" t="n">
        <f aca="false">J851+J848-J852-J853</f>
        <v>77.1876864</v>
      </c>
      <c r="K854" s="41" t="n">
        <f aca="false">K851+K848-K852-K853</f>
        <v>92.62522368</v>
      </c>
      <c r="L854" s="41" t="n">
        <f aca="false">L851+L848-L852-L853</f>
        <v>111.150268416</v>
      </c>
      <c r="M854" s="41" t="n">
        <f aca="false">M851+M848-M852-M853</f>
        <v>133.3803220992</v>
      </c>
    </row>
    <row r="856" customFormat="false" ht="15" hidden="false" customHeight="false" outlineLevel="0" collapsed="false">
      <c r="A856" s="7" t="s">
        <v>885</v>
      </c>
      <c r="B856" s="8"/>
      <c r="C856" s="8"/>
      <c r="D856" s="8"/>
      <c r="E856" s="8"/>
      <c r="F856" s="8"/>
      <c r="G856" s="8"/>
      <c r="H856" s="8"/>
      <c r="I856" s="8"/>
      <c r="J856" s="8"/>
      <c r="K856" s="8"/>
      <c r="L856" s="8"/>
      <c r="M856" s="8"/>
      <c r="N856" s="8"/>
    </row>
    <row r="857" customFormat="false" ht="15" hidden="false" customHeight="false" outlineLevel="0" collapsed="false">
      <c r="A857" s="9" t="s">
        <v>482</v>
      </c>
      <c r="C857" s="35" t="n">
        <f aca="false">lv_mix_eq/(c_price*(1-a_issue_disc))</f>
        <v>1.024</v>
      </c>
    </row>
    <row r="858" customFormat="false" ht="15" hidden="false" customHeight="false" outlineLevel="0" collapsed="false">
      <c r="A858" s="9" t="s">
        <v>449</v>
      </c>
      <c r="C858" s="35" t="n">
        <f aca="false">cf_shares+C857</f>
        <v>65.024</v>
      </c>
    </row>
    <row r="859" customFormat="false" ht="15" hidden="false" customHeight="false" outlineLevel="0" collapsed="false">
      <c r="A859" s="9" t="s">
        <v>483</v>
      </c>
      <c r="C859" s="36" t="n">
        <f aca="false">lv_mix_cash*a_yield*(1-a_tax)+lv_mix_debt*a_kd*(1-a_tax)</f>
        <v>94.5</v>
      </c>
    </row>
    <row r="860" customFormat="false" ht="15" hidden="false" customHeight="false" outlineLevel="0" collapsed="false">
      <c r="A860" s="9" t="s">
        <v>484</v>
      </c>
      <c r="C860" s="36" t="n">
        <f aca="false">lv_price*a_ppa_share/a_ppa_life*(1-a_tax)</f>
        <v>93.75</v>
      </c>
    </row>
    <row r="861" customFormat="false" ht="15" hidden="false" customHeight="false" outlineLevel="0" collapsed="false">
      <c r="A861" s="9" t="s">
        <v>485</v>
      </c>
      <c r="C861" s="36" t="n">
        <f aca="false">a_ppa_on*C860</f>
        <v>0</v>
      </c>
    </row>
    <row r="862" customFormat="false" ht="15" hidden="false" customHeight="false" outlineLevel="0" collapsed="false">
      <c r="A862" s="9" t="s">
        <v>486</v>
      </c>
      <c r="C862" s="36" t="n">
        <f aca="false">lv_price*a_fees_pct+a_integ_full</f>
        <v>160</v>
      </c>
    </row>
    <row r="863" customFormat="false" ht="15" hidden="false" customHeight="false" outlineLevel="0" collapsed="false">
      <c r="A863" s="9" t="s">
        <v>487</v>
      </c>
      <c r="C863" s="36" t="n">
        <f aca="false">0</f>
        <v>0</v>
      </c>
      <c r="D863" s="36" t="n">
        <f aca="false">a_syn_on*(a_syn_partner_rev_y3+a_syn_xsell_y3)*a_mcap*IF(D841=1,a_syn_ramp1,IF(D841=2,a_syn_ramp2,1))+a_syn_on*IF(D841&gt;=2,a_syn_cost,0)</f>
        <v>0</v>
      </c>
      <c r="E863" s="36" t="n">
        <f aca="false">a_syn_on*(a_syn_partner_rev_y3+a_syn_xsell_y3)*a_mcap*IF(E841=1,a_syn_ramp1,IF(E841=2,a_syn_ramp2,1))+a_syn_on*IF(E841&gt;=2,a_syn_cost,0)</f>
        <v>0</v>
      </c>
      <c r="F863" s="36" t="n">
        <f aca="false">a_syn_on*(a_syn_partner_rev_y3+a_syn_xsell_y3)*a_mcap*IF(F841=1,a_syn_ramp1,IF(F841=2,a_syn_ramp2,1))+a_syn_on*IF(F841&gt;=2,a_syn_cost,0)</f>
        <v>0</v>
      </c>
      <c r="G863" s="36" t="n">
        <f aca="false">a_syn_on*(a_syn_partner_rev_y3+a_syn_xsell_y3)*a_mcap*IF(G841=1,a_syn_ramp1,IF(G841=2,a_syn_ramp2,1))+a_syn_on*IF(G841&gt;=2,a_syn_cost,0)</f>
        <v>0</v>
      </c>
      <c r="H863" s="36" t="n">
        <f aca="false">a_syn_on*(a_syn_partner_rev_y3+a_syn_xsell_y3)*a_mcap*IF(H841=1,a_syn_ramp1,IF(H841=2,a_syn_ramp2,1))+a_syn_on*IF(H841&gt;=2,a_syn_cost,0)</f>
        <v>0</v>
      </c>
      <c r="I863" s="36" t="n">
        <f aca="false">a_syn_on*(a_syn_partner_rev_y3+a_syn_xsell_y3)*a_mcap*IF(I841=1,a_syn_ramp1,IF(I841=2,a_syn_ramp2,1))+a_syn_on*IF(I841&gt;=2,a_syn_cost,0)</f>
        <v>0</v>
      </c>
      <c r="J863" s="36" t="n">
        <f aca="false">a_syn_on*(a_syn_partner_rev_y3+a_syn_xsell_y3)*a_mcap*IF(J841=1,a_syn_ramp1,IF(J841=2,a_syn_ramp2,1))+a_syn_on*IF(J841&gt;=2,a_syn_cost,0)</f>
        <v>0</v>
      </c>
      <c r="K863" s="36" t="n">
        <f aca="false">a_syn_on*(a_syn_partner_rev_y3+a_syn_xsell_y3)*a_mcap*IF(K841=1,a_syn_ramp1,IF(K841=2,a_syn_ramp2,1))+a_syn_on*IF(K841&gt;=2,a_syn_cost,0)</f>
        <v>0</v>
      </c>
      <c r="L863" s="36" t="n">
        <f aca="false">a_syn_on*(a_syn_partner_rev_y3+a_syn_xsell_y3)*a_mcap*IF(L841=1,a_syn_ramp1,IF(L841=2,a_syn_ramp2,1))+a_syn_on*IF(L841&gt;=2,a_syn_cost,0)</f>
        <v>0</v>
      </c>
      <c r="M863" s="36" t="n">
        <f aca="false">a_syn_on*(a_syn_partner_rev_y3+a_syn_xsell_y3)*a_mcap*IF(M841=1,a_syn_ramp1,IF(M841=2,a_syn_ramp2,1))+a_syn_on*IF(M841&gt;=2,a_syn_cost,0)</f>
        <v>0</v>
      </c>
    </row>
    <row r="864" customFormat="false" ht="15" hidden="false" customHeight="false" outlineLevel="0" collapsed="false">
      <c r="A864" s="9" t="s">
        <v>488</v>
      </c>
      <c r="C864" s="36" t="n">
        <f aca="false">0</f>
        <v>0</v>
      </c>
      <c r="D864" s="36" t="n">
        <f aca="false">CHOOSE(Scenarios!$G$42,Scenarios!$G$41,Scenarios!$G$41*D844/cf_arr,Scenarios!$G$41*(1-a_tax))</f>
        <v>562.5</v>
      </c>
      <c r="E864" s="36" t="n">
        <f aca="false">CHOOSE(Scenarios!$G$42,Scenarios!$G$41,Scenarios!$G$41*E844/cf_arr,Scenarios!$G$41*(1-a_tax))</f>
        <v>675</v>
      </c>
      <c r="F864" s="36" t="n">
        <f aca="false">CHOOSE(Scenarios!$G$42,Scenarios!$G$41,Scenarios!$G$41*F844/cf_arr,Scenarios!$G$41*(1-a_tax))</f>
        <v>810</v>
      </c>
      <c r="G864" s="36" t="n">
        <f aca="false">CHOOSE(Scenarios!$G$42,Scenarios!$G$41,Scenarios!$G$41*G844/cf_arr,Scenarios!$G$41*(1-a_tax))</f>
        <v>972</v>
      </c>
      <c r="H864" s="36" t="n">
        <f aca="false">CHOOSE(Scenarios!$G$42,Scenarios!$G$41,Scenarios!$G$41*H844/cf_arr,Scenarios!$G$41*(1-a_tax))</f>
        <v>1166.4</v>
      </c>
      <c r="I864" s="36" t="n">
        <f aca="false">CHOOSE(Scenarios!$G$42,Scenarios!$G$41,Scenarios!$G$41*I844/cf_arr,Scenarios!$G$41*(1-a_tax))</f>
        <v>1399.68</v>
      </c>
      <c r="J864" s="36" t="n">
        <f aca="false">CHOOSE(Scenarios!$G$42,Scenarios!$G$41,Scenarios!$G$41*J844/cf_arr,Scenarios!$G$41*(1-a_tax))</f>
        <v>1679.616</v>
      </c>
      <c r="K864" s="36" t="n">
        <f aca="false">CHOOSE(Scenarios!$G$42,Scenarios!$G$41,Scenarios!$G$41*K844/cf_arr,Scenarios!$G$41*(1-a_tax))</f>
        <v>2015.5392</v>
      </c>
      <c r="L864" s="36" t="n">
        <f aca="false">CHOOSE(Scenarios!$G$42,Scenarios!$G$41,Scenarios!$G$41*L844/cf_arr,Scenarios!$G$41*(1-a_tax))</f>
        <v>2418.64704</v>
      </c>
      <c r="M864" s="36" t="n">
        <f aca="false">CHOOSE(Scenarios!$G$42,Scenarios!$G$41,Scenarios!$G$41*M844/cf_arr,Scenarios!$G$41*(1-a_tax))</f>
        <v>2902.376448</v>
      </c>
    </row>
    <row r="865" customFormat="false" ht="15" hidden="false" customHeight="false" outlineLevel="0" collapsed="false">
      <c r="A865" s="9" t="s">
        <v>489</v>
      </c>
      <c r="C865" s="36" t="n">
        <f aca="false">0</f>
        <v>0</v>
      </c>
      <c r="D865" s="36" t="n">
        <f aca="false">IF(Scenarios!$G$42=3,Scenarios!$G$41*(1-a_tax),0)</f>
        <v>0</v>
      </c>
      <c r="E865" s="36" t="n">
        <f aca="false">IF(Scenarios!$G$42=3,Scenarios!$G$41*(1-a_tax),0)</f>
        <v>0</v>
      </c>
      <c r="F865" s="36" t="n">
        <f aca="false">IF(Scenarios!$G$42=3,Scenarios!$G$41*(1-a_tax),0)</f>
        <v>0</v>
      </c>
      <c r="G865" s="36" t="n">
        <f aca="false">IF(Scenarios!$G$42=3,Scenarios!$G$41*(1-a_tax),0)</f>
        <v>0</v>
      </c>
      <c r="H865" s="36" t="n">
        <f aca="false">IF(Scenarios!$G$42=3,Scenarios!$G$41*(1-a_tax),0)</f>
        <v>0</v>
      </c>
      <c r="I865" s="36" t="n">
        <f aca="false">IF(Scenarios!$G$42=3,Scenarios!$G$41*(1-a_tax),0)</f>
        <v>0</v>
      </c>
      <c r="J865" s="36" t="n">
        <f aca="false">IF(Scenarios!$G$42=3,Scenarios!$G$41*(1-a_tax),0)</f>
        <v>0</v>
      </c>
      <c r="K865" s="36" t="n">
        <f aca="false">IF(Scenarios!$G$42=3,Scenarios!$G$41*(1-a_tax),0)</f>
        <v>0</v>
      </c>
      <c r="L865" s="36" t="n">
        <f aca="false">IF(Scenarios!$G$42=3,Scenarios!$G$41*(1-a_tax),0)</f>
        <v>0</v>
      </c>
      <c r="M865" s="36" t="n">
        <f aca="false">IF(Scenarios!$G$42=3,Scenarios!$G$41*(1-a_tax),0)</f>
        <v>0</v>
      </c>
    </row>
    <row r="866" customFormat="false" ht="15" hidden="false" customHeight="false" outlineLevel="0" collapsed="false">
      <c r="A866" s="9" t="s">
        <v>490</v>
      </c>
      <c r="C866" s="36" t="n">
        <f aca="false">0</f>
        <v>0</v>
      </c>
      <c r="D866" s="36" t="n">
        <f aca="false">IF(Scenarios!$G$42=3,0,C866+D864)</f>
        <v>562.5</v>
      </c>
      <c r="E866" s="36" t="n">
        <f aca="false">IF(Scenarios!$G$42=3,0,D866+E864)</f>
        <v>1237.5</v>
      </c>
      <c r="F866" s="36" t="n">
        <f aca="false">IF(Scenarios!$G$42=3,0,E866+F864)</f>
        <v>2047.5</v>
      </c>
      <c r="G866" s="36" t="n">
        <f aca="false">IF(Scenarios!$G$42=3,0,F866+G864)</f>
        <v>3019.5</v>
      </c>
      <c r="H866" s="36" t="n">
        <f aca="false">IF(Scenarios!$G$42=3,0,G866+H864)</f>
        <v>4185.9</v>
      </c>
      <c r="I866" s="36" t="n">
        <f aca="false">IF(Scenarios!$G$42=3,0,H866+I864)</f>
        <v>5585.58</v>
      </c>
      <c r="J866" s="36" t="n">
        <f aca="false">IF(Scenarios!$G$42=3,0,I866+J864)</f>
        <v>7265.196</v>
      </c>
      <c r="K866" s="36" t="n">
        <f aca="false">IF(Scenarios!$G$42=3,0,J866+K864)</f>
        <v>9280.7352</v>
      </c>
      <c r="L866" s="36" t="n">
        <f aca="false">IF(Scenarios!$G$42=3,0,K866+L864)</f>
        <v>11699.38224</v>
      </c>
      <c r="M866" s="36" t="n">
        <f aca="false">IF(Scenarios!$G$42=3,0,L866+M864)</f>
        <v>14601.758688</v>
      </c>
    </row>
    <row r="867" customFormat="false" ht="15" hidden="false" customHeight="false" outlineLevel="0" collapsed="false">
      <c r="A867" s="9" t="s">
        <v>491</v>
      </c>
      <c r="C867" s="36" t="n">
        <f aca="false">0</f>
        <v>0</v>
      </c>
      <c r="D867" s="36" t="n">
        <f aca="false">C866*a_yield*(1-a_tax)</f>
        <v>0</v>
      </c>
      <c r="E867" s="36" t="n">
        <f aca="false">D866*a_yield*(1-a_tax)</f>
        <v>25.3125</v>
      </c>
      <c r="F867" s="36" t="n">
        <f aca="false">E866*a_yield*(1-a_tax)</f>
        <v>55.6875</v>
      </c>
      <c r="G867" s="36" t="n">
        <f aca="false">F866*a_yield*(1-a_tax)</f>
        <v>92.1375</v>
      </c>
      <c r="H867" s="36" t="n">
        <f aca="false">G866*a_yield*(1-a_tax)</f>
        <v>135.8775</v>
      </c>
      <c r="I867" s="36" t="n">
        <f aca="false">H866*a_yield*(1-a_tax)</f>
        <v>188.3655</v>
      </c>
      <c r="J867" s="36" t="n">
        <f aca="false">I866*a_yield*(1-a_tax)</f>
        <v>251.3511</v>
      </c>
      <c r="K867" s="36" t="n">
        <f aca="false">J866*a_yield*(1-a_tax)</f>
        <v>326.93382</v>
      </c>
      <c r="L867" s="36" t="n">
        <f aca="false">K866*a_yield*(1-a_tax)</f>
        <v>417.633084</v>
      </c>
      <c r="M867" s="36" t="n">
        <f aca="false">L866*a_yield*(1-a_tax)</f>
        <v>526.4722008</v>
      </c>
    </row>
    <row r="868" customFormat="false" ht="15" hidden="false" customHeight="false" outlineLevel="0" collapsed="false">
      <c r="A868" s="9" t="s">
        <v>492</v>
      </c>
      <c r="C868" s="36" t="n">
        <f aca="false">cf_pat</f>
        <v>480</v>
      </c>
      <c r="D868" s="36" t="n">
        <f aca="false">cf_pat*(1+a_pat_growth)^D841</f>
        <v>480</v>
      </c>
      <c r="E868" s="36" t="n">
        <f aca="false">cf_pat*(1+a_pat_growth)^E841</f>
        <v>480</v>
      </c>
      <c r="F868" s="36" t="n">
        <f aca="false">cf_pat*(1+a_pat_growth)^F841</f>
        <v>480</v>
      </c>
      <c r="G868" s="36" t="n">
        <f aca="false">cf_pat*(1+a_pat_growth)^G841</f>
        <v>480</v>
      </c>
      <c r="H868" s="36" t="n">
        <f aca="false">cf_pat*(1+a_pat_growth)^H841</f>
        <v>480</v>
      </c>
      <c r="I868" s="36" t="n">
        <f aca="false">cf_pat*(1+a_pat_growth)^I841</f>
        <v>480</v>
      </c>
      <c r="J868" s="36" t="n">
        <f aca="false">cf_pat*(1+a_pat_growth)^J841</f>
        <v>480</v>
      </c>
      <c r="K868" s="36" t="n">
        <f aca="false">cf_pat*(1+a_pat_growth)^K841</f>
        <v>480</v>
      </c>
      <c r="L868" s="36" t="n">
        <f aca="false">cf_pat*(1+a_pat_growth)^L841</f>
        <v>480</v>
      </c>
      <c r="M868" s="36" t="n">
        <f aca="false">cf_pat*(1+a_pat_growth)^M841</f>
        <v>480</v>
      </c>
    </row>
    <row r="869" customFormat="false" ht="15" hidden="false" customHeight="false" outlineLevel="0" collapsed="false">
      <c r="A869" s="9" t="s">
        <v>493</v>
      </c>
      <c r="C869" s="36" t="n">
        <f aca="false">0</f>
        <v>0</v>
      </c>
      <c r="D869" s="36" t="n">
        <f aca="false">cf_mdr*a_mdr_flow*(1-a_tax)</f>
        <v>69</v>
      </c>
      <c r="E869" s="36" t="n">
        <f aca="false">cf_mdr*a_mdr_flow*(1-a_tax)</f>
        <v>69</v>
      </c>
      <c r="F869" s="36" t="n">
        <f aca="false">cf_mdr*a_mdr_flow*(1-a_tax)</f>
        <v>69</v>
      </c>
      <c r="G869" s="36" t="n">
        <f aca="false">cf_mdr*a_mdr_flow*(1-a_tax)</f>
        <v>69</v>
      </c>
      <c r="H869" s="36" t="n">
        <f aca="false">cf_mdr*a_mdr_flow*(1-a_tax)</f>
        <v>69</v>
      </c>
      <c r="I869" s="36" t="n">
        <f aca="false">cf_mdr*a_mdr_flow*(1-a_tax)</f>
        <v>69</v>
      </c>
      <c r="J869" s="36" t="n">
        <f aca="false">cf_mdr*a_mdr_flow*(1-a_tax)</f>
        <v>69</v>
      </c>
      <c r="K869" s="36" t="n">
        <f aca="false">cf_mdr*a_mdr_flow*(1-a_tax)</f>
        <v>69</v>
      </c>
      <c r="L869" s="36" t="n">
        <f aca="false">cf_mdr*a_mdr_flow*(1-a_tax)</f>
        <v>69</v>
      </c>
      <c r="M869" s="36" t="n">
        <f aca="false">cf_mdr*a_mdr_flow*(1-a_tax)</f>
        <v>69</v>
      </c>
    </row>
    <row r="870" customFormat="false" ht="15" hidden="false" customHeight="false" outlineLevel="0" collapsed="false">
      <c r="A870" s="9" t="s">
        <v>494</v>
      </c>
      <c r="C870" s="50" t="n">
        <f aca="false">cf_eps</f>
        <v>7.5</v>
      </c>
      <c r="D870" s="50" t="n">
        <f aca="false">D868/cf_shares</f>
        <v>7.5</v>
      </c>
      <c r="E870" s="50" t="n">
        <f aca="false">E868/cf_shares</f>
        <v>7.5</v>
      </c>
      <c r="F870" s="50" t="n">
        <f aca="false">F868/cf_shares</f>
        <v>7.5</v>
      </c>
      <c r="G870" s="50" t="n">
        <f aca="false">G868/cf_shares</f>
        <v>7.5</v>
      </c>
      <c r="H870" s="50" t="n">
        <f aca="false">H868/cf_shares</f>
        <v>7.5</v>
      </c>
      <c r="I870" s="50" t="n">
        <f aca="false">I868/cf_shares</f>
        <v>7.5</v>
      </c>
      <c r="J870" s="50" t="n">
        <f aca="false">J868/cf_shares</f>
        <v>7.5</v>
      </c>
      <c r="K870" s="50" t="n">
        <f aca="false">K868/cf_shares</f>
        <v>7.5</v>
      </c>
      <c r="L870" s="50" t="n">
        <f aca="false">L868/cf_shares</f>
        <v>7.5</v>
      </c>
      <c r="M870" s="50" t="n">
        <f aca="false">M868/cf_shares</f>
        <v>7.5</v>
      </c>
    </row>
    <row r="871" customFormat="false" ht="15" hidden="false" customHeight="false" outlineLevel="0" collapsed="false">
      <c r="A871" s="9" t="s">
        <v>495</v>
      </c>
      <c r="C871" s="50" t="n">
        <f aca="false">cf_eps</f>
        <v>7.5</v>
      </c>
      <c r="D871" s="50" t="n">
        <f aca="false">(D868+D869)/cf_shares</f>
        <v>8.578125</v>
      </c>
      <c r="E871" s="50" t="n">
        <f aca="false">(E868+E869)/cf_shares</f>
        <v>8.578125</v>
      </c>
      <c r="F871" s="50" t="n">
        <f aca="false">(F868+F869)/cf_shares</f>
        <v>8.578125</v>
      </c>
      <c r="G871" s="50" t="n">
        <f aca="false">(G868+G869)/cf_shares</f>
        <v>8.578125</v>
      </c>
      <c r="H871" s="50" t="n">
        <f aca="false">(H868+H869)/cf_shares</f>
        <v>8.578125</v>
      </c>
      <c r="I871" s="50" t="n">
        <f aca="false">(I868+I869)/cf_shares</f>
        <v>8.578125</v>
      </c>
      <c r="J871" s="50" t="n">
        <f aca="false">(J868+J869)/cf_shares</f>
        <v>8.578125</v>
      </c>
      <c r="K871" s="50" t="n">
        <f aca="false">(K868+K869)/cf_shares</f>
        <v>8.578125</v>
      </c>
      <c r="L871" s="50" t="n">
        <f aca="false">(L868+L869)/cf_shares</f>
        <v>8.578125</v>
      </c>
      <c r="M871" s="50" t="n">
        <f aca="false">(M868+M869)/cf_shares</f>
        <v>8.578125</v>
      </c>
    </row>
    <row r="872" customFormat="false" ht="15" hidden="false" customHeight="false" outlineLevel="0" collapsed="false">
      <c r="A872" s="4" t="s">
        <v>496</v>
      </c>
      <c r="C872" s="41" t="n">
        <f aca="false">-C859-C861</f>
        <v>-94.5</v>
      </c>
      <c r="D872" s="41" t="n">
        <f aca="false">D851+D863*(1-a_tax)-C859-C861-D865-D867</f>
        <v>-138.225</v>
      </c>
      <c r="E872" s="41" t="n">
        <f aca="false">E851+E863*(1-a_tax)-C859-C861-E865-E867</f>
        <v>-109.4175</v>
      </c>
      <c r="F872" s="41" t="n">
        <f aca="false">F851+F863*(1-a_tax)-C859-C861-F865-F867</f>
        <v>-128.8035</v>
      </c>
      <c r="G872" s="41" t="n">
        <f aca="false">G851+G863*(1-a_tax)-C859-C861-G865-G867</f>
        <v>-150.2847</v>
      </c>
      <c r="H872" s="41" t="n">
        <f aca="false">H851+H863*(1-a_tax)-C859-C861-H865-H867</f>
        <v>-173.92374</v>
      </c>
      <c r="I872" s="41" t="n">
        <f aca="false">I851+I863*(1-a_tax)-C859-C861-I865-I867</f>
        <v>-215.120988</v>
      </c>
      <c r="J872" s="41" t="n">
        <f aca="false">J851+J863*(1-a_tax)-C859-C861-J865-J867</f>
        <v>-264.5576856</v>
      </c>
      <c r="K872" s="41" t="n">
        <f aca="false">K851+K863*(1-a_tax)-C859-C861-K865-K867</f>
        <v>-323.88172272</v>
      </c>
      <c r="L872" s="41" t="n">
        <f aca="false">L851+L863*(1-a_tax)-C859-C861-L865-L867</f>
        <v>-395.070567264</v>
      </c>
      <c r="M872" s="41" t="n">
        <f aca="false">M851+M863*(1-a_tax)-C859-C861-M865-M867</f>
        <v>-480.4971807168</v>
      </c>
    </row>
    <row r="873" customFormat="false" ht="15" hidden="false" customHeight="false" outlineLevel="0" collapsed="false">
      <c r="A873" s="9" t="s">
        <v>497</v>
      </c>
      <c r="C873" s="36" t="n">
        <f aca="false">C868+C872</f>
        <v>385.5</v>
      </c>
      <c r="D873" s="36" t="n">
        <f aca="false">D868+D872</f>
        <v>341.775</v>
      </c>
      <c r="E873" s="36" t="n">
        <f aca="false">E868+E872</f>
        <v>370.5825</v>
      </c>
      <c r="F873" s="36" t="n">
        <f aca="false">F868+F872</f>
        <v>351.1965</v>
      </c>
      <c r="G873" s="36" t="n">
        <f aca="false">G868+G872</f>
        <v>329.7153</v>
      </c>
      <c r="H873" s="36" t="n">
        <f aca="false">H868+H872</f>
        <v>306.07626</v>
      </c>
      <c r="I873" s="36" t="n">
        <f aca="false">I868+I872</f>
        <v>264.879012</v>
      </c>
      <c r="J873" s="36" t="n">
        <f aca="false">J868+J872</f>
        <v>215.4423144</v>
      </c>
      <c r="K873" s="36" t="n">
        <f aca="false">K868+K872</f>
        <v>156.11827728</v>
      </c>
      <c r="L873" s="36" t="n">
        <f aca="false">L868+L872</f>
        <v>84.929432736</v>
      </c>
      <c r="M873" s="36" t="n">
        <f aca="false">M868+M872</f>
        <v>-0.497180716799903</v>
      </c>
    </row>
    <row r="874" customFormat="false" ht="15" hidden="false" customHeight="false" outlineLevel="0" collapsed="false">
      <c r="A874" s="4" t="s">
        <v>498</v>
      </c>
      <c r="C874" s="48" t="n">
        <f aca="false">C873/C858</f>
        <v>5.92858021653543</v>
      </c>
      <c r="D874" s="48" t="n">
        <f aca="false">D873/C858</f>
        <v>5.25613619586614</v>
      </c>
      <c r="E874" s="48" t="n">
        <f aca="false">E873/C858</f>
        <v>5.69916492372047</v>
      </c>
      <c r="F874" s="48" t="n">
        <f aca="false">F873/C858</f>
        <v>5.40102885088583</v>
      </c>
      <c r="G874" s="48" t="n">
        <f aca="false">G873/C858</f>
        <v>5.07067082923228</v>
      </c>
      <c r="H874" s="48" t="n">
        <f aca="false">H873/C858</f>
        <v>4.70712752214567</v>
      </c>
      <c r="I874" s="48" t="n">
        <f aca="false">I873/C858</f>
        <v>4.07355764025591</v>
      </c>
      <c r="J874" s="48" t="n">
        <f aca="false">J873/C858</f>
        <v>3.31327378198819</v>
      </c>
      <c r="K874" s="48" t="n">
        <f aca="false">K873/C858</f>
        <v>2.40093315206693</v>
      </c>
      <c r="L874" s="48" t="n">
        <f aca="false">L873/C858</f>
        <v>1.30612439616142</v>
      </c>
      <c r="M874" s="48" t="n">
        <f aca="false">M873/C858</f>
        <v>-0.00764611092519536</v>
      </c>
    </row>
    <row r="875" customFormat="false" ht="15" hidden="false" customHeight="false" outlineLevel="0" collapsed="false">
      <c r="A875" s="4" t="s">
        <v>499</v>
      </c>
      <c r="C875" s="14" t="n">
        <f aca="false">C874/cf_eps-1</f>
        <v>-0.209522637795276</v>
      </c>
      <c r="D875" s="14" t="n">
        <f aca="false">D874/cf_eps-1</f>
        <v>-0.299181840551181</v>
      </c>
      <c r="E875" s="14" t="n">
        <f aca="false">E874/cf_eps-1</f>
        <v>-0.240111343503937</v>
      </c>
      <c r="F875" s="14" t="n">
        <f aca="false">F874/cf_eps-1</f>
        <v>-0.27986281988189</v>
      </c>
      <c r="G875" s="14" t="n">
        <f aca="false">G874/cf_eps-1</f>
        <v>-0.323910556102362</v>
      </c>
      <c r="H875" s="14" t="n">
        <f aca="false">H874/cf_eps-1</f>
        <v>-0.372382997047244</v>
      </c>
      <c r="I875" s="14" t="n">
        <f aca="false">I874/cf_eps-1</f>
        <v>-0.456858981299213</v>
      </c>
      <c r="J875" s="14" t="n">
        <f aca="false">J874/cf_eps-1</f>
        <v>-0.558230162401575</v>
      </c>
      <c r="K875" s="14" t="n">
        <f aca="false">K874/cf_eps-1</f>
        <v>-0.679875579724409</v>
      </c>
      <c r="L875" s="14" t="n">
        <f aca="false">L874/cf_eps-1</f>
        <v>-0.825850080511811</v>
      </c>
      <c r="M875" s="14" t="n">
        <f aca="false">M874/cf_eps-1</f>
        <v>-1.00101948145669</v>
      </c>
    </row>
    <row r="876" customFormat="false" ht="15" hidden="false" customHeight="false" outlineLevel="0" collapsed="false">
      <c r="A876" s="9" t="s">
        <v>500</v>
      </c>
      <c r="C876" s="50" t="n">
        <f aca="false">C874</f>
        <v>5.92858021653543</v>
      </c>
      <c r="D876" s="50" t="n">
        <f aca="false">(D873+D869)/C858</f>
        <v>6.31728284940945</v>
      </c>
      <c r="E876" s="50" t="n">
        <f aca="false">(E873+E869)/C858</f>
        <v>6.76031157726378</v>
      </c>
      <c r="F876" s="50" t="n">
        <f aca="false">(F873+F869)/C858</f>
        <v>6.46217550442913</v>
      </c>
      <c r="G876" s="50" t="n">
        <f aca="false">(G873+G869)/C858</f>
        <v>6.13181748277559</v>
      </c>
      <c r="H876" s="50" t="n">
        <f aca="false">(H873+H869)/C858</f>
        <v>5.76827417568898</v>
      </c>
      <c r="I876" s="50" t="n">
        <f aca="false">(I873+I869)/C858</f>
        <v>5.13470429379921</v>
      </c>
      <c r="J876" s="50" t="n">
        <f aca="false">(J873+J869)/C858</f>
        <v>4.3744204355315</v>
      </c>
      <c r="K876" s="50" t="n">
        <f aca="false">(K873+K869)/C858</f>
        <v>3.46207980561024</v>
      </c>
      <c r="L876" s="50" t="n">
        <f aca="false">(L873+L869)/C858</f>
        <v>2.36727104970473</v>
      </c>
      <c r="M876" s="50" t="n">
        <f aca="false">(M873+M869)/C858</f>
        <v>1.05350054261811</v>
      </c>
    </row>
    <row r="877" customFormat="false" ht="15" hidden="false" customHeight="false" outlineLevel="0" collapsed="false">
      <c r="A877" s="9" t="s">
        <v>501</v>
      </c>
      <c r="C877" s="18" t="n">
        <f aca="false">C875</f>
        <v>-0.209522637795276</v>
      </c>
      <c r="D877" s="18" t="n">
        <f aca="false">D876/D871-1</f>
        <v>-0.263559012090702</v>
      </c>
      <c r="E877" s="18" t="n">
        <f aca="false">E876/E871-1</f>
        <v>-0.211912675874532</v>
      </c>
      <c r="F877" s="18" t="n">
        <f aca="false">F876/F871-1</f>
        <v>-0.246668065057442</v>
      </c>
      <c r="G877" s="18" t="n">
        <f aca="false">G876/G871-1</f>
        <v>-0.285179746998838</v>
      </c>
      <c r="H877" s="18" t="n">
        <f aca="false">H876/H871-1</f>
        <v>-0.327560023234801</v>
      </c>
      <c r="I877" s="18" t="n">
        <f aca="false">I876/I871-1</f>
        <v>-0.401418807280237</v>
      </c>
      <c r="J877" s="18" t="n">
        <f aca="false">J876/J871-1</f>
        <v>-0.490049348134762</v>
      </c>
      <c r="K877" s="18" t="n">
        <f aca="false">K876/K871-1</f>
        <v>-0.596405997160191</v>
      </c>
      <c r="L877" s="18" t="n">
        <f aca="false">L876/L871-1</f>
        <v>-0.724033975990706</v>
      </c>
      <c r="M877" s="18" t="n">
        <f aca="false">M876/M871-1</f>
        <v>-0.877187550587324</v>
      </c>
    </row>
    <row r="878" customFormat="false" ht="15" hidden="false" customHeight="false" outlineLevel="0" collapsed="false">
      <c r="A878" s="9" t="s">
        <v>502</v>
      </c>
      <c r="C878" s="50" t="n">
        <f aca="false">(C873+C861)/C858</f>
        <v>5.92858021653543</v>
      </c>
      <c r="D878" s="50" t="n">
        <f aca="false">(D873+C861)/C858</f>
        <v>5.25613619586614</v>
      </c>
      <c r="E878" s="50" t="n">
        <f aca="false">(E873+C861)/C858</f>
        <v>5.69916492372047</v>
      </c>
      <c r="F878" s="50" t="n">
        <f aca="false">(F873+C861)/C858</f>
        <v>5.40102885088583</v>
      </c>
      <c r="G878" s="50" t="n">
        <f aca="false">(G873+C861)/C858</f>
        <v>5.07067082923228</v>
      </c>
      <c r="H878" s="50" t="n">
        <f aca="false">(H873+C861)/C858</f>
        <v>4.70712752214567</v>
      </c>
      <c r="I878" s="50" t="n">
        <f aca="false">(I873+C861)/C858</f>
        <v>4.07355764025591</v>
      </c>
      <c r="J878" s="50" t="n">
        <f aca="false">(J873+C861)/C858</f>
        <v>3.31327378198819</v>
      </c>
      <c r="K878" s="50" t="n">
        <f aca="false">(K873+C861)/C858</f>
        <v>2.40093315206693</v>
      </c>
      <c r="L878" s="50" t="n">
        <f aca="false">(L873+C861)/C858</f>
        <v>1.30612439616142</v>
      </c>
      <c r="M878" s="50" t="n">
        <f aca="false">(M873+C861)/C858</f>
        <v>-0.00764611092519536</v>
      </c>
    </row>
    <row r="879" customFormat="false" ht="15" hidden="false" customHeight="false" outlineLevel="0" collapsed="false">
      <c r="A879" s="9" t="s">
        <v>503</v>
      </c>
      <c r="C879" s="50" t="n">
        <f aca="false">(C873-C860+C861)/C858</f>
        <v>4.48680487204724</v>
      </c>
      <c r="D879" s="50" t="n">
        <f aca="false">(D873-C860+C861)/C858</f>
        <v>3.81436085137795</v>
      </c>
      <c r="E879" s="50" t="n">
        <f aca="false">(E873-C860+C861)/C858</f>
        <v>4.25738957923228</v>
      </c>
      <c r="F879" s="50" t="n">
        <f aca="false">(F873-C860+C861)/C858</f>
        <v>3.95925350639764</v>
      </c>
      <c r="G879" s="50" t="n">
        <f aca="false">(G873-C860+C861)/C858</f>
        <v>3.62889548474409</v>
      </c>
      <c r="H879" s="50" t="n">
        <f aca="false">(H873-C860+C861)/C858</f>
        <v>3.26535217765748</v>
      </c>
      <c r="I879" s="50" t="n">
        <f aca="false">(I873-C860+C861)/C858</f>
        <v>2.63178229576772</v>
      </c>
      <c r="J879" s="50" t="n">
        <f aca="false">(J873-C860+C861)/C858</f>
        <v>1.8714984375</v>
      </c>
      <c r="K879" s="50" t="n">
        <f aca="false">(K873-C860+C861)/C858</f>
        <v>0.959157807578741</v>
      </c>
      <c r="L879" s="50" t="n">
        <f aca="false">(L873-C860+C861)/C858</f>
        <v>-0.135650948326771</v>
      </c>
      <c r="M879" s="50" t="n">
        <f aca="false">(M873-C860+C861)/C858</f>
        <v>-1.44942145541338</v>
      </c>
    </row>
    <row r="880" customFormat="false" ht="15" hidden="false" customHeight="false" outlineLevel="0" collapsed="false">
      <c r="A880" s="9" t="s">
        <v>504</v>
      </c>
      <c r="C880" s="50" t="n">
        <f aca="false">C868/C858</f>
        <v>7.38188976377953</v>
      </c>
      <c r="D880" s="50" t="n">
        <f aca="false">D868/C858</f>
        <v>7.38188976377953</v>
      </c>
      <c r="E880" s="50" t="n">
        <f aca="false">E868/C858</f>
        <v>7.38188976377953</v>
      </c>
      <c r="F880" s="50" t="n">
        <f aca="false">F868/C858</f>
        <v>7.38188976377953</v>
      </c>
      <c r="G880" s="50" t="n">
        <f aca="false">G868/C858</f>
        <v>7.38188976377953</v>
      </c>
      <c r="H880" s="50" t="n">
        <f aca="false">H868/C858</f>
        <v>7.38188976377953</v>
      </c>
      <c r="I880" s="50" t="n">
        <f aca="false">I868/C858</f>
        <v>7.38188976377953</v>
      </c>
      <c r="J880" s="50" t="n">
        <f aca="false">J868/C858</f>
        <v>7.38188976377953</v>
      </c>
      <c r="K880" s="50" t="n">
        <f aca="false">K868/C858</f>
        <v>7.38188976377953</v>
      </c>
      <c r="L880" s="50" t="n">
        <f aca="false">L868/C858</f>
        <v>7.38188976377953</v>
      </c>
      <c r="M880" s="50" t="n">
        <f aca="false">M868/C858</f>
        <v>7.38188976377953</v>
      </c>
    </row>
    <row r="881" customFormat="false" ht="15" hidden="false" customHeight="false" outlineLevel="0" collapsed="false">
      <c r="A881" s="9" t="s">
        <v>505</v>
      </c>
      <c r="D881" s="36" t="n">
        <f aca="false">D854+D863*(1-a_tax)-D864-IF(D841=1,C862,0)</f>
        <v>-763.475</v>
      </c>
      <c r="E881" s="36" t="n">
        <f aca="false">E854+E863*(1-a_tax)-E864-IF(E841=1,C862,0)</f>
        <v>-666.255</v>
      </c>
      <c r="F881" s="36" t="n">
        <f aca="false">F854+F863*(1-a_tax)-F864-IF(F841=1,C862,0)</f>
        <v>-790.596</v>
      </c>
      <c r="G881" s="36" t="n">
        <f aca="false">G854+G863*(1-a_tax)-G864-IF(G841=1,C862,0)</f>
        <v>-938.0232</v>
      </c>
      <c r="H881" s="36" t="n">
        <f aca="false">H854+H863*(1-a_tax)-H864-IF(H841=1,C862,0)</f>
        <v>-1112.79744</v>
      </c>
      <c r="I881" s="36" t="n">
        <f aca="false">I854+I863*(1-a_tax)-I864-IF(I841=1,C862,0)</f>
        <v>-1335.356928</v>
      </c>
      <c r="J881" s="36" t="n">
        <f aca="false">J854+J863*(1-a_tax)-J864-IF(J841=1,C862,0)</f>
        <v>-1602.4283136</v>
      </c>
      <c r="K881" s="36" t="n">
        <f aca="false">K854+K863*(1-a_tax)-K864-IF(K841=1,C862,0)</f>
        <v>-1922.91397632</v>
      </c>
      <c r="L881" s="36" t="n">
        <f aca="false">L854+L863*(1-a_tax)-L864-IF(L841=1,C862,0)</f>
        <v>-2307.496771584</v>
      </c>
      <c r="M881" s="36" t="n">
        <f aca="false">M854+M863*(1-a_tax)-M864-IF(M841=1,C862,0)</f>
        <v>-2768.9961259008</v>
      </c>
    </row>
    <row r="882" customFormat="false" ht="15" hidden="false" customHeight="false" outlineLevel="0" collapsed="false">
      <c r="A882" s="4" t="s">
        <v>506</v>
      </c>
      <c r="D882" s="41" t="n">
        <f aca="false">D881-C859</f>
        <v>-857.975</v>
      </c>
      <c r="E882" s="41" t="n">
        <f aca="false">E881-C859</f>
        <v>-760.755</v>
      </c>
      <c r="F882" s="41" t="n">
        <f aca="false">F881-C859</f>
        <v>-885.096</v>
      </c>
      <c r="G882" s="41" t="n">
        <f aca="false">G881-C859</f>
        <v>-1032.5232</v>
      </c>
      <c r="H882" s="41" t="n">
        <f aca="false">H881-C859</f>
        <v>-1207.29744</v>
      </c>
      <c r="I882" s="41" t="n">
        <f aca="false">I881-C859</f>
        <v>-1429.856928</v>
      </c>
      <c r="J882" s="41" t="n">
        <f aca="false">J881-C859</f>
        <v>-1696.9283136</v>
      </c>
      <c r="K882" s="41" t="n">
        <f aca="false">K881-C859</f>
        <v>-2017.41397632</v>
      </c>
      <c r="L882" s="41" t="n">
        <f aca="false">L881-C859</f>
        <v>-2401.996771584</v>
      </c>
      <c r="M882" s="41" t="n">
        <f aca="false">M881-C859</f>
        <v>-2863.4961259008</v>
      </c>
    </row>
    <row r="883" customFormat="false" ht="15" hidden="false" customHeight="false" outlineLevel="0" collapsed="false">
      <c r="A883" s="9" t="s">
        <v>507</v>
      </c>
      <c r="C883" s="36" t="n">
        <f aca="false">0</f>
        <v>0</v>
      </c>
      <c r="D883" s="36" t="n">
        <f aca="false">D869</f>
        <v>69</v>
      </c>
      <c r="E883" s="36" t="n">
        <f aca="false">E869</f>
        <v>69</v>
      </c>
      <c r="F883" s="36" t="n">
        <f aca="false">F869</f>
        <v>69</v>
      </c>
      <c r="G883" s="36" t="n">
        <f aca="false">G869</f>
        <v>69</v>
      </c>
      <c r="H883" s="36" t="n">
        <f aca="false">H869</f>
        <v>69</v>
      </c>
      <c r="I883" s="36" t="n">
        <f aca="false">I869</f>
        <v>69</v>
      </c>
      <c r="J883" s="36" t="n">
        <f aca="false">J869</f>
        <v>69</v>
      </c>
      <c r="K883" s="36" t="n">
        <f aca="false">K869</f>
        <v>69</v>
      </c>
      <c r="L883" s="36" t="n">
        <f aca="false">L869</f>
        <v>69</v>
      </c>
      <c r="M883" s="36" t="n">
        <f aca="false">M869</f>
        <v>69</v>
      </c>
    </row>
    <row r="884" customFormat="false" ht="15" hidden="false" customHeight="false" outlineLevel="0" collapsed="false">
      <c r="A884" s="9" t="s">
        <v>508</v>
      </c>
      <c r="D884" s="36" t="n">
        <f aca="false">D882+D883</f>
        <v>-788.975</v>
      </c>
      <c r="E884" s="36" t="n">
        <f aca="false">E882+E883</f>
        <v>-691.755</v>
      </c>
      <c r="F884" s="36" t="n">
        <f aca="false">F882+F883</f>
        <v>-816.096</v>
      </c>
      <c r="G884" s="36" t="n">
        <f aca="false">G882+G883</f>
        <v>-963.5232</v>
      </c>
      <c r="H884" s="36" t="n">
        <f aca="false">H882+H883</f>
        <v>-1138.29744</v>
      </c>
      <c r="I884" s="36" t="n">
        <f aca="false">I882+I883</f>
        <v>-1360.856928</v>
      </c>
      <c r="J884" s="36" t="n">
        <f aca="false">J882+J883</f>
        <v>-1627.9283136</v>
      </c>
      <c r="K884" s="36" t="n">
        <f aca="false">K882+K883</f>
        <v>-1948.41397632</v>
      </c>
      <c r="L884" s="36" t="n">
        <f aca="false">L882+L883</f>
        <v>-2332.996771584</v>
      </c>
      <c r="M884" s="36" t="n">
        <f aca="false">M882+M883</f>
        <v>-2794.4961259008</v>
      </c>
    </row>
    <row r="885" customFormat="false" ht="15" hidden="false" customHeight="false" outlineLevel="0" collapsed="false">
      <c r="A885" s="9" t="s">
        <v>509</v>
      </c>
      <c r="D885" s="36" t="n">
        <f aca="false">IF(lv_mdr_in_deal=1,D884,D882)</f>
        <v>-857.975</v>
      </c>
      <c r="E885" s="36" t="n">
        <f aca="false">IF(lv_mdr_in_deal=1,E884,E882)</f>
        <v>-760.755</v>
      </c>
      <c r="F885" s="36" t="n">
        <f aca="false">IF(lv_mdr_in_deal=1,F884,F882)</f>
        <v>-885.096</v>
      </c>
      <c r="G885" s="36" t="n">
        <f aca="false">IF(lv_mdr_in_deal=1,G884,G882)</f>
        <v>-1032.5232</v>
      </c>
      <c r="H885" s="36" t="n">
        <f aca="false">IF(lv_mdr_in_deal=1,H884,H882)</f>
        <v>-1207.29744</v>
      </c>
      <c r="I885" s="36" t="n">
        <f aca="false">IF(lv_mdr_in_deal=1,I884,I882)</f>
        <v>-1429.856928</v>
      </c>
      <c r="J885" s="36" t="n">
        <f aca="false">IF(lv_mdr_in_deal=1,J884,J882)</f>
        <v>-1696.9283136</v>
      </c>
      <c r="K885" s="36" t="n">
        <f aca="false">IF(lv_mdr_in_deal=1,K884,K882)</f>
        <v>-2017.41397632</v>
      </c>
      <c r="L885" s="36" t="n">
        <f aca="false">IF(lv_mdr_in_deal=1,L884,L882)</f>
        <v>-2401.996771584</v>
      </c>
      <c r="M885" s="36" t="n">
        <f aca="false">IF(lv_mdr_in_deal=1,M884,M882)</f>
        <v>-2863.4961259008</v>
      </c>
    </row>
    <row r="886" customFormat="false" ht="15" hidden="false" customHeight="false" outlineLevel="0" collapsed="false">
      <c r="A886" s="9" t="s">
        <v>510</v>
      </c>
      <c r="C886" s="36" t="n">
        <f aca="false">-lv_price</f>
        <v>-4000</v>
      </c>
      <c r="D886" s="36" t="n">
        <f aca="false">C886+D885</f>
        <v>-4857.975</v>
      </c>
      <c r="E886" s="36" t="n">
        <f aca="false">D886+E885</f>
        <v>-5618.73</v>
      </c>
      <c r="F886" s="36" t="n">
        <f aca="false">E886+F885</f>
        <v>-6503.826</v>
      </c>
      <c r="G886" s="36" t="n">
        <f aca="false">F886+G885</f>
        <v>-7536.3492</v>
      </c>
      <c r="H886" s="36" t="n">
        <f aca="false">G886+H885</f>
        <v>-8743.64664</v>
      </c>
      <c r="I886" s="36" t="n">
        <f aca="false">H886+I885</f>
        <v>-10173.503568</v>
      </c>
      <c r="J886" s="36" t="n">
        <f aca="false">I886+J885</f>
        <v>-11870.4318816</v>
      </c>
      <c r="K886" s="36" t="n">
        <f aca="false">J886+K885</f>
        <v>-13887.84585792</v>
      </c>
      <c r="L886" s="36" t="n">
        <f aca="false">K886+L885</f>
        <v>-16289.842629504</v>
      </c>
      <c r="M886" s="36" t="n">
        <f aca="false">L886+M885</f>
        <v>-19153.3387554048</v>
      </c>
    </row>
    <row r="887" customFormat="false" ht="15" hidden="false" customHeight="false" outlineLevel="0" collapsed="false">
      <c r="A887" s="9" t="s">
        <v>511</v>
      </c>
      <c r="C887" s="43" t="n">
        <f aca="false">1</f>
        <v>1</v>
      </c>
      <c r="D887" s="43" t="n">
        <f aca="false">1/(1+Scenarios!$G$43)^D841</f>
        <v>0.884955752212389</v>
      </c>
      <c r="E887" s="43" t="n">
        <f aca="false">1/(1+Scenarios!$G$43)^E841</f>
        <v>0.783146683373796</v>
      </c>
      <c r="F887" s="43" t="n">
        <f aca="false">1/(1+Scenarios!$G$43)^F841</f>
        <v>0.693050162277696</v>
      </c>
      <c r="G887" s="43" t="n">
        <f aca="false">1/(1+Scenarios!$G$43)^G841</f>
        <v>0.613318727679377</v>
      </c>
      <c r="H887" s="43" t="n">
        <f aca="false">1/(1+Scenarios!$G$43)^H841</f>
        <v>0.542759935999449</v>
      </c>
      <c r="I887" s="43" t="n">
        <f aca="false">1/(1+Scenarios!$G$43)^I841</f>
        <v>0.48031852743314</v>
      </c>
      <c r="J887" s="43" t="n">
        <f aca="false">1/(1+Scenarios!$G$43)^J841</f>
        <v>0.425060643746142</v>
      </c>
      <c r="K887" s="43" t="n">
        <f aca="false">1/(1+Scenarios!$G$43)^K841</f>
        <v>0.37615986172225</v>
      </c>
      <c r="L887" s="43" t="n">
        <f aca="false">1/(1+Scenarios!$G$43)^L841</f>
        <v>0.332884833382522</v>
      </c>
      <c r="M887" s="43" t="n">
        <f aca="false">1/(1+Scenarios!$G$43)^M841</f>
        <v>0.294588348126126</v>
      </c>
    </row>
    <row r="888" customFormat="false" ht="15" hidden="false" customHeight="false" outlineLevel="0" collapsed="false">
      <c r="A888" s="9" t="s">
        <v>512</v>
      </c>
      <c r="C888" s="46" t="n">
        <f aca="false">99</f>
        <v>99</v>
      </c>
      <c r="D888" s="46" t="n">
        <f aca="false">IF(D872&gt;=0,D841,99)</f>
        <v>99</v>
      </c>
      <c r="E888" s="46" t="n">
        <f aca="false">IF(E872&gt;=0,E841,99)</f>
        <v>99</v>
      </c>
      <c r="F888" s="46" t="n">
        <f aca="false">IF(F872&gt;=0,F841,99)</f>
        <v>99</v>
      </c>
      <c r="G888" s="46" t="n">
        <f aca="false">IF(G872&gt;=0,G841,99)</f>
        <v>99</v>
      </c>
      <c r="H888" s="46" t="n">
        <f aca="false">IF(H872&gt;=0,H841,99)</f>
        <v>99</v>
      </c>
      <c r="I888" s="46" t="n">
        <f aca="false">IF(I872&gt;=0,I841,99)</f>
        <v>99</v>
      </c>
      <c r="J888" s="46" t="n">
        <f aca="false">IF(J872&gt;=0,J841,99)</f>
        <v>99</v>
      </c>
      <c r="K888" s="46" t="n">
        <f aca="false">IF(K872&gt;=0,K841,99)</f>
        <v>99</v>
      </c>
      <c r="L888" s="46" t="n">
        <f aca="false">IF(L872&gt;=0,L841,99)</f>
        <v>99</v>
      </c>
      <c r="M888" s="46" t="n">
        <f aca="false">IF(M872&gt;=0,M841,99)</f>
        <v>99</v>
      </c>
    </row>
    <row r="889" customFormat="false" ht="15" hidden="false" customHeight="false" outlineLevel="0" collapsed="false">
      <c r="A889" s="9" t="s">
        <v>513</v>
      </c>
      <c r="C889" s="46" t="n">
        <f aca="false">99</f>
        <v>99</v>
      </c>
      <c r="D889" s="46" t="n">
        <f aca="false">IF(D872+D869&gt;=0,D841,99)</f>
        <v>99</v>
      </c>
      <c r="E889" s="46" t="n">
        <f aca="false">IF(E872+E869&gt;=0,E841,99)</f>
        <v>99</v>
      </c>
      <c r="F889" s="46" t="n">
        <f aca="false">IF(F872+F869&gt;=0,F841,99)</f>
        <v>99</v>
      </c>
      <c r="G889" s="46" t="n">
        <f aca="false">IF(G872+G869&gt;=0,G841,99)</f>
        <v>99</v>
      </c>
      <c r="H889" s="46" t="n">
        <f aca="false">IF(H872+H869&gt;=0,H841,99)</f>
        <v>99</v>
      </c>
      <c r="I889" s="46" t="n">
        <f aca="false">IF(I872+I869&gt;=0,I841,99)</f>
        <v>99</v>
      </c>
      <c r="J889" s="46" t="n">
        <f aca="false">IF(J872+J869&gt;=0,J841,99)</f>
        <v>99</v>
      </c>
      <c r="K889" s="46" t="n">
        <f aca="false">IF(K872+K869&gt;=0,K841,99)</f>
        <v>99</v>
      </c>
      <c r="L889" s="46" t="n">
        <f aca="false">IF(L872+L869&gt;=0,L841,99)</f>
        <v>99</v>
      </c>
      <c r="M889" s="46" t="n">
        <f aca="false">IF(M872+M869&gt;=0,M841,99)</f>
        <v>99</v>
      </c>
    </row>
    <row r="890" customFormat="false" ht="15" hidden="false" customHeight="false" outlineLevel="0" collapsed="false">
      <c r="A890" s="9" t="s">
        <v>514</v>
      </c>
      <c r="C890" s="46" t="n">
        <f aca="false">99</f>
        <v>99</v>
      </c>
      <c r="D890" s="46" t="n">
        <f aca="false">IF(D882&gt;=0,D841,99)</f>
        <v>99</v>
      </c>
      <c r="E890" s="46" t="n">
        <f aca="false">IF(E882&gt;=0,E841,99)</f>
        <v>99</v>
      </c>
      <c r="F890" s="46" t="n">
        <f aca="false">IF(F882&gt;=0,F841,99)</f>
        <v>99</v>
      </c>
      <c r="G890" s="46" t="n">
        <f aca="false">IF(G882&gt;=0,G841,99)</f>
        <v>99</v>
      </c>
      <c r="H890" s="46" t="n">
        <f aca="false">IF(H882&gt;=0,H841,99)</f>
        <v>99</v>
      </c>
      <c r="I890" s="46" t="n">
        <f aca="false">IF(I882&gt;=0,I841,99)</f>
        <v>99</v>
      </c>
      <c r="J890" s="46" t="n">
        <f aca="false">IF(J882&gt;=0,J841,99)</f>
        <v>99</v>
      </c>
      <c r="K890" s="46" t="n">
        <f aca="false">IF(K882&gt;=0,K841,99)</f>
        <v>99</v>
      </c>
      <c r="L890" s="46" t="n">
        <f aca="false">IF(L882&gt;=0,L841,99)</f>
        <v>99</v>
      </c>
      <c r="M890" s="46" t="n">
        <f aca="false">IF(M882&gt;=0,M841,99)</f>
        <v>99</v>
      </c>
    </row>
    <row r="891" customFormat="false" ht="15" hidden="false" customHeight="false" outlineLevel="0" collapsed="false">
      <c r="A891" s="9" t="s">
        <v>515</v>
      </c>
      <c r="C891" s="46" t="n">
        <f aca="false">99</f>
        <v>99</v>
      </c>
      <c r="D891" s="46" t="n">
        <f aca="false">IF(D884&gt;=0,D841,99)</f>
        <v>99</v>
      </c>
      <c r="E891" s="46" t="n">
        <f aca="false">IF(E884&gt;=0,E841,99)</f>
        <v>99</v>
      </c>
      <c r="F891" s="46" t="n">
        <f aca="false">IF(F884&gt;=0,F841,99)</f>
        <v>99</v>
      </c>
      <c r="G891" s="46" t="n">
        <f aca="false">IF(G884&gt;=0,G841,99)</f>
        <v>99</v>
      </c>
      <c r="H891" s="46" t="n">
        <f aca="false">IF(H884&gt;=0,H841,99)</f>
        <v>99</v>
      </c>
      <c r="I891" s="46" t="n">
        <f aca="false">IF(I884&gt;=0,I841,99)</f>
        <v>99</v>
      </c>
      <c r="J891" s="46" t="n">
        <f aca="false">IF(J884&gt;=0,J841,99)</f>
        <v>99</v>
      </c>
      <c r="K891" s="46" t="n">
        <f aca="false">IF(K884&gt;=0,K841,99)</f>
        <v>99</v>
      </c>
      <c r="L891" s="46" t="n">
        <f aca="false">IF(L884&gt;=0,L841,99)</f>
        <v>99</v>
      </c>
      <c r="M891" s="46" t="n">
        <f aca="false">IF(M884&gt;=0,M841,99)</f>
        <v>99</v>
      </c>
    </row>
    <row r="892" customFormat="false" ht="15" hidden="false" customHeight="false" outlineLevel="0" collapsed="false">
      <c r="A892" s="9" t="s">
        <v>516</v>
      </c>
      <c r="C892" s="46" t="n">
        <f aca="false">99</f>
        <v>99</v>
      </c>
      <c r="D892" s="46" t="n">
        <f aca="false">IF(D886&gt;=0,D841,99)</f>
        <v>99</v>
      </c>
      <c r="E892" s="46" t="n">
        <f aca="false">IF(E886&gt;=0,E841,99)</f>
        <v>99</v>
      </c>
      <c r="F892" s="46" t="n">
        <f aca="false">IF(F886&gt;=0,F841,99)</f>
        <v>99</v>
      </c>
      <c r="G892" s="46" t="n">
        <f aca="false">IF(G886&gt;=0,G841,99)</f>
        <v>99</v>
      </c>
      <c r="H892" s="46" t="n">
        <f aca="false">IF(H886&gt;=0,H841,99)</f>
        <v>99</v>
      </c>
      <c r="I892" s="46" t="n">
        <f aca="false">IF(I886&gt;=0,I841,99)</f>
        <v>99</v>
      </c>
      <c r="J892" s="46" t="n">
        <f aca="false">IF(J886&gt;=0,J841,99)</f>
        <v>99</v>
      </c>
      <c r="K892" s="46" t="n">
        <f aca="false">IF(K886&gt;=0,K841,99)</f>
        <v>99</v>
      </c>
      <c r="L892" s="46" t="n">
        <f aca="false">IF(L886&gt;=0,L841,99)</f>
        <v>99</v>
      </c>
      <c r="M892" s="46" t="n">
        <f aca="false">IF(M886&gt;=0,M841,99)</f>
        <v>99</v>
      </c>
    </row>
    <row r="893" customFormat="false" ht="15" hidden="false" customHeight="false" outlineLevel="0" collapsed="false">
      <c r="A893" s="4" t="s">
        <v>517</v>
      </c>
      <c r="C893" s="23" t="n">
        <f aca="false">MIN(D888:M888)</f>
        <v>99</v>
      </c>
    </row>
    <row r="894" customFormat="false" ht="15" hidden="false" customHeight="false" outlineLevel="0" collapsed="false">
      <c r="A894" s="9" t="s">
        <v>518</v>
      </c>
      <c r="C894" s="46" t="n">
        <f aca="false">MIN(D889:M889)</f>
        <v>99</v>
      </c>
    </row>
    <row r="895" customFormat="false" ht="15" hidden="false" customHeight="false" outlineLevel="0" collapsed="false">
      <c r="A895" s="4" t="s">
        <v>519</v>
      </c>
      <c r="C895" s="23" t="n">
        <f aca="false">MIN(D890:M890)</f>
        <v>99</v>
      </c>
    </row>
    <row r="896" customFormat="false" ht="15" hidden="false" customHeight="false" outlineLevel="0" collapsed="false">
      <c r="A896" s="9" t="s">
        <v>520</v>
      </c>
      <c r="C896" s="46" t="n">
        <f aca="false">MIN(D891:M891)</f>
        <v>99</v>
      </c>
    </row>
    <row r="897" customFormat="false" ht="15" hidden="false" customHeight="false" outlineLevel="0" collapsed="false">
      <c r="A897" s="9" t="s">
        <v>521</v>
      </c>
      <c r="C897" s="46" t="n">
        <f aca="false">MIN(D892:M892)</f>
        <v>99</v>
      </c>
    </row>
    <row r="898" customFormat="false" ht="15" hidden="false" customHeight="false" outlineLevel="0" collapsed="false">
      <c r="A898" s="4" t="s">
        <v>522</v>
      </c>
      <c r="C898" s="15" t="n">
        <f aca="false">M886</f>
        <v>-19153.3387554048</v>
      </c>
    </row>
    <row r="899" customFormat="false" ht="15" hidden="false" customHeight="false" outlineLevel="0" collapsed="false">
      <c r="A899" s="9" t="s">
        <v>523</v>
      </c>
      <c r="C899" s="36" t="n">
        <f aca="false">SUMPRODUCT(D854:M854,D887:M887)</f>
        <v>208.806860496414</v>
      </c>
    </row>
    <row r="900" customFormat="false" ht="15" hidden="false" customHeight="false" outlineLevel="0" collapsed="false">
      <c r="A900" s="9" t="s">
        <v>524</v>
      </c>
      <c r="C900" s="36" t="n">
        <f aca="false">M854*(1+a_tg)/(Scenarios!$G$43-a_tg)</f>
        <v>1750.616727552</v>
      </c>
    </row>
    <row r="901" customFormat="false" ht="15" hidden="false" customHeight="false" outlineLevel="0" collapsed="false">
      <c r="A901" s="9" t="s">
        <v>314</v>
      </c>
      <c r="C901" s="36" t="n">
        <f aca="false">C900*M887</f>
        <v>515.711289971507</v>
      </c>
    </row>
    <row r="902" customFormat="false" ht="15" hidden="false" customHeight="false" outlineLevel="0" collapsed="false">
      <c r="A902" s="4" t="s">
        <v>525</v>
      </c>
      <c r="C902" s="15" t="n">
        <f aca="false">C899+C901</f>
        <v>724.518150467921</v>
      </c>
    </row>
    <row r="903" customFormat="false" ht="15" hidden="false" customHeight="false" outlineLevel="0" collapsed="false">
      <c r="A903" s="9" t="s">
        <v>526</v>
      </c>
      <c r="C903" s="32" t="n">
        <f aca="false">SUMPRODUCT(D864:M864,D887:M887)-a_recovery*M866*M887</f>
        <v>6621.53628782556</v>
      </c>
    </row>
    <row r="904" customFormat="false" ht="15" hidden="false" customHeight="false" outlineLevel="0" collapsed="false">
      <c r="A904" s="9" t="s">
        <v>527</v>
      </c>
      <c r="C904" s="36" t="n">
        <f aca="false">SUMPRODUCT(D863:M863,D887:M887)*(1-a_tax)</f>
        <v>0</v>
      </c>
    </row>
    <row r="905" customFormat="false" ht="15" hidden="false" customHeight="false" outlineLevel="0" collapsed="false">
      <c r="A905" s="9" t="s">
        <v>528</v>
      </c>
      <c r="C905" s="36" t="n">
        <f aca="false">C862*D887</f>
        <v>141.592920353982</v>
      </c>
    </row>
    <row r="906" customFormat="false" ht="15" hidden="false" customHeight="false" outlineLevel="0" collapsed="false">
      <c r="A906" s="4" t="s">
        <v>529</v>
      </c>
      <c r="C906" s="20" t="n">
        <f aca="false">C902+C904-C903-C905-lv_price</f>
        <v>-10038.6110577116</v>
      </c>
    </row>
    <row r="907" customFormat="false" ht="15" hidden="false" customHeight="false" outlineLevel="0" collapsed="false">
      <c r="A907" s="9" t="s">
        <v>530</v>
      </c>
      <c r="C907" s="32" t="n">
        <f aca="false">C906+SUMPRODUCT(D883:M883,D887:M887)</f>
        <v>-9664.20025787087</v>
      </c>
    </row>
    <row r="908" customFormat="false" ht="15" hidden="false" customHeight="false" outlineLevel="0" collapsed="false">
      <c r="A908" s="4" t="s">
        <v>531</v>
      </c>
      <c r="C908" s="59" t="n">
        <f aca="false">lv_price/D844</f>
        <v>24.2424242424242</v>
      </c>
    </row>
    <row r="909" customFormat="false" ht="15" hidden="false" customHeight="false" outlineLevel="0" collapsed="false">
      <c r="A909" s="9" t="s">
        <v>532</v>
      </c>
      <c r="C909" s="17" t="n">
        <f aca="false">(lv_price+C903)/D844</f>
        <v>64.3729471989428</v>
      </c>
    </row>
    <row r="910" customFormat="false" ht="15" hidden="false" customHeight="false" outlineLevel="0" collapsed="false">
      <c r="A910" s="4" t="s">
        <v>533</v>
      </c>
      <c r="C910" s="15" t="n">
        <f aca="false">(C906+C903)/SUMPRODUCT(D887:M887)</f>
        <v>-629.731191574665</v>
      </c>
    </row>
    <row r="911" customFormat="false" ht="15" hidden="false" customHeight="false" outlineLevel="0" collapsed="false">
      <c r="A911" s="4" t="s">
        <v>534</v>
      </c>
      <c r="C911" s="25" t="n">
        <f aca="false">D874</f>
        <v>5.25613619586614</v>
      </c>
    </row>
    <row r="912" customFormat="false" ht="15" hidden="false" customHeight="false" outlineLevel="0" collapsed="false">
      <c r="A912" s="9" t="s">
        <v>535</v>
      </c>
      <c r="C912" s="50" t="n">
        <f aca="false">F874</f>
        <v>5.40102885088583</v>
      </c>
    </row>
    <row r="913" customFormat="false" ht="15" hidden="false" customHeight="false" outlineLevel="0" collapsed="false">
      <c r="A913" s="4" t="s">
        <v>536</v>
      </c>
      <c r="C913" s="20" t="n">
        <f aca="false">D882</f>
        <v>-857.975</v>
      </c>
    </row>
    <row r="914" customFormat="false" ht="15" hidden="false" customHeight="false" outlineLevel="0" collapsed="false">
      <c r="A914" s="9" t="s">
        <v>537</v>
      </c>
      <c r="C914" s="32" t="n">
        <f aca="false">cf_cash-lv_mix_cash-C862</f>
        <v>6640</v>
      </c>
    </row>
    <row r="915" customFormat="false" ht="15" hidden="false" customHeight="false" outlineLevel="0" collapsed="false">
      <c r="A915" s="9" t="s">
        <v>538</v>
      </c>
      <c r="C915" s="32" t="n">
        <f aca="false">cf_debt+lv_mix_debt</f>
        <v>350</v>
      </c>
    </row>
    <row r="916" customFormat="false" ht="15" hidden="false" customHeight="false" outlineLevel="0" collapsed="false">
      <c r="A916" s="9" t="s">
        <v>539</v>
      </c>
      <c r="C916" s="34" t="n">
        <f aca="false">C915/cf_ebitda</f>
        <v>0.546875</v>
      </c>
    </row>
    <row r="917" customFormat="false" ht="15" hidden="false" customHeight="false" outlineLevel="0" collapsed="false">
      <c r="A917" s="9" t="s">
        <v>540</v>
      </c>
      <c r="C917" s="32" t="n">
        <f aca="false">C914+SUM(D885:F885)+3*cf_pat</f>
        <v>5576.174</v>
      </c>
    </row>
    <row r="919" customFormat="false" ht="15" hidden="false" customHeight="false" outlineLevel="0" collapsed="false">
      <c r="A919" s="7" t="s">
        <v>886</v>
      </c>
      <c r="B919" s="8"/>
      <c r="C919" s="8"/>
      <c r="D919" s="8"/>
      <c r="E919" s="8"/>
      <c r="F919" s="8"/>
      <c r="G919" s="8"/>
      <c r="H919" s="8"/>
      <c r="I919" s="8"/>
      <c r="J919" s="8"/>
      <c r="K919" s="8"/>
      <c r="L919" s="8"/>
      <c r="M919" s="8"/>
      <c r="N919" s="8"/>
    </row>
    <row r="920" customFormat="false" ht="15" hidden="false" customHeight="false" outlineLevel="0" collapsed="false">
      <c r="A920" s="4" t="s">
        <v>284</v>
      </c>
      <c r="C920" s="39" t="n">
        <v>0</v>
      </c>
      <c r="D920" s="39" t="n">
        <v>1</v>
      </c>
      <c r="E920" s="39" t="n">
        <v>2</v>
      </c>
      <c r="F920" s="39" t="n">
        <v>3</v>
      </c>
      <c r="G920" s="39" t="n">
        <v>4</v>
      </c>
      <c r="H920" s="39" t="n">
        <v>5</v>
      </c>
      <c r="I920" s="39" t="n">
        <v>6</v>
      </c>
      <c r="J920" s="39" t="n">
        <v>7</v>
      </c>
      <c r="K920" s="39" t="n">
        <v>8</v>
      </c>
      <c r="L920" s="39" t="n">
        <v>9</v>
      </c>
      <c r="M920" s="39" t="n">
        <v>10</v>
      </c>
    </row>
    <row r="921" customFormat="false" ht="15" hidden="false" customHeight="false" outlineLevel="0" collapsed="false">
      <c r="A921" s="9" t="s">
        <v>285</v>
      </c>
      <c r="C921" s="40" t="n">
        <f aca="false">cf_arr</f>
        <v>220</v>
      </c>
      <c r="D921" s="36" t="n">
        <f aca="false">C921*(1+Scenarios!$H$39)</f>
        <v>264</v>
      </c>
      <c r="E921" s="36" t="n">
        <f aca="false">D921*(1+Scenarios!$H$39)</f>
        <v>316.8</v>
      </c>
      <c r="F921" s="36" t="n">
        <f aca="false">E921*(1+Scenarios!$H$39)</f>
        <v>380.16</v>
      </c>
      <c r="G921" s="36" t="n">
        <f aca="false">F921*(1+Scenarios!$H$39)</f>
        <v>456.192</v>
      </c>
      <c r="H921" s="36" t="n">
        <f aca="false">G921*(1+Scenarios!$H$39)</f>
        <v>547.4304</v>
      </c>
      <c r="I921" s="36" t="n">
        <f aca="false">H921*(1+Scenarios!$H$39)</f>
        <v>656.91648</v>
      </c>
      <c r="J921" s="36" t="n">
        <f aca="false">I921*(1+Scenarios!$H$39)</f>
        <v>788.299776</v>
      </c>
      <c r="K921" s="36" t="n">
        <f aca="false">J921*(1+Scenarios!$H$39)</f>
        <v>945.9597312</v>
      </c>
      <c r="L921" s="36" t="n">
        <f aca="false">K921*(1+Scenarios!$H$39)</f>
        <v>1135.15167744</v>
      </c>
      <c r="M921" s="36" t="n">
        <f aca="false">L921*(1+Scenarios!$H$39)</f>
        <v>1362.182012928</v>
      </c>
    </row>
    <row r="922" customFormat="false" ht="15" hidden="false" customHeight="false" outlineLevel="0" collapsed="false">
      <c r="A922" s="9" t="s">
        <v>286</v>
      </c>
      <c r="C922" s="18" t="n">
        <f aca="false">1</f>
        <v>1</v>
      </c>
      <c r="D922" s="18" t="n">
        <f aca="false">IF(D920&gt;=a_churn_year,1-Scenarios!$H$40,1)</f>
        <v>1</v>
      </c>
      <c r="E922" s="18" t="n">
        <f aca="false">IF(E920&gt;=a_churn_year,1-Scenarios!$H$40,1)</f>
        <v>1</v>
      </c>
      <c r="F922" s="18" t="n">
        <f aca="false">IF(F920&gt;=a_churn_year,1-Scenarios!$H$40,1)</f>
        <v>1</v>
      </c>
      <c r="G922" s="18" t="n">
        <f aca="false">IF(G920&gt;=a_churn_year,1-Scenarios!$H$40,1)</f>
        <v>1</v>
      </c>
      <c r="H922" s="18" t="n">
        <f aca="false">IF(H920&gt;=a_churn_year,1-Scenarios!$H$40,1)</f>
        <v>1</v>
      </c>
      <c r="I922" s="18" t="n">
        <f aca="false">IF(I920&gt;=a_churn_year,1-Scenarios!$H$40,1)</f>
        <v>1</v>
      </c>
      <c r="J922" s="18" t="n">
        <f aca="false">IF(J920&gt;=a_churn_year,1-Scenarios!$H$40,1)</f>
        <v>1</v>
      </c>
      <c r="K922" s="18" t="n">
        <f aca="false">IF(K920&gt;=a_churn_year,1-Scenarios!$H$40,1)</f>
        <v>1</v>
      </c>
      <c r="L922" s="18" t="n">
        <f aca="false">IF(L920&gt;=a_churn_year,1-Scenarios!$H$40,1)</f>
        <v>1</v>
      </c>
      <c r="M922" s="18" t="n">
        <f aca="false">IF(M920&gt;=a_churn_year,1-Scenarios!$H$40,1)</f>
        <v>1</v>
      </c>
    </row>
    <row r="923" customFormat="false" ht="15" hidden="false" customHeight="false" outlineLevel="0" collapsed="false">
      <c r="A923" s="4" t="s">
        <v>287</v>
      </c>
      <c r="C923" s="41" t="n">
        <f aca="false">C921*C922</f>
        <v>220</v>
      </c>
      <c r="D923" s="41" t="n">
        <f aca="false">D921*D922</f>
        <v>264</v>
      </c>
      <c r="E923" s="41" t="n">
        <f aca="false">E921*E922</f>
        <v>316.8</v>
      </c>
      <c r="F923" s="41" t="n">
        <f aca="false">F921*F922</f>
        <v>380.16</v>
      </c>
      <c r="G923" s="41" t="n">
        <f aca="false">G921*G922</f>
        <v>456.192</v>
      </c>
      <c r="H923" s="41" t="n">
        <f aca="false">H921*H922</f>
        <v>547.4304</v>
      </c>
      <c r="I923" s="41" t="n">
        <f aca="false">I921*I922</f>
        <v>656.91648</v>
      </c>
      <c r="J923" s="41" t="n">
        <f aca="false">J921*J922</f>
        <v>788.299776</v>
      </c>
      <c r="K923" s="41" t="n">
        <f aca="false">K921*K922</f>
        <v>945.9597312</v>
      </c>
      <c r="L923" s="41" t="n">
        <f aca="false">L921*L922</f>
        <v>1135.15167744</v>
      </c>
      <c r="M923" s="41" t="n">
        <f aca="false">M921*M922</f>
        <v>1362.182012928</v>
      </c>
    </row>
    <row r="924" customFormat="false" ht="15" hidden="false" customHeight="false" outlineLevel="0" collapsed="false">
      <c r="A924" s="9" t="s">
        <v>288</v>
      </c>
      <c r="C924" s="18" t="n">
        <f aca="false">MIN(a_m0+a_mstep*C920,a_mcap)</f>
        <v>0</v>
      </c>
      <c r="D924" s="18" t="n">
        <f aca="false">MIN(a_m0+a_mstep*D920,a_mcap)</f>
        <v>0.05</v>
      </c>
      <c r="E924" s="18" t="n">
        <f aca="false">MIN(a_m0+a_mstep*E920,a_mcap)</f>
        <v>0.1</v>
      </c>
      <c r="F924" s="18" t="n">
        <f aca="false">MIN(a_m0+a_mstep*F920,a_mcap)</f>
        <v>0.15</v>
      </c>
      <c r="G924" s="18" t="n">
        <f aca="false">MIN(a_m0+a_mstep*G920,a_mcap)</f>
        <v>0.2</v>
      </c>
      <c r="H924" s="18" t="n">
        <f aca="false">MIN(a_m0+a_mstep*H920,a_mcap)</f>
        <v>0.25</v>
      </c>
      <c r="I924" s="18" t="n">
        <f aca="false">MIN(a_m0+a_mstep*I920,a_mcap)</f>
        <v>0.25</v>
      </c>
      <c r="J924" s="18" t="n">
        <f aca="false">MIN(a_m0+a_mstep*J920,a_mcap)</f>
        <v>0.25</v>
      </c>
      <c r="K924" s="18" t="n">
        <f aca="false">MIN(a_m0+a_mstep*K920,a_mcap)</f>
        <v>0.25</v>
      </c>
      <c r="L924" s="18" t="n">
        <f aca="false">MIN(a_m0+a_mstep*L920,a_mcap)</f>
        <v>0.25</v>
      </c>
      <c r="M924" s="18" t="n">
        <f aca="false">MIN(a_m0+a_mstep*M920,a_mcap)</f>
        <v>0.25</v>
      </c>
    </row>
    <row r="925" customFormat="false" ht="15" hidden="false" customHeight="false" outlineLevel="0" collapsed="false">
      <c r="A925" s="9" t="s">
        <v>289</v>
      </c>
      <c r="C925" s="36" t="n">
        <f aca="false">IF(C920=a_churn_year,a_sticky*(C921-C923)*(1-C924),0)</f>
        <v>0</v>
      </c>
      <c r="D925" s="36" t="n">
        <f aca="false">IF(D920=a_churn_year,a_sticky*(D921-D923)*(1-D924),0)</f>
        <v>0</v>
      </c>
      <c r="E925" s="36" t="n">
        <f aca="false">IF(E920=a_churn_year,a_sticky*(E921-E923)*(1-E924),0)</f>
        <v>0</v>
      </c>
      <c r="F925" s="36" t="n">
        <f aca="false">IF(F920=a_churn_year,a_sticky*(F921-F923)*(1-F924),0)</f>
        <v>0</v>
      </c>
      <c r="G925" s="36" t="n">
        <f aca="false">IF(G920=a_churn_year,a_sticky*(G921-G923)*(1-G924),0)</f>
        <v>0</v>
      </c>
      <c r="H925" s="36" t="n">
        <f aca="false">IF(H920=a_churn_year,a_sticky*(H921-H923)*(1-H924),0)</f>
        <v>0</v>
      </c>
      <c r="I925" s="36" t="n">
        <f aca="false">IF(I920=a_churn_year,a_sticky*(I921-I923)*(1-I924),0)</f>
        <v>0</v>
      </c>
      <c r="J925" s="36" t="n">
        <f aca="false">IF(J920=a_churn_year,a_sticky*(J921-J923)*(1-J924),0)</f>
        <v>0</v>
      </c>
      <c r="K925" s="36" t="n">
        <f aca="false">IF(K920=a_churn_year,a_sticky*(K921-K923)*(1-K924),0)</f>
        <v>0</v>
      </c>
      <c r="L925" s="36" t="n">
        <f aca="false">IF(L920=a_churn_year,a_sticky*(L921-L923)*(1-L924),0)</f>
        <v>0</v>
      </c>
      <c r="M925" s="36" t="n">
        <f aca="false">IF(M920=a_churn_year,a_sticky*(M921-M923)*(1-M924),0)</f>
        <v>0</v>
      </c>
    </row>
    <row r="926" customFormat="false" ht="15" hidden="false" customHeight="false" outlineLevel="0" collapsed="false">
      <c r="A926" s="4" t="s">
        <v>290</v>
      </c>
      <c r="C926" s="41" t="n">
        <f aca="false">C923*C924-C925</f>
        <v>0</v>
      </c>
      <c r="D926" s="41" t="n">
        <f aca="false">D923*D924-D925</f>
        <v>13.2</v>
      </c>
      <c r="E926" s="41" t="n">
        <f aca="false">E923*E924-E925</f>
        <v>31.68</v>
      </c>
      <c r="F926" s="41" t="n">
        <f aca="false">F923*F924-F925</f>
        <v>57.024</v>
      </c>
      <c r="G926" s="41" t="n">
        <f aca="false">G923*G924-G925</f>
        <v>91.2384</v>
      </c>
      <c r="H926" s="41" t="n">
        <f aca="false">H923*H924-H925</f>
        <v>136.8576</v>
      </c>
      <c r="I926" s="41" t="n">
        <f aca="false">I923*I924-I925</f>
        <v>164.22912</v>
      </c>
      <c r="J926" s="41" t="n">
        <f aca="false">J923*J924-J925</f>
        <v>197.074944</v>
      </c>
      <c r="K926" s="41" t="n">
        <f aca="false">K923*K924-K925</f>
        <v>236.4899328</v>
      </c>
      <c r="L926" s="41" t="n">
        <f aca="false">L923*L924-L925</f>
        <v>283.78791936</v>
      </c>
      <c r="M926" s="41" t="n">
        <f aca="false">M923*M924-M925</f>
        <v>340.545503232</v>
      </c>
    </row>
    <row r="927" customFormat="false" ht="15" hidden="false" customHeight="false" outlineLevel="0" collapsed="false">
      <c r="A927" s="9" t="s">
        <v>291</v>
      </c>
      <c r="C927" s="36" t="n">
        <f aca="false">C923*a_da</f>
        <v>6.6</v>
      </c>
      <c r="D927" s="36" t="n">
        <f aca="false">D923*a_da</f>
        <v>7.92</v>
      </c>
      <c r="E927" s="36" t="n">
        <f aca="false">E923*a_da</f>
        <v>9.504</v>
      </c>
      <c r="F927" s="36" t="n">
        <f aca="false">F923*a_da</f>
        <v>11.4048</v>
      </c>
      <c r="G927" s="36" t="n">
        <f aca="false">G923*a_da</f>
        <v>13.68576</v>
      </c>
      <c r="H927" s="36" t="n">
        <f aca="false">H923*a_da</f>
        <v>16.422912</v>
      </c>
      <c r="I927" s="36" t="n">
        <f aca="false">I923*a_da</f>
        <v>19.7074944</v>
      </c>
      <c r="J927" s="36" t="n">
        <f aca="false">J923*a_da</f>
        <v>23.64899328</v>
      </c>
      <c r="K927" s="36" t="n">
        <f aca="false">K923*a_da</f>
        <v>28.378791936</v>
      </c>
      <c r="L927" s="36" t="n">
        <f aca="false">L923*a_da</f>
        <v>34.0545503232</v>
      </c>
      <c r="M927" s="36" t="n">
        <f aca="false">M923*a_da</f>
        <v>40.86546038784</v>
      </c>
    </row>
    <row r="928" customFormat="false" ht="15" hidden="false" customHeight="false" outlineLevel="0" collapsed="false">
      <c r="A928" s="9" t="s">
        <v>292</v>
      </c>
      <c r="C928" s="36" t="n">
        <f aca="false">C926-C927</f>
        <v>-6.6</v>
      </c>
      <c r="D928" s="36" t="n">
        <f aca="false">D926-D927</f>
        <v>5.28</v>
      </c>
      <c r="E928" s="36" t="n">
        <f aca="false">E926-E927</f>
        <v>22.176</v>
      </c>
      <c r="F928" s="36" t="n">
        <f aca="false">F926-F927</f>
        <v>45.6192</v>
      </c>
      <c r="G928" s="36" t="n">
        <f aca="false">G926-G927</f>
        <v>77.55264</v>
      </c>
      <c r="H928" s="36" t="n">
        <f aca="false">H926-H927</f>
        <v>120.434688</v>
      </c>
      <c r="I928" s="36" t="n">
        <f aca="false">I926-I927</f>
        <v>144.5216256</v>
      </c>
      <c r="J928" s="36" t="n">
        <f aca="false">J926-J927</f>
        <v>173.42595072</v>
      </c>
      <c r="K928" s="36" t="n">
        <f aca="false">K926-K927</f>
        <v>208.111140864</v>
      </c>
      <c r="L928" s="36" t="n">
        <f aca="false">L926-L927</f>
        <v>249.7333690368</v>
      </c>
      <c r="M928" s="36" t="n">
        <f aca="false">M926-M927</f>
        <v>299.68004284416</v>
      </c>
    </row>
    <row r="929" customFormat="false" ht="15" hidden="false" customHeight="false" outlineLevel="0" collapsed="false">
      <c r="A929" s="9" t="s">
        <v>293</v>
      </c>
      <c r="C929" s="36" t="n">
        <f aca="false">MAX(0,C928)*a_tax</f>
        <v>0</v>
      </c>
      <c r="D929" s="36" t="n">
        <f aca="false">MAX(0,D928)*a_tax</f>
        <v>1.32</v>
      </c>
      <c r="E929" s="36" t="n">
        <f aca="false">MAX(0,E928)*a_tax</f>
        <v>5.544</v>
      </c>
      <c r="F929" s="36" t="n">
        <f aca="false">MAX(0,F928)*a_tax</f>
        <v>11.4048</v>
      </c>
      <c r="G929" s="36" t="n">
        <f aca="false">MAX(0,G928)*a_tax</f>
        <v>19.38816</v>
      </c>
      <c r="H929" s="36" t="n">
        <f aca="false">MAX(0,H928)*a_tax</f>
        <v>30.108672</v>
      </c>
      <c r="I929" s="36" t="n">
        <f aca="false">MAX(0,I928)*a_tax</f>
        <v>36.1304064</v>
      </c>
      <c r="J929" s="36" t="n">
        <f aca="false">MAX(0,J928)*a_tax</f>
        <v>43.35648768</v>
      </c>
      <c r="K929" s="36" t="n">
        <f aca="false">MAX(0,K928)*a_tax</f>
        <v>52.027785216</v>
      </c>
      <c r="L929" s="36" t="n">
        <f aca="false">MAX(0,L928)*a_tax</f>
        <v>62.4333422592</v>
      </c>
      <c r="M929" s="36" t="n">
        <f aca="false">MAX(0,M928)*a_tax</f>
        <v>74.92001071104</v>
      </c>
    </row>
    <row r="930" customFormat="false" ht="15" hidden="false" customHeight="false" outlineLevel="0" collapsed="false">
      <c r="A930" s="4" t="s">
        <v>294</v>
      </c>
      <c r="C930" s="42" t="n">
        <f aca="false">cf_lim_pat</f>
        <v>0</v>
      </c>
      <c r="D930" s="41" t="n">
        <f aca="false">D928-D929</f>
        <v>3.96</v>
      </c>
      <c r="E930" s="41" t="n">
        <f aca="false">E928-E929</f>
        <v>16.632</v>
      </c>
      <c r="F930" s="41" t="n">
        <f aca="false">F928-F929</f>
        <v>34.2144</v>
      </c>
      <c r="G930" s="41" t="n">
        <f aca="false">G928-G929</f>
        <v>58.16448</v>
      </c>
      <c r="H930" s="41" t="n">
        <f aca="false">H928-H929</f>
        <v>90.326016</v>
      </c>
      <c r="I930" s="41" t="n">
        <f aca="false">I928-I929</f>
        <v>108.3912192</v>
      </c>
      <c r="J930" s="41" t="n">
        <f aca="false">J928-J929</f>
        <v>130.06946304</v>
      </c>
      <c r="K930" s="41" t="n">
        <f aca="false">K928-K929</f>
        <v>156.083355648</v>
      </c>
      <c r="L930" s="41" t="n">
        <f aca="false">L928-L929</f>
        <v>187.3000267776</v>
      </c>
      <c r="M930" s="41" t="n">
        <f aca="false">M928-M929</f>
        <v>224.76003213312</v>
      </c>
    </row>
    <row r="931" customFormat="false" ht="15" hidden="false" customHeight="false" outlineLevel="0" collapsed="false">
      <c r="A931" s="9" t="s">
        <v>295</v>
      </c>
      <c r="C931" s="36" t="n">
        <f aca="false">C923*a_capex</f>
        <v>6.6</v>
      </c>
      <c r="D931" s="36" t="n">
        <f aca="false">D923*a_capex</f>
        <v>7.92</v>
      </c>
      <c r="E931" s="36" t="n">
        <f aca="false">E923*a_capex</f>
        <v>9.504</v>
      </c>
      <c r="F931" s="36" t="n">
        <f aca="false">F923*a_capex</f>
        <v>11.4048</v>
      </c>
      <c r="G931" s="36" t="n">
        <f aca="false">G923*a_capex</f>
        <v>13.68576</v>
      </c>
      <c r="H931" s="36" t="n">
        <f aca="false">H923*a_capex</f>
        <v>16.422912</v>
      </c>
      <c r="I931" s="36" t="n">
        <f aca="false">I923*a_capex</f>
        <v>19.7074944</v>
      </c>
      <c r="J931" s="36" t="n">
        <f aca="false">J923*a_capex</f>
        <v>23.64899328</v>
      </c>
      <c r="K931" s="36" t="n">
        <f aca="false">K923*a_capex</f>
        <v>28.378791936</v>
      </c>
      <c r="L931" s="36" t="n">
        <f aca="false">L923*a_capex</f>
        <v>34.0545503232</v>
      </c>
      <c r="M931" s="36" t="n">
        <f aca="false">M923*a_capex</f>
        <v>40.86546038784</v>
      </c>
    </row>
    <row r="932" customFormat="false" ht="15" hidden="false" customHeight="false" outlineLevel="0" collapsed="false">
      <c r="A932" s="9" t="s">
        <v>296</v>
      </c>
      <c r="C932" s="36" t="n">
        <f aca="false">0</f>
        <v>0</v>
      </c>
      <c r="D932" s="36" t="n">
        <f aca="false">a_wc*(D923-C923)</f>
        <v>2.2</v>
      </c>
      <c r="E932" s="36" t="n">
        <f aca="false">a_wc*(E923-D923)</f>
        <v>2.64</v>
      </c>
      <c r="F932" s="36" t="n">
        <f aca="false">a_wc*(F923-E923)</f>
        <v>3.168</v>
      </c>
      <c r="G932" s="36" t="n">
        <f aca="false">a_wc*(G923-F923)</f>
        <v>3.8016</v>
      </c>
      <c r="H932" s="36" t="n">
        <f aca="false">a_wc*(H923-G923)</f>
        <v>4.56192</v>
      </c>
      <c r="I932" s="36" t="n">
        <f aca="false">a_wc*(I923-H923)</f>
        <v>5.474304</v>
      </c>
      <c r="J932" s="36" t="n">
        <f aca="false">a_wc*(J923-I923)</f>
        <v>6.5691648</v>
      </c>
      <c r="K932" s="36" t="n">
        <f aca="false">a_wc*(K923-J923)</f>
        <v>7.88299776</v>
      </c>
      <c r="L932" s="36" t="n">
        <f aca="false">a_wc*(L923-K923)</f>
        <v>9.45959731199999</v>
      </c>
      <c r="M932" s="36" t="n">
        <f aca="false">a_wc*(M923-L923)</f>
        <v>11.3515167744</v>
      </c>
    </row>
    <row r="933" customFormat="false" ht="15" hidden="false" customHeight="false" outlineLevel="0" collapsed="false">
      <c r="A933" s="4" t="s">
        <v>297</v>
      </c>
      <c r="C933" s="36" t="n">
        <f aca="false">0</f>
        <v>0</v>
      </c>
      <c r="D933" s="41" t="n">
        <f aca="false">D930+D927-D931-D932</f>
        <v>1.76</v>
      </c>
      <c r="E933" s="41" t="n">
        <f aca="false">E930+E927-E931-E932</f>
        <v>13.992</v>
      </c>
      <c r="F933" s="41" t="n">
        <f aca="false">F930+F927-F931-F932</f>
        <v>31.0464</v>
      </c>
      <c r="G933" s="41" t="n">
        <f aca="false">G930+G927-G931-G932</f>
        <v>54.36288</v>
      </c>
      <c r="H933" s="41" t="n">
        <f aca="false">H930+H927-H931-H932</f>
        <v>85.764096</v>
      </c>
      <c r="I933" s="41" t="n">
        <f aca="false">I930+I927-I931-I932</f>
        <v>102.9169152</v>
      </c>
      <c r="J933" s="41" t="n">
        <f aca="false">J930+J927-J931-J932</f>
        <v>123.50029824</v>
      </c>
      <c r="K933" s="41" t="n">
        <f aca="false">K930+K927-K931-K932</f>
        <v>148.200357888</v>
      </c>
      <c r="L933" s="41" t="n">
        <f aca="false">L930+L927-L931-L932</f>
        <v>177.8404294656</v>
      </c>
      <c r="M933" s="41" t="n">
        <f aca="false">M930+M927-M931-M932</f>
        <v>213.40851535872</v>
      </c>
    </row>
    <row r="935" customFormat="false" ht="15" hidden="false" customHeight="false" outlineLevel="0" collapsed="false">
      <c r="A935" s="7" t="s">
        <v>887</v>
      </c>
      <c r="B935" s="8"/>
      <c r="C935" s="8"/>
      <c r="D935" s="8"/>
      <c r="E935" s="8"/>
      <c r="F935" s="8"/>
      <c r="G935" s="8"/>
      <c r="H935" s="8"/>
      <c r="I935" s="8"/>
      <c r="J935" s="8"/>
      <c r="K935" s="8"/>
      <c r="L935" s="8"/>
      <c r="M935" s="8"/>
      <c r="N935" s="8"/>
    </row>
    <row r="936" customFormat="false" ht="15" hidden="false" customHeight="false" outlineLevel="0" collapsed="false">
      <c r="A936" s="9" t="s">
        <v>482</v>
      </c>
      <c r="C936" s="35" t="n">
        <f aca="false">lv_mix_eq/(c_price*(1-a_issue_disc))</f>
        <v>1.024</v>
      </c>
    </row>
    <row r="937" customFormat="false" ht="15" hidden="false" customHeight="false" outlineLevel="0" collapsed="false">
      <c r="A937" s="9" t="s">
        <v>449</v>
      </c>
      <c r="C937" s="35" t="n">
        <f aca="false">cf_shares+C936</f>
        <v>65.024</v>
      </c>
    </row>
    <row r="938" customFormat="false" ht="15" hidden="false" customHeight="false" outlineLevel="0" collapsed="false">
      <c r="A938" s="9" t="s">
        <v>483</v>
      </c>
      <c r="C938" s="36" t="n">
        <f aca="false">lv_mix_cash*a_yield*(1-a_tax)+lv_mix_debt*a_kd*(1-a_tax)</f>
        <v>94.5</v>
      </c>
    </row>
    <row r="939" customFormat="false" ht="15" hidden="false" customHeight="false" outlineLevel="0" collapsed="false">
      <c r="A939" s="9" t="s">
        <v>484</v>
      </c>
      <c r="C939" s="36" t="n">
        <f aca="false">lv_price*a_ppa_share/a_ppa_life*(1-a_tax)</f>
        <v>93.75</v>
      </c>
    </row>
    <row r="940" customFormat="false" ht="15" hidden="false" customHeight="false" outlineLevel="0" collapsed="false">
      <c r="A940" s="9" t="s">
        <v>485</v>
      </c>
      <c r="C940" s="36" t="n">
        <f aca="false">a_ppa_on*C939</f>
        <v>0</v>
      </c>
    </row>
    <row r="941" customFormat="false" ht="15" hidden="false" customHeight="false" outlineLevel="0" collapsed="false">
      <c r="A941" s="9" t="s">
        <v>486</v>
      </c>
      <c r="C941" s="36" t="n">
        <f aca="false">lv_price*a_fees_pct+a_integ_full</f>
        <v>160</v>
      </c>
    </row>
    <row r="942" customFormat="false" ht="15" hidden="false" customHeight="false" outlineLevel="0" collapsed="false">
      <c r="A942" s="9" t="s">
        <v>487</v>
      </c>
      <c r="C942" s="36" t="n">
        <f aca="false">0</f>
        <v>0</v>
      </c>
      <c r="D942" s="36" t="n">
        <f aca="false">a_syn_on*(a_syn_partner_rev_y3+a_syn_xsell_y3)*a_mcap*IF(D920=1,a_syn_ramp1,IF(D920=2,a_syn_ramp2,1))+a_syn_on*IF(D920&gt;=2,a_syn_cost,0)</f>
        <v>0</v>
      </c>
      <c r="E942" s="36" t="n">
        <f aca="false">a_syn_on*(a_syn_partner_rev_y3+a_syn_xsell_y3)*a_mcap*IF(E920=1,a_syn_ramp1,IF(E920=2,a_syn_ramp2,1))+a_syn_on*IF(E920&gt;=2,a_syn_cost,0)</f>
        <v>0</v>
      </c>
      <c r="F942" s="36" t="n">
        <f aca="false">a_syn_on*(a_syn_partner_rev_y3+a_syn_xsell_y3)*a_mcap*IF(F920=1,a_syn_ramp1,IF(F920=2,a_syn_ramp2,1))+a_syn_on*IF(F920&gt;=2,a_syn_cost,0)</f>
        <v>0</v>
      </c>
      <c r="G942" s="36" t="n">
        <f aca="false">a_syn_on*(a_syn_partner_rev_y3+a_syn_xsell_y3)*a_mcap*IF(G920=1,a_syn_ramp1,IF(G920=2,a_syn_ramp2,1))+a_syn_on*IF(G920&gt;=2,a_syn_cost,0)</f>
        <v>0</v>
      </c>
      <c r="H942" s="36" t="n">
        <f aca="false">a_syn_on*(a_syn_partner_rev_y3+a_syn_xsell_y3)*a_mcap*IF(H920=1,a_syn_ramp1,IF(H920=2,a_syn_ramp2,1))+a_syn_on*IF(H920&gt;=2,a_syn_cost,0)</f>
        <v>0</v>
      </c>
      <c r="I942" s="36" t="n">
        <f aca="false">a_syn_on*(a_syn_partner_rev_y3+a_syn_xsell_y3)*a_mcap*IF(I920=1,a_syn_ramp1,IF(I920=2,a_syn_ramp2,1))+a_syn_on*IF(I920&gt;=2,a_syn_cost,0)</f>
        <v>0</v>
      </c>
      <c r="J942" s="36" t="n">
        <f aca="false">a_syn_on*(a_syn_partner_rev_y3+a_syn_xsell_y3)*a_mcap*IF(J920=1,a_syn_ramp1,IF(J920=2,a_syn_ramp2,1))+a_syn_on*IF(J920&gt;=2,a_syn_cost,0)</f>
        <v>0</v>
      </c>
      <c r="K942" s="36" t="n">
        <f aca="false">a_syn_on*(a_syn_partner_rev_y3+a_syn_xsell_y3)*a_mcap*IF(K920=1,a_syn_ramp1,IF(K920=2,a_syn_ramp2,1))+a_syn_on*IF(K920&gt;=2,a_syn_cost,0)</f>
        <v>0</v>
      </c>
      <c r="L942" s="36" t="n">
        <f aca="false">a_syn_on*(a_syn_partner_rev_y3+a_syn_xsell_y3)*a_mcap*IF(L920=1,a_syn_ramp1,IF(L920=2,a_syn_ramp2,1))+a_syn_on*IF(L920&gt;=2,a_syn_cost,0)</f>
        <v>0</v>
      </c>
      <c r="M942" s="36" t="n">
        <f aca="false">a_syn_on*(a_syn_partner_rev_y3+a_syn_xsell_y3)*a_mcap*IF(M920=1,a_syn_ramp1,IF(M920=2,a_syn_ramp2,1))+a_syn_on*IF(M920&gt;=2,a_syn_cost,0)</f>
        <v>0</v>
      </c>
    </row>
    <row r="943" customFormat="false" ht="15" hidden="false" customHeight="false" outlineLevel="0" collapsed="false">
      <c r="A943" s="9" t="s">
        <v>488</v>
      </c>
      <c r="C943" s="36" t="n">
        <f aca="false">0</f>
        <v>0</v>
      </c>
      <c r="D943" s="36" t="n">
        <f aca="false">CHOOSE(Scenarios!$H$42,Scenarios!$H$41,Scenarios!$H$41*D923/cf_arr,Scenarios!$H$41*(1-a_tax))</f>
        <v>750</v>
      </c>
      <c r="E943" s="36" t="n">
        <f aca="false">CHOOSE(Scenarios!$H$42,Scenarios!$H$41,Scenarios!$H$41*E923/cf_arr,Scenarios!$H$41*(1-a_tax))</f>
        <v>750</v>
      </c>
      <c r="F943" s="36" t="n">
        <f aca="false">CHOOSE(Scenarios!$H$42,Scenarios!$H$41,Scenarios!$H$41*F923/cf_arr,Scenarios!$H$41*(1-a_tax))</f>
        <v>750</v>
      </c>
      <c r="G943" s="36" t="n">
        <f aca="false">CHOOSE(Scenarios!$H$42,Scenarios!$H$41,Scenarios!$H$41*G923/cf_arr,Scenarios!$H$41*(1-a_tax))</f>
        <v>750</v>
      </c>
      <c r="H943" s="36" t="n">
        <f aca="false">CHOOSE(Scenarios!$H$42,Scenarios!$H$41,Scenarios!$H$41*H923/cf_arr,Scenarios!$H$41*(1-a_tax))</f>
        <v>750</v>
      </c>
      <c r="I943" s="36" t="n">
        <f aca="false">CHOOSE(Scenarios!$H$42,Scenarios!$H$41,Scenarios!$H$41*I923/cf_arr,Scenarios!$H$41*(1-a_tax))</f>
        <v>750</v>
      </c>
      <c r="J943" s="36" t="n">
        <f aca="false">CHOOSE(Scenarios!$H$42,Scenarios!$H$41,Scenarios!$H$41*J923/cf_arr,Scenarios!$H$41*(1-a_tax))</f>
        <v>750</v>
      </c>
      <c r="K943" s="36" t="n">
        <f aca="false">CHOOSE(Scenarios!$H$42,Scenarios!$H$41,Scenarios!$H$41*K923/cf_arr,Scenarios!$H$41*(1-a_tax))</f>
        <v>750</v>
      </c>
      <c r="L943" s="36" t="n">
        <f aca="false">CHOOSE(Scenarios!$H$42,Scenarios!$H$41,Scenarios!$H$41*L923/cf_arr,Scenarios!$H$41*(1-a_tax))</f>
        <v>750</v>
      </c>
      <c r="M943" s="36" t="n">
        <f aca="false">CHOOSE(Scenarios!$H$42,Scenarios!$H$41,Scenarios!$H$41*M923/cf_arr,Scenarios!$H$41*(1-a_tax))</f>
        <v>750</v>
      </c>
    </row>
    <row r="944" customFormat="false" ht="15" hidden="false" customHeight="false" outlineLevel="0" collapsed="false">
      <c r="A944" s="9" t="s">
        <v>489</v>
      </c>
      <c r="C944" s="36" t="n">
        <f aca="false">0</f>
        <v>0</v>
      </c>
      <c r="D944" s="36" t="n">
        <f aca="false">IF(Scenarios!$H$42=3,Scenarios!$H$41*(1-a_tax),0)</f>
        <v>0</v>
      </c>
      <c r="E944" s="36" t="n">
        <f aca="false">IF(Scenarios!$H$42=3,Scenarios!$H$41*(1-a_tax),0)</f>
        <v>0</v>
      </c>
      <c r="F944" s="36" t="n">
        <f aca="false">IF(Scenarios!$H$42=3,Scenarios!$H$41*(1-a_tax),0)</f>
        <v>0</v>
      </c>
      <c r="G944" s="36" t="n">
        <f aca="false">IF(Scenarios!$H$42=3,Scenarios!$H$41*(1-a_tax),0)</f>
        <v>0</v>
      </c>
      <c r="H944" s="36" t="n">
        <f aca="false">IF(Scenarios!$H$42=3,Scenarios!$H$41*(1-a_tax),0)</f>
        <v>0</v>
      </c>
      <c r="I944" s="36" t="n">
        <f aca="false">IF(Scenarios!$H$42=3,Scenarios!$H$41*(1-a_tax),0)</f>
        <v>0</v>
      </c>
      <c r="J944" s="36" t="n">
        <f aca="false">IF(Scenarios!$H$42=3,Scenarios!$H$41*(1-a_tax),0)</f>
        <v>0</v>
      </c>
      <c r="K944" s="36" t="n">
        <f aca="false">IF(Scenarios!$H$42=3,Scenarios!$H$41*(1-a_tax),0)</f>
        <v>0</v>
      </c>
      <c r="L944" s="36" t="n">
        <f aca="false">IF(Scenarios!$H$42=3,Scenarios!$H$41*(1-a_tax),0)</f>
        <v>0</v>
      </c>
      <c r="M944" s="36" t="n">
        <f aca="false">IF(Scenarios!$H$42=3,Scenarios!$H$41*(1-a_tax),0)</f>
        <v>0</v>
      </c>
    </row>
    <row r="945" customFormat="false" ht="15" hidden="false" customHeight="false" outlineLevel="0" collapsed="false">
      <c r="A945" s="9" t="s">
        <v>490</v>
      </c>
      <c r="C945" s="36" t="n">
        <f aca="false">0</f>
        <v>0</v>
      </c>
      <c r="D945" s="36" t="n">
        <f aca="false">IF(Scenarios!$H$42=3,0,C945+D943)</f>
        <v>750</v>
      </c>
      <c r="E945" s="36" t="n">
        <f aca="false">IF(Scenarios!$H$42=3,0,D945+E943)</f>
        <v>1500</v>
      </c>
      <c r="F945" s="36" t="n">
        <f aca="false">IF(Scenarios!$H$42=3,0,E945+F943)</f>
        <v>2250</v>
      </c>
      <c r="G945" s="36" t="n">
        <f aca="false">IF(Scenarios!$H$42=3,0,F945+G943)</f>
        <v>3000</v>
      </c>
      <c r="H945" s="36" t="n">
        <f aca="false">IF(Scenarios!$H$42=3,0,G945+H943)</f>
        <v>3750</v>
      </c>
      <c r="I945" s="36" t="n">
        <f aca="false">IF(Scenarios!$H$42=3,0,H945+I943)</f>
        <v>4500</v>
      </c>
      <c r="J945" s="36" t="n">
        <f aca="false">IF(Scenarios!$H$42=3,0,I945+J943)</f>
        <v>5250</v>
      </c>
      <c r="K945" s="36" t="n">
        <f aca="false">IF(Scenarios!$H$42=3,0,J945+K943)</f>
        <v>6000</v>
      </c>
      <c r="L945" s="36" t="n">
        <f aca="false">IF(Scenarios!$H$42=3,0,K945+L943)</f>
        <v>6750</v>
      </c>
      <c r="M945" s="36" t="n">
        <f aca="false">IF(Scenarios!$H$42=3,0,L945+M943)</f>
        <v>7500</v>
      </c>
    </row>
    <row r="946" customFormat="false" ht="15" hidden="false" customHeight="false" outlineLevel="0" collapsed="false">
      <c r="A946" s="9" t="s">
        <v>491</v>
      </c>
      <c r="C946" s="36" t="n">
        <f aca="false">0</f>
        <v>0</v>
      </c>
      <c r="D946" s="36" t="n">
        <f aca="false">C945*a_yield*(1-a_tax)</f>
        <v>0</v>
      </c>
      <c r="E946" s="36" t="n">
        <f aca="false">D945*a_yield*(1-a_tax)</f>
        <v>33.75</v>
      </c>
      <c r="F946" s="36" t="n">
        <f aca="false">E945*a_yield*(1-a_tax)</f>
        <v>67.5</v>
      </c>
      <c r="G946" s="36" t="n">
        <f aca="false">F945*a_yield*(1-a_tax)</f>
        <v>101.25</v>
      </c>
      <c r="H946" s="36" t="n">
        <f aca="false">G945*a_yield*(1-a_tax)</f>
        <v>135</v>
      </c>
      <c r="I946" s="36" t="n">
        <f aca="false">H945*a_yield*(1-a_tax)</f>
        <v>168.75</v>
      </c>
      <c r="J946" s="36" t="n">
        <f aca="false">I945*a_yield*(1-a_tax)</f>
        <v>202.5</v>
      </c>
      <c r="K946" s="36" t="n">
        <f aca="false">J945*a_yield*(1-a_tax)</f>
        <v>236.25</v>
      </c>
      <c r="L946" s="36" t="n">
        <f aca="false">K945*a_yield*(1-a_tax)</f>
        <v>270</v>
      </c>
      <c r="M946" s="36" t="n">
        <f aca="false">L945*a_yield*(1-a_tax)</f>
        <v>303.75</v>
      </c>
    </row>
    <row r="947" customFormat="false" ht="15" hidden="false" customHeight="false" outlineLevel="0" collapsed="false">
      <c r="A947" s="9" t="s">
        <v>492</v>
      </c>
      <c r="C947" s="36" t="n">
        <f aca="false">cf_pat</f>
        <v>480</v>
      </c>
      <c r="D947" s="36" t="n">
        <f aca="false">cf_pat*(1+a_pat_growth)^D920</f>
        <v>480</v>
      </c>
      <c r="E947" s="36" t="n">
        <f aca="false">cf_pat*(1+a_pat_growth)^E920</f>
        <v>480</v>
      </c>
      <c r="F947" s="36" t="n">
        <f aca="false">cf_pat*(1+a_pat_growth)^F920</f>
        <v>480</v>
      </c>
      <c r="G947" s="36" t="n">
        <f aca="false">cf_pat*(1+a_pat_growth)^G920</f>
        <v>480</v>
      </c>
      <c r="H947" s="36" t="n">
        <f aca="false">cf_pat*(1+a_pat_growth)^H920</f>
        <v>480</v>
      </c>
      <c r="I947" s="36" t="n">
        <f aca="false">cf_pat*(1+a_pat_growth)^I920</f>
        <v>480</v>
      </c>
      <c r="J947" s="36" t="n">
        <f aca="false">cf_pat*(1+a_pat_growth)^J920</f>
        <v>480</v>
      </c>
      <c r="K947" s="36" t="n">
        <f aca="false">cf_pat*(1+a_pat_growth)^K920</f>
        <v>480</v>
      </c>
      <c r="L947" s="36" t="n">
        <f aca="false">cf_pat*(1+a_pat_growth)^L920</f>
        <v>480</v>
      </c>
      <c r="M947" s="36" t="n">
        <f aca="false">cf_pat*(1+a_pat_growth)^M920</f>
        <v>480</v>
      </c>
    </row>
    <row r="948" customFormat="false" ht="15" hidden="false" customHeight="false" outlineLevel="0" collapsed="false">
      <c r="A948" s="9" t="s">
        <v>493</v>
      </c>
      <c r="C948" s="36" t="n">
        <f aca="false">0</f>
        <v>0</v>
      </c>
      <c r="D948" s="36" t="n">
        <f aca="false">cf_mdr*a_mdr_flow*(1-a_tax)</f>
        <v>69</v>
      </c>
      <c r="E948" s="36" t="n">
        <f aca="false">cf_mdr*a_mdr_flow*(1-a_tax)</f>
        <v>69</v>
      </c>
      <c r="F948" s="36" t="n">
        <f aca="false">cf_mdr*a_mdr_flow*(1-a_tax)</f>
        <v>69</v>
      </c>
      <c r="G948" s="36" t="n">
        <f aca="false">cf_mdr*a_mdr_flow*(1-a_tax)</f>
        <v>69</v>
      </c>
      <c r="H948" s="36" t="n">
        <f aca="false">cf_mdr*a_mdr_flow*(1-a_tax)</f>
        <v>69</v>
      </c>
      <c r="I948" s="36" t="n">
        <f aca="false">cf_mdr*a_mdr_flow*(1-a_tax)</f>
        <v>69</v>
      </c>
      <c r="J948" s="36" t="n">
        <f aca="false">cf_mdr*a_mdr_flow*(1-a_tax)</f>
        <v>69</v>
      </c>
      <c r="K948" s="36" t="n">
        <f aca="false">cf_mdr*a_mdr_flow*(1-a_tax)</f>
        <v>69</v>
      </c>
      <c r="L948" s="36" t="n">
        <f aca="false">cf_mdr*a_mdr_flow*(1-a_tax)</f>
        <v>69</v>
      </c>
      <c r="M948" s="36" t="n">
        <f aca="false">cf_mdr*a_mdr_flow*(1-a_tax)</f>
        <v>69</v>
      </c>
    </row>
    <row r="949" customFormat="false" ht="15" hidden="false" customHeight="false" outlineLevel="0" collapsed="false">
      <c r="A949" s="9" t="s">
        <v>494</v>
      </c>
      <c r="C949" s="50" t="n">
        <f aca="false">cf_eps</f>
        <v>7.5</v>
      </c>
      <c r="D949" s="50" t="n">
        <f aca="false">D947/cf_shares</f>
        <v>7.5</v>
      </c>
      <c r="E949" s="50" t="n">
        <f aca="false">E947/cf_shares</f>
        <v>7.5</v>
      </c>
      <c r="F949" s="50" t="n">
        <f aca="false">F947/cf_shares</f>
        <v>7.5</v>
      </c>
      <c r="G949" s="50" t="n">
        <f aca="false">G947/cf_shares</f>
        <v>7.5</v>
      </c>
      <c r="H949" s="50" t="n">
        <f aca="false">H947/cf_shares</f>
        <v>7.5</v>
      </c>
      <c r="I949" s="50" t="n">
        <f aca="false">I947/cf_shares</f>
        <v>7.5</v>
      </c>
      <c r="J949" s="50" t="n">
        <f aca="false">J947/cf_shares</f>
        <v>7.5</v>
      </c>
      <c r="K949" s="50" t="n">
        <f aca="false">K947/cf_shares</f>
        <v>7.5</v>
      </c>
      <c r="L949" s="50" t="n">
        <f aca="false">L947/cf_shares</f>
        <v>7.5</v>
      </c>
      <c r="M949" s="50" t="n">
        <f aca="false">M947/cf_shares</f>
        <v>7.5</v>
      </c>
    </row>
    <row r="950" customFormat="false" ht="15" hidden="false" customHeight="false" outlineLevel="0" collapsed="false">
      <c r="A950" s="9" t="s">
        <v>495</v>
      </c>
      <c r="C950" s="50" t="n">
        <f aca="false">cf_eps</f>
        <v>7.5</v>
      </c>
      <c r="D950" s="50" t="n">
        <f aca="false">(D947+D948)/cf_shares</f>
        <v>8.578125</v>
      </c>
      <c r="E950" s="50" t="n">
        <f aca="false">(E947+E948)/cf_shares</f>
        <v>8.578125</v>
      </c>
      <c r="F950" s="50" t="n">
        <f aca="false">(F947+F948)/cf_shares</f>
        <v>8.578125</v>
      </c>
      <c r="G950" s="50" t="n">
        <f aca="false">(G947+G948)/cf_shares</f>
        <v>8.578125</v>
      </c>
      <c r="H950" s="50" t="n">
        <f aca="false">(H947+H948)/cf_shares</f>
        <v>8.578125</v>
      </c>
      <c r="I950" s="50" t="n">
        <f aca="false">(I947+I948)/cf_shares</f>
        <v>8.578125</v>
      </c>
      <c r="J950" s="50" t="n">
        <f aca="false">(J947+J948)/cf_shares</f>
        <v>8.578125</v>
      </c>
      <c r="K950" s="50" t="n">
        <f aca="false">(K947+K948)/cf_shares</f>
        <v>8.578125</v>
      </c>
      <c r="L950" s="50" t="n">
        <f aca="false">(L947+L948)/cf_shares</f>
        <v>8.578125</v>
      </c>
      <c r="M950" s="50" t="n">
        <f aca="false">(M947+M948)/cf_shares</f>
        <v>8.578125</v>
      </c>
    </row>
    <row r="951" customFormat="false" ht="15" hidden="false" customHeight="false" outlineLevel="0" collapsed="false">
      <c r="A951" s="4" t="s">
        <v>496</v>
      </c>
      <c r="C951" s="41" t="n">
        <f aca="false">-C938-C940</f>
        <v>-94.5</v>
      </c>
      <c r="D951" s="41" t="n">
        <f aca="false">D930+D942*(1-a_tax)-C938-C940-D944-D946</f>
        <v>-90.54</v>
      </c>
      <c r="E951" s="41" t="n">
        <f aca="false">E930+E942*(1-a_tax)-C938-C940-E944-E946</f>
        <v>-111.618</v>
      </c>
      <c r="F951" s="41" t="n">
        <f aca="false">F930+F942*(1-a_tax)-C938-C940-F944-F946</f>
        <v>-127.7856</v>
      </c>
      <c r="G951" s="41" t="n">
        <f aca="false">G930+G942*(1-a_tax)-C938-C940-G944-G946</f>
        <v>-137.58552</v>
      </c>
      <c r="H951" s="41" t="n">
        <f aca="false">H930+H942*(1-a_tax)-C938-C940-H944-H946</f>
        <v>-139.173984</v>
      </c>
      <c r="I951" s="41" t="n">
        <f aca="false">I930+I942*(1-a_tax)-C938-C940-I944-I946</f>
        <v>-154.8587808</v>
      </c>
      <c r="J951" s="41" t="n">
        <f aca="false">J930+J942*(1-a_tax)-C938-C940-J944-J946</f>
        <v>-166.93053696</v>
      </c>
      <c r="K951" s="41" t="n">
        <f aca="false">K930+K942*(1-a_tax)-C938-C940-K944-K946</f>
        <v>-174.666644352</v>
      </c>
      <c r="L951" s="41" t="n">
        <f aca="false">L930+L942*(1-a_tax)-C938-C940-L944-L946</f>
        <v>-177.1999732224</v>
      </c>
      <c r="M951" s="41" t="n">
        <f aca="false">M930+M942*(1-a_tax)-C938-C940-M944-M946</f>
        <v>-173.48996786688</v>
      </c>
    </row>
    <row r="952" customFormat="false" ht="15" hidden="false" customHeight="false" outlineLevel="0" collapsed="false">
      <c r="A952" s="9" t="s">
        <v>497</v>
      </c>
      <c r="C952" s="36" t="n">
        <f aca="false">C947+C951</f>
        <v>385.5</v>
      </c>
      <c r="D952" s="36" t="n">
        <f aca="false">D947+D951</f>
        <v>389.46</v>
      </c>
      <c r="E952" s="36" t="n">
        <f aca="false">E947+E951</f>
        <v>368.382</v>
      </c>
      <c r="F952" s="36" t="n">
        <f aca="false">F947+F951</f>
        <v>352.2144</v>
      </c>
      <c r="G952" s="36" t="n">
        <f aca="false">G947+G951</f>
        <v>342.41448</v>
      </c>
      <c r="H952" s="36" t="n">
        <f aca="false">H947+H951</f>
        <v>340.826016</v>
      </c>
      <c r="I952" s="36" t="n">
        <f aca="false">I947+I951</f>
        <v>325.1412192</v>
      </c>
      <c r="J952" s="36" t="n">
        <f aca="false">J947+J951</f>
        <v>313.06946304</v>
      </c>
      <c r="K952" s="36" t="n">
        <f aca="false">K947+K951</f>
        <v>305.333355648</v>
      </c>
      <c r="L952" s="36" t="n">
        <f aca="false">L947+L951</f>
        <v>302.8000267776</v>
      </c>
      <c r="M952" s="36" t="n">
        <f aca="false">M947+M951</f>
        <v>306.51003213312</v>
      </c>
    </row>
    <row r="953" customFormat="false" ht="15" hidden="false" customHeight="false" outlineLevel="0" collapsed="false">
      <c r="A953" s="4" t="s">
        <v>498</v>
      </c>
      <c r="C953" s="48" t="n">
        <f aca="false">C952/C937</f>
        <v>5.92858021653543</v>
      </c>
      <c r="D953" s="48" t="n">
        <f aca="false">D952/C937</f>
        <v>5.98948080708662</v>
      </c>
      <c r="E953" s="48" t="n">
        <f aca="false">E952/C937</f>
        <v>5.66532357283465</v>
      </c>
      <c r="F953" s="48" t="n">
        <f aca="false">F952/C937</f>
        <v>5.41668307086614</v>
      </c>
      <c r="G953" s="48" t="n">
        <f aca="false">G952/C937</f>
        <v>5.26597071850394</v>
      </c>
      <c r="H953" s="48" t="n">
        <f aca="false">H952/C937</f>
        <v>5.24154183070866</v>
      </c>
      <c r="I953" s="48" t="n">
        <f aca="false">I952/C937</f>
        <v>5.00032632874016</v>
      </c>
      <c r="J953" s="48" t="n">
        <f aca="false">J952/C937</f>
        <v>4.8146755511811</v>
      </c>
      <c r="K953" s="48" t="n">
        <f aca="false">K952/C937</f>
        <v>4.69570244291339</v>
      </c>
      <c r="L953" s="48" t="n">
        <f aca="false">L952/C937</f>
        <v>4.65674253779527</v>
      </c>
      <c r="M953" s="48" t="n">
        <f aca="false">M952/C937</f>
        <v>4.71379847645669</v>
      </c>
    </row>
    <row r="954" customFormat="false" ht="15" hidden="false" customHeight="false" outlineLevel="0" collapsed="false">
      <c r="A954" s="4" t="s">
        <v>499</v>
      </c>
      <c r="C954" s="14" t="n">
        <f aca="false">C953/cf_eps-1</f>
        <v>-0.209522637795276</v>
      </c>
      <c r="D954" s="14" t="n">
        <f aca="false">D953/cf_eps-1</f>
        <v>-0.201402559055118</v>
      </c>
      <c r="E954" s="14" t="n">
        <f aca="false">E953/cf_eps-1</f>
        <v>-0.244623523622047</v>
      </c>
      <c r="F954" s="14" t="n">
        <f aca="false">F953/cf_eps-1</f>
        <v>-0.277775590551181</v>
      </c>
      <c r="G954" s="14" t="n">
        <f aca="false">G953/cf_eps-1</f>
        <v>-0.297870570866142</v>
      </c>
      <c r="H954" s="14" t="n">
        <f aca="false">H953/cf_eps-1</f>
        <v>-0.301127755905512</v>
      </c>
      <c r="I954" s="14" t="n">
        <f aca="false">I953/cf_eps-1</f>
        <v>-0.333289822834646</v>
      </c>
      <c r="J954" s="14" t="n">
        <f aca="false">J953/cf_eps-1</f>
        <v>-0.35804325984252</v>
      </c>
      <c r="K954" s="14" t="n">
        <f aca="false">K953/cf_eps-1</f>
        <v>-0.373906340944882</v>
      </c>
      <c r="L954" s="14" t="n">
        <f aca="false">L953/cf_eps-1</f>
        <v>-0.37910099496063</v>
      </c>
      <c r="M954" s="14" t="n">
        <f aca="false">M953/cf_eps-1</f>
        <v>-0.371493536472441</v>
      </c>
    </row>
    <row r="955" customFormat="false" ht="15" hidden="false" customHeight="false" outlineLevel="0" collapsed="false">
      <c r="A955" s="9" t="s">
        <v>500</v>
      </c>
      <c r="C955" s="50" t="n">
        <f aca="false">C953</f>
        <v>5.92858021653543</v>
      </c>
      <c r="D955" s="50" t="n">
        <f aca="false">(D952+D948)/C937</f>
        <v>7.05062746062992</v>
      </c>
      <c r="E955" s="50" t="n">
        <f aca="false">(E952+E948)/C937</f>
        <v>6.72647022637795</v>
      </c>
      <c r="F955" s="50" t="n">
        <f aca="false">(F952+F948)/C937</f>
        <v>6.47782972440945</v>
      </c>
      <c r="G955" s="50" t="n">
        <f aca="false">(G952+G948)/C937</f>
        <v>6.32711737204724</v>
      </c>
      <c r="H955" s="50" t="n">
        <f aca="false">(H952+H948)/C937</f>
        <v>6.30268848425197</v>
      </c>
      <c r="I955" s="50" t="n">
        <f aca="false">(I952+I948)/C937</f>
        <v>6.06147298228346</v>
      </c>
      <c r="J955" s="50" t="n">
        <f aca="false">(J952+J948)/C937</f>
        <v>5.87582220472441</v>
      </c>
      <c r="K955" s="50" t="n">
        <f aca="false">(K952+K948)/C937</f>
        <v>5.75684909645669</v>
      </c>
      <c r="L955" s="50" t="n">
        <f aca="false">(L952+L948)/C937</f>
        <v>5.71788919133858</v>
      </c>
      <c r="M955" s="50" t="n">
        <f aca="false">(M952+M948)/C937</f>
        <v>5.77494513</v>
      </c>
    </row>
    <row r="956" customFormat="false" ht="15" hidden="false" customHeight="false" outlineLevel="0" collapsed="false">
      <c r="A956" s="9" t="s">
        <v>501</v>
      </c>
      <c r="C956" s="18" t="n">
        <f aca="false">C954</f>
        <v>-0.209522637795276</v>
      </c>
      <c r="D956" s="18" t="n">
        <f aca="false">D955/D950-1</f>
        <v>-0.178068929908352</v>
      </c>
      <c r="E956" s="18" t="n">
        <f aca="false">E955/E950-1</f>
        <v>-0.215857751387634</v>
      </c>
      <c r="F956" s="18" t="n">
        <f aca="false">F955/F950-1</f>
        <v>-0.244843165096166</v>
      </c>
      <c r="G956" s="18" t="n">
        <f aca="false">G955/G950-1</f>
        <v>-0.262412546792307</v>
      </c>
      <c r="H956" s="18" t="n">
        <f aca="false">H955/H950-1</f>
        <v>-0.265260358848587</v>
      </c>
      <c r="I956" s="18" t="n">
        <f aca="false">I955/I950-1</f>
        <v>-0.293380198786627</v>
      </c>
      <c r="J956" s="18" t="n">
        <f aca="false">J955/J950-1</f>
        <v>-0.315022548083129</v>
      </c>
      <c r="K956" s="18" t="n">
        <f aca="false">K955/K950-1</f>
        <v>-0.328891908609784</v>
      </c>
      <c r="L956" s="18" t="n">
        <f aca="false">L955/L950-1</f>
        <v>-0.333433682612624</v>
      </c>
      <c r="M956" s="18" t="n">
        <f aca="false">M955/M950-1</f>
        <v>-0.326782352786885</v>
      </c>
    </row>
    <row r="957" customFormat="false" ht="15" hidden="false" customHeight="false" outlineLevel="0" collapsed="false">
      <c r="A957" s="9" t="s">
        <v>502</v>
      </c>
      <c r="C957" s="50" t="n">
        <f aca="false">(C952+C940)/C937</f>
        <v>5.92858021653543</v>
      </c>
      <c r="D957" s="50" t="n">
        <f aca="false">(D952+C940)/C937</f>
        <v>5.98948080708662</v>
      </c>
      <c r="E957" s="50" t="n">
        <f aca="false">(E952+C940)/C937</f>
        <v>5.66532357283465</v>
      </c>
      <c r="F957" s="50" t="n">
        <f aca="false">(F952+C940)/C937</f>
        <v>5.41668307086614</v>
      </c>
      <c r="G957" s="50" t="n">
        <f aca="false">(G952+C940)/C937</f>
        <v>5.26597071850394</v>
      </c>
      <c r="H957" s="50" t="n">
        <f aca="false">(H952+C940)/C937</f>
        <v>5.24154183070866</v>
      </c>
      <c r="I957" s="50" t="n">
        <f aca="false">(I952+C940)/C937</f>
        <v>5.00032632874016</v>
      </c>
      <c r="J957" s="50" t="n">
        <f aca="false">(J952+C940)/C937</f>
        <v>4.8146755511811</v>
      </c>
      <c r="K957" s="50" t="n">
        <f aca="false">(K952+C940)/C937</f>
        <v>4.69570244291339</v>
      </c>
      <c r="L957" s="50" t="n">
        <f aca="false">(L952+C940)/C937</f>
        <v>4.65674253779527</v>
      </c>
      <c r="M957" s="50" t="n">
        <f aca="false">(M952+C940)/C937</f>
        <v>4.71379847645669</v>
      </c>
    </row>
    <row r="958" customFormat="false" ht="15" hidden="false" customHeight="false" outlineLevel="0" collapsed="false">
      <c r="A958" s="9" t="s">
        <v>503</v>
      </c>
      <c r="C958" s="50" t="n">
        <f aca="false">(C952-C939+C940)/C937</f>
        <v>4.48680487204724</v>
      </c>
      <c r="D958" s="50" t="n">
        <f aca="false">(D952-C939+C940)/C937</f>
        <v>4.54770546259843</v>
      </c>
      <c r="E958" s="50" t="n">
        <f aca="false">(E952-C939+C940)/C937</f>
        <v>4.22354822834646</v>
      </c>
      <c r="F958" s="50" t="n">
        <f aca="false">(F952-C939+C940)/C937</f>
        <v>3.97490772637795</v>
      </c>
      <c r="G958" s="50" t="n">
        <f aca="false">(G952-C939+C940)/C937</f>
        <v>3.82419537401575</v>
      </c>
      <c r="H958" s="50" t="n">
        <f aca="false">(H952-C939+C940)/C937</f>
        <v>3.79976648622047</v>
      </c>
      <c r="I958" s="50" t="n">
        <f aca="false">(I952-C939+C940)/C937</f>
        <v>3.55855098425197</v>
      </c>
      <c r="J958" s="50" t="n">
        <f aca="false">(J952-C939+C940)/C937</f>
        <v>3.37290020669291</v>
      </c>
      <c r="K958" s="50" t="n">
        <f aca="false">(K952-C939+C940)/C937</f>
        <v>3.2539270984252</v>
      </c>
      <c r="L958" s="50" t="n">
        <f aca="false">(L952-C939+C940)/C937</f>
        <v>3.21496719330709</v>
      </c>
      <c r="M958" s="50" t="n">
        <f aca="false">(M952-C939+C940)/C937</f>
        <v>3.2720231319685</v>
      </c>
    </row>
    <row r="959" customFormat="false" ht="15" hidden="false" customHeight="false" outlineLevel="0" collapsed="false">
      <c r="A959" s="9" t="s">
        <v>504</v>
      </c>
      <c r="C959" s="50" t="n">
        <f aca="false">C947/C937</f>
        <v>7.38188976377953</v>
      </c>
      <c r="D959" s="50" t="n">
        <f aca="false">D947/C937</f>
        <v>7.38188976377953</v>
      </c>
      <c r="E959" s="50" t="n">
        <f aca="false">E947/C937</f>
        <v>7.38188976377953</v>
      </c>
      <c r="F959" s="50" t="n">
        <f aca="false">F947/C937</f>
        <v>7.38188976377953</v>
      </c>
      <c r="G959" s="50" t="n">
        <f aca="false">G947/C937</f>
        <v>7.38188976377953</v>
      </c>
      <c r="H959" s="50" t="n">
        <f aca="false">H947/C937</f>
        <v>7.38188976377953</v>
      </c>
      <c r="I959" s="50" t="n">
        <f aca="false">I947/C937</f>
        <v>7.38188976377953</v>
      </c>
      <c r="J959" s="50" t="n">
        <f aca="false">J947/C937</f>
        <v>7.38188976377953</v>
      </c>
      <c r="K959" s="50" t="n">
        <f aca="false">K947/C937</f>
        <v>7.38188976377953</v>
      </c>
      <c r="L959" s="50" t="n">
        <f aca="false">L947/C937</f>
        <v>7.38188976377953</v>
      </c>
      <c r="M959" s="50" t="n">
        <f aca="false">M947/C937</f>
        <v>7.38188976377953</v>
      </c>
    </row>
    <row r="960" customFormat="false" ht="15" hidden="false" customHeight="false" outlineLevel="0" collapsed="false">
      <c r="A960" s="9" t="s">
        <v>505</v>
      </c>
      <c r="D960" s="36" t="n">
        <f aca="false">D933+D942*(1-a_tax)-D943-IF(D920=1,C941,0)</f>
        <v>-908.24</v>
      </c>
      <c r="E960" s="36" t="n">
        <f aca="false">E933+E942*(1-a_tax)-E943-IF(E920=1,C941,0)</f>
        <v>-736.008</v>
      </c>
      <c r="F960" s="36" t="n">
        <f aca="false">F933+F942*(1-a_tax)-F943-IF(F920=1,C941,0)</f>
        <v>-718.9536</v>
      </c>
      <c r="G960" s="36" t="n">
        <f aca="false">G933+G942*(1-a_tax)-G943-IF(G920=1,C941,0)</f>
        <v>-695.63712</v>
      </c>
      <c r="H960" s="36" t="n">
        <f aca="false">H933+H942*(1-a_tax)-H943-IF(H920=1,C941,0)</f>
        <v>-664.235904</v>
      </c>
      <c r="I960" s="36" t="n">
        <f aca="false">I933+I942*(1-a_tax)-I943-IF(I920=1,C941,0)</f>
        <v>-647.0830848</v>
      </c>
      <c r="J960" s="36" t="n">
        <f aca="false">J933+J942*(1-a_tax)-J943-IF(J920=1,C941,0)</f>
        <v>-626.49970176</v>
      </c>
      <c r="K960" s="36" t="n">
        <f aca="false">K933+K942*(1-a_tax)-K943-IF(K920=1,C941,0)</f>
        <v>-601.799642112</v>
      </c>
      <c r="L960" s="36" t="n">
        <f aca="false">L933+L942*(1-a_tax)-L943-IF(L920=1,C941,0)</f>
        <v>-572.1595705344</v>
      </c>
      <c r="M960" s="36" t="n">
        <f aca="false">M933+M942*(1-a_tax)-M943-IF(M920=1,C941,0)</f>
        <v>-536.59148464128</v>
      </c>
    </row>
    <row r="961" customFormat="false" ht="15" hidden="false" customHeight="false" outlineLevel="0" collapsed="false">
      <c r="A961" s="4" t="s">
        <v>506</v>
      </c>
      <c r="D961" s="41" t="n">
        <f aca="false">D960-C938</f>
        <v>-1002.74</v>
      </c>
      <c r="E961" s="41" t="n">
        <f aca="false">E960-C938</f>
        <v>-830.508</v>
      </c>
      <c r="F961" s="41" t="n">
        <f aca="false">F960-C938</f>
        <v>-813.4536</v>
      </c>
      <c r="G961" s="41" t="n">
        <f aca="false">G960-C938</f>
        <v>-790.13712</v>
      </c>
      <c r="H961" s="41" t="n">
        <f aca="false">H960-C938</f>
        <v>-758.735904</v>
      </c>
      <c r="I961" s="41" t="n">
        <f aca="false">I960-C938</f>
        <v>-741.5830848</v>
      </c>
      <c r="J961" s="41" t="n">
        <f aca="false">J960-C938</f>
        <v>-720.99970176</v>
      </c>
      <c r="K961" s="41" t="n">
        <f aca="false">K960-C938</f>
        <v>-696.299642112</v>
      </c>
      <c r="L961" s="41" t="n">
        <f aca="false">L960-C938</f>
        <v>-666.6595705344</v>
      </c>
      <c r="M961" s="41" t="n">
        <f aca="false">M960-C938</f>
        <v>-631.09148464128</v>
      </c>
    </row>
    <row r="962" customFormat="false" ht="15" hidden="false" customHeight="false" outlineLevel="0" collapsed="false">
      <c r="A962" s="9" t="s">
        <v>507</v>
      </c>
      <c r="C962" s="36" t="n">
        <f aca="false">0</f>
        <v>0</v>
      </c>
      <c r="D962" s="36" t="n">
        <f aca="false">D948</f>
        <v>69</v>
      </c>
      <c r="E962" s="36" t="n">
        <f aca="false">E948</f>
        <v>69</v>
      </c>
      <c r="F962" s="36" t="n">
        <f aca="false">F948</f>
        <v>69</v>
      </c>
      <c r="G962" s="36" t="n">
        <f aca="false">G948</f>
        <v>69</v>
      </c>
      <c r="H962" s="36" t="n">
        <f aca="false">H948</f>
        <v>69</v>
      </c>
      <c r="I962" s="36" t="n">
        <f aca="false">I948</f>
        <v>69</v>
      </c>
      <c r="J962" s="36" t="n">
        <f aca="false">J948</f>
        <v>69</v>
      </c>
      <c r="K962" s="36" t="n">
        <f aca="false">K948</f>
        <v>69</v>
      </c>
      <c r="L962" s="36" t="n">
        <f aca="false">L948</f>
        <v>69</v>
      </c>
      <c r="M962" s="36" t="n">
        <f aca="false">M948</f>
        <v>69</v>
      </c>
    </row>
    <row r="963" customFormat="false" ht="15" hidden="false" customHeight="false" outlineLevel="0" collapsed="false">
      <c r="A963" s="9" t="s">
        <v>508</v>
      </c>
      <c r="D963" s="36" t="n">
        <f aca="false">D961+D962</f>
        <v>-933.74</v>
      </c>
      <c r="E963" s="36" t="n">
        <f aca="false">E961+E962</f>
        <v>-761.508</v>
      </c>
      <c r="F963" s="36" t="n">
        <f aca="false">F961+F962</f>
        <v>-744.4536</v>
      </c>
      <c r="G963" s="36" t="n">
        <f aca="false">G961+G962</f>
        <v>-721.13712</v>
      </c>
      <c r="H963" s="36" t="n">
        <f aca="false">H961+H962</f>
        <v>-689.735904</v>
      </c>
      <c r="I963" s="36" t="n">
        <f aca="false">I961+I962</f>
        <v>-672.5830848</v>
      </c>
      <c r="J963" s="36" t="n">
        <f aca="false">J961+J962</f>
        <v>-651.99970176</v>
      </c>
      <c r="K963" s="36" t="n">
        <f aca="false">K961+K962</f>
        <v>-627.299642112</v>
      </c>
      <c r="L963" s="36" t="n">
        <f aca="false">L961+L962</f>
        <v>-597.6595705344</v>
      </c>
      <c r="M963" s="36" t="n">
        <f aca="false">M961+M962</f>
        <v>-562.09148464128</v>
      </c>
    </row>
    <row r="964" customFormat="false" ht="15" hidden="false" customHeight="false" outlineLevel="0" collapsed="false">
      <c r="A964" s="9" t="s">
        <v>509</v>
      </c>
      <c r="D964" s="36" t="n">
        <f aca="false">IF(lv_mdr_in_deal=1,D963,D961)</f>
        <v>-1002.74</v>
      </c>
      <c r="E964" s="36" t="n">
        <f aca="false">IF(lv_mdr_in_deal=1,E963,E961)</f>
        <v>-830.508</v>
      </c>
      <c r="F964" s="36" t="n">
        <f aca="false">IF(lv_mdr_in_deal=1,F963,F961)</f>
        <v>-813.4536</v>
      </c>
      <c r="G964" s="36" t="n">
        <f aca="false">IF(lv_mdr_in_deal=1,G963,G961)</f>
        <v>-790.13712</v>
      </c>
      <c r="H964" s="36" t="n">
        <f aca="false">IF(lv_mdr_in_deal=1,H963,H961)</f>
        <v>-758.735904</v>
      </c>
      <c r="I964" s="36" t="n">
        <f aca="false">IF(lv_mdr_in_deal=1,I963,I961)</f>
        <v>-741.5830848</v>
      </c>
      <c r="J964" s="36" t="n">
        <f aca="false">IF(lv_mdr_in_deal=1,J963,J961)</f>
        <v>-720.99970176</v>
      </c>
      <c r="K964" s="36" t="n">
        <f aca="false">IF(lv_mdr_in_deal=1,K963,K961)</f>
        <v>-696.299642112</v>
      </c>
      <c r="L964" s="36" t="n">
        <f aca="false">IF(lv_mdr_in_deal=1,L963,L961)</f>
        <v>-666.6595705344</v>
      </c>
      <c r="M964" s="36" t="n">
        <f aca="false">IF(lv_mdr_in_deal=1,M963,M961)</f>
        <v>-631.09148464128</v>
      </c>
    </row>
    <row r="965" customFormat="false" ht="15" hidden="false" customHeight="false" outlineLevel="0" collapsed="false">
      <c r="A965" s="9" t="s">
        <v>510</v>
      </c>
      <c r="C965" s="36" t="n">
        <f aca="false">-lv_price</f>
        <v>-4000</v>
      </c>
      <c r="D965" s="36" t="n">
        <f aca="false">C965+D964</f>
        <v>-5002.74</v>
      </c>
      <c r="E965" s="36" t="n">
        <f aca="false">D965+E964</f>
        <v>-5833.248</v>
      </c>
      <c r="F965" s="36" t="n">
        <f aca="false">E965+F964</f>
        <v>-6646.7016</v>
      </c>
      <c r="G965" s="36" t="n">
        <f aca="false">F965+G964</f>
        <v>-7436.83872</v>
      </c>
      <c r="H965" s="36" t="n">
        <f aca="false">G965+H964</f>
        <v>-8195.574624</v>
      </c>
      <c r="I965" s="36" t="n">
        <f aca="false">H965+I964</f>
        <v>-8937.1577088</v>
      </c>
      <c r="J965" s="36" t="n">
        <f aca="false">I965+J964</f>
        <v>-9658.15741056</v>
      </c>
      <c r="K965" s="36" t="n">
        <f aca="false">J965+K964</f>
        <v>-10354.457052672</v>
      </c>
      <c r="L965" s="36" t="n">
        <f aca="false">K965+L964</f>
        <v>-11021.1166232064</v>
      </c>
      <c r="M965" s="36" t="n">
        <f aca="false">L965+M964</f>
        <v>-11652.2081078477</v>
      </c>
    </row>
    <row r="966" customFormat="false" ht="15" hidden="false" customHeight="false" outlineLevel="0" collapsed="false">
      <c r="A966" s="9" t="s">
        <v>511</v>
      </c>
      <c r="C966" s="43" t="n">
        <f aca="false">1</f>
        <v>1</v>
      </c>
      <c r="D966" s="43" t="n">
        <f aca="false">1/(1+Scenarios!$H$43)^D920</f>
        <v>0.884955752212389</v>
      </c>
      <c r="E966" s="43" t="n">
        <f aca="false">1/(1+Scenarios!$H$43)^E920</f>
        <v>0.783146683373796</v>
      </c>
      <c r="F966" s="43" t="n">
        <f aca="false">1/(1+Scenarios!$H$43)^F920</f>
        <v>0.693050162277696</v>
      </c>
      <c r="G966" s="43" t="n">
        <f aca="false">1/(1+Scenarios!$H$43)^G920</f>
        <v>0.613318727679377</v>
      </c>
      <c r="H966" s="43" t="n">
        <f aca="false">1/(1+Scenarios!$H$43)^H920</f>
        <v>0.542759935999449</v>
      </c>
      <c r="I966" s="43" t="n">
        <f aca="false">1/(1+Scenarios!$H$43)^I920</f>
        <v>0.48031852743314</v>
      </c>
      <c r="J966" s="43" t="n">
        <f aca="false">1/(1+Scenarios!$H$43)^J920</f>
        <v>0.425060643746142</v>
      </c>
      <c r="K966" s="43" t="n">
        <f aca="false">1/(1+Scenarios!$H$43)^K920</f>
        <v>0.37615986172225</v>
      </c>
      <c r="L966" s="43" t="n">
        <f aca="false">1/(1+Scenarios!$H$43)^L920</f>
        <v>0.332884833382522</v>
      </c>
      <c r="M966" s="43" t="n">
        <f aca="false">1/(1+Scenarios!$H$43)^M920</f>
        <v>0.294588348126126</v>
      </c>
    </row>
    <row r="967" customFormat="false" ht="15" hidden="false" customHeight="false" outlineLevel="0" collapsed="false">
      <c r="A967" s="9" t="s">
        <v>512</v>
      </c>
      <c r="C967" s="46" t="n">
        <f aca="false">99</f>
        <v>99</v>
      </c>
      <c r="D967" s="46" t="n">
        <f aca="false">IF(D951&gt;=0,D920,99)</f>
        <v>99</v>
      </c>
      <c r="E967" s="46" t="n">
        <f aca="false">IF(E951&gt;=0,E920,99)</f>
        <v>99</v>
      </c>
      <c r="F967" s="46" t="n">
        <f aca="false">IF(F951&gt;=0,F920,99)</f>
        <v>99</v>
      </c>
      <c r="G967" s="46" t="n">
        <f aca="false">IF(G951&gt;=0,G920,99)</f>
        <v>99</v>
      </c>
      <c r="H967" s="46" t="n">
        <f aca="false">IF(H951&gt;=0,H920,99)</f>
        <v>99</v>
      </c>
      <c r="I967" s="46" t="n">
        <f aca="false">IF(I951&gt;=0,I920,99)</f>
        <v>99</v>
      </c>
      <c r="J967" s="46" t="n">
        <f aca="false">IF(J951&gt;=0,J920,99)</f>
        <v>99</v>
      </c>
      <c r="K967" s="46" t="n">
        <f aca="false">IF(K951&gt;=0,K920,99)</f>
        <v>99</v>
      </c>
      <c r="L967" s="46" t="n">
        <f aca="false">IF(L951&gt;=0,L920,99)</f>
        <v>99</v>
      </c>
      <c r="M967" s="46" t="n">
        <f aca="false">IF(M951&gt;=0,M920,99)</f>
        <v>99</v>
      </c>
    </row>
    <row r="968" customFormat="false" ht="15" hidden="false" customHeight="false" outlineLevel="0" collapsed="false">
      <c r="A968" s="9" t="s">
        <v>513</v>
      </c>
      <c r="C968" s="46" t="n">
        <f aca="false">99</f>
        <v>99</v>
      </c>
      <c r="D968" s="46" t="n">
        <f aca="false">IF(D951+D948&gt;=0,D920,99)</f>
        <v>99</v>
      </c>
      <c r="E968" s="46" t="n">
        <f aca="false">IF(E951+E948&gt;=0,E920,99)</f>
        <v>99</v>
      </c>
      <c r="F968" s="46" t="n">
        <f aca="false">IF(F951+F948&gt;=0,F920,99)</f>
        <v>99</v>
      </c>
      <c r="G968" s="46" t="n">
        <f aca="false">IF(G951+G948&gt;=0,G920,99)</f>
        <v>99</v>
      </c>
      <c r="H968" s="46" t="n">
        <f aca="false">IF(H951+H948&gt;=0,H920,99)</f>
        <v>99</v>
      </c>
      <c r="I968" s="46" t="n">
        <f aca="false">IF(I951+I948&gt;=0,I920,99)</f>
        <v>99</v>
      </c>
      <c r="J968" s="46" t="n">
        <f aca="false">IF(J951+J948&gt;=0,J920,99)</f>
        <v>99</v>
      </c>
      <c r="K968" s="46" t="n">
        <f aca="false">IF(K951+K948&gt;=0,K920,99)</f>
        <v>99</v>
      </c>
      <c r="L968" s="46" t="n">
        <f aca="false">IF(L951+L948&gt;=0,L920,99)</f>
        <v>99</v>
      </c>
      <c r="M968" s="46" t="n">
        <f aca="false">IF(M951+M948&gt;=0,M920,99)</f>
        <v>99</v>
      </c>
    </row>
    <row r="969" customFormat="false" ht="15" hidden="false" customHeight="false" outlineLevel="0" collapsed="false">
      <c r="A969" s="9" t="s">
        <v>514</v>
      </c>
      <c r="C969" s="46" t="n">
        <f aca="false">99</f>
        <v>99</v>
      </c>
      <c r="D969" s="46" t="n">
        <f aca="false">IF(D961&gt;=0,D920,99)</f>
        <v>99</v>
      </c>
      <c r="E969" s="46" t="n">
        <f aca="false">IF(E961&gt;=0,E920,99)</f>
        <v>99</v>
      </c>
      <c r="F969" s="46" t="n">
        <f aca="false">IF(F961&gt;=0,F920,99)</f>
        <v>99</v>
      </c>
      <c r="G969" s="46" t="n">
        <f aca="false">IF(G961&gt;=0,G920,99)</f>
        <v>99</v>
      </c>
      <c r="H969" s="46" t="n">
        <f aca="false">IF(H961&gt;=0,H920,99)</f>
        <v>99</v>
      </c>
      <c r="I969" s="46" t="n">
        <f aca="false">IF(I961&gt;=0,I920,99)</f>
        <v>99</v>
      </c>
      <c r="J969" s="46" t="n">
        <f aca="false">IF(J961&gt;=0,J920,99)</f>
        <v>99</v>
      </c>
      <c r="K969" s="46" t="n">
        <f aca="false">IF(K961&gt;=0,K920,99)</f>
        <v>99</v>
      </c>
      <c r="L969" s="46" t="n">
        <f aca="false">IF(L961&gt;=0,L920,99)</f>
        <v>99</v>
      </c>
      <c r="M969" s="46" t="n">
        <f aca="false">IF(M961&gt;=0,M920,99)</f>
        <v>99</v>
      </c>
    </row>
    <row r="970" customFormat="false" ht="15" hidden="false" customHeight="false" outlineLevel="0" collapsed="false">
      <c r="A970" s="9" t="s">
        <v>515</v>
      </c>
      <c r="C970" s="46" t="n">
        <f aca="false">99</f>
        <v>99</v>
      </c>
      <c r="D970" s="46" t="n">
        <f aca="false">IF(D963&gt;=0,D920,99)</f>
        <v>99</v>
      </c>
      <c r="E970" s="46" t="n">
        <f aca="false">IF(E963&gt;=0,E920,99)</f>
        <v>99</v>
      </c>
      <c r="F970" s="46" t="n">
        <f aca="false">IF(F963&gt;=0,F920,99)</f>
        <v>99</v>
      </c>
      <c r="G970" s="46" t="n">
        <f aca="false">IF(G963&gt;=0,G920,99)</f>
        <v>99</v>
      </c>
      <c r="H970" s="46" t="n">
        <f aca="false">IF(H963&gt;=0,H920,99)</f>
        <v>99</v>
      </c>
      <c r="I970" s="46" t="n">
        <f aca="false">IF(I963&gt;=0,I920,99)</f>
        <v>99</v>
      </c>
      <c r="J970" s="46" t="n">
        <f aca="false">IF(J963&gt;=0,J920,99)</f>
        <v>99</v>
      </c>
      <c r="K970" s="46" t="n">
        <f aca="false">IF(K963&gt;=0,K920,99)</f>
        <v>99</v>
      </c>
      <c r="L970" s="46" t="n">
        <f aca="false">IF(L963&gt;=0,L920,99)</f>
        <v>99</v>
      </c>
      <c r="M970" s="46" t="n">
        <f aca="false">IF(M963&gt;=0,M920,99)</f>
        <v>99</v>
      </c>
    </row>
    <row r="971" customFormat="false" ht="15" hidden="false" customHeight="false" outlineLevel="0" collapsed="false">
      <c r="A971" s="9" t="s">
        <v>516</v>
      </c>
      <c r="C971" s="46" t="n">
        <f aca="false">99</f>
        <v>99</v>
      </c>
      <c r="D971" s="46" t="n">
        <f aca="false">IF(D965&gt;=0,D920,99)</f>
        <v>99</v>
      </c>
      <c r="E971" s="46" t="n">
        <f aca="false">IF(E965&gt;=0,E920,99)</f>
        <v>99</v>
      </c>
      <c r="F971" s="46" t="n">
        <f aca="false">IF(F965&gt;=0,F920,99)</f>
        <v>99</v>
      </c>
      <c r="G971" s="46" t="n">
        <f aca="false">IF(G965&gt;=0,G920,99)</f>
        <v>99</v>
      </c>
      <c r="H971" s="46" t="n">
        <f aca="false">IF(H965&gt;=0,H920,99)</f>
        <v>99</v>
      </c>
      <c r="I971" s="46" t="n">
        <f aca="false">IF(I965&gt;=0,I920,99)</f>
        <v>99</v>
      </c>
      <c r="J971" s="46" t="n">
        <f aca="false">IF(J965&gt;=0,J920,99)</f>
        <v>99</v>
      </c>
      <c r="K971" s="46" t="n">
        <f aca="false">IF(K965&gt;=0,K920,99)</f>
        <v>99</v>
      </c>
      <c r="L971" s="46" t="n">
        <f aca="false">IF(L965&gt;=0,L920,99)</f>
        <v>99</v>
      </c>
      <c r="M971" s="46" t="n">
        <f aca="false">IF(M965&gt;=0,M920,99)</f>
        <v>99</v>
      </c>
    </row>
    <row r="972" customFormat="false" ht="15" hidden="false" customHeight="false" outlineLevel="0" collapsed="false">
      <c r="A972" s="4" t="s">
        <v>517</v>
      </c>
      <c r="C972" s="23" t="n">
        <f aca="false">MIN(D967:M967)</f>
        <v>99</v>
      </c>
    </row>
    <row r="973" customFormat="false" ht="15" hidden="false" customHeight="false" outlineLevel="0" collapsed="false">
      <c r="A973" s="9" t="s">
        <v>518</v>
      </c>
      <c r="C973" s="46" t="n">
        <f aca="false">MIN(D968:M968)</f>
        <v>99</v>
      </c>
    </row>
    <row r="974" customFormat="false" ht="15" hidden="false" customHeight="false" outlineLevel="0" collapsed="false">
      <c r="A974" s="4" t="s">
        <v>519</v>
      </c>
      <c r="C974" s="23" t="n">
        <f aca="false">MIN(D969:M969)</f>
        <v>99</v>
      </c>
    </row>
    <row r="975" customFormat="false" ht="15" hidden="false" customHeight="false" outlineLevel="0" collapsed="false">
      <c r="A975" s="9" t="s">
        <v>520</v>
      </c>
      <c r="C975" s="46" t="n">
        <f aca="false">MIN(D970:M970)</f>
        <v>99</v>
      </c>
    </row>
    <row r="976" customFormat="false" ht="15" hidden="false" customHeight="false" outlineLevel="0" collapsed="false">
      <c r="A976" s="9" t="s">
        <v>521</v>
      </c>
      <c r="C976" s="46" t="n">
        <f aca="false">MIN(D971:M971)</f>
        <v>99</v>
      </c>
    </row>
    <row r="977" customFormat="false" ht="15" hidden="false" customHeight="false" outlineLevel="0" collapsed="false">
      <c r="A977" s="4" t="s">
        <v>522</v>
      </c>
      <c r="C977" s="15" t="n">
        <f aca="false">M965</f>
        <v>-11652.2081078477</v>
      </c>
    </row>
    <row r="978" customFormat="false" ht="15" hidden="false" customHeight="false" outlineLevel="0" collapsed="false">
      <c r="A978" s="9" t="s">
        <v>523</v>
      </c>
      <c r="C978" s="36" t="n">
        <f aca="false">SUMPRODUCT(D933:M933,D966:M966)</f>
        <v>393.6661980332</v>
      </c>
    </row>
    <row r="979" customFormat="false" ht="15" hidden="false" customHeight="false" outlineLevel="0" collapsed="false">
      <c r="A979" s="9" t="s">
        <v>524</v>
      </c>
      <c r="C979" s="36" t="n">
        <f aca="false">M933*(1+a_tg)/(Scenarios!$H$43-a_tg)</f>
        <v>2800.9867640832</v>
      </c>
    </row>
    <row r="980" customFormat="false" ht="15" hidden="false" customHeight="false" outlineLevel="0" collapsed="false">
      <c r="A980" s="9" t="s">
        <v>314</v>
      </c>
      <c r="C980" s="36" t="n">
        <f aca="false">C979*M966</f>
        <v>825.138063954411</v>
      </c>
    </row>
    <row r="981" customFormat="false" ht="15" hidden="false" customHeight="false" outlineLevel="0" collapsed="false">
      <c r="A981" s="4" t="s">
        <v>525</v>
      </c>
      <c r="C981" s="15" t="n">
        <f aca="false">C978+C980</f>
        <v>1218.80426198761</v>
      </c>
    </row>
    <row r="982" customFormat="false" ht="15" hidden="false" customHeight="false" outlineLevel="0" collapsed="false">
      <c r="A982" s="9" t="s">
        <v>526</v>
      </c>
      <c r="C982" s="32" t="n">
        <f aca="false">SUMPRODUCT(D943:M943,D966:M966)-a_recovery*M945*M966</f>
        <v>4069.68260696466</v>
      </c>
    </row>
    <row r="983" customFormat="false" ht="15" hidden="false" customHeight="false" outlineLevel="0" collapsed="false">
      <c r="A983" s="9" t="s">
        <v>527</v>
      </c>
      <c r="C983" s="36" t="n">
        <f aca="false">SUMPRODUCT(D942:M942,D966:M966)*(1-a_tax)</f>
        <v>0</v>
      </c>
    </row>
    <row r="984" customFormat="false" ht="15" hidden="false" customHeight="false" outlineLevel="0" collapsed="false">
      <c r="A984" s="9" t="s">
        <v>528</v>
      </c>
      <c r="C984" s="36" t="n">
        <f aca="false">C941*D966</f>
        <v>141.592920353982</v>
      </c>
    </row>
    <row r="985" customFormat="false" ht="15" hidden="false" customHeight="false" outlineLevel="0" collapsed="false">
      <c r="A985" s="4" t="s">
        <v>529</v>
      </c>
      <c r="C985" s="20" t="n">
        <f aca="false">C981+C983-C982-C984-lv_price</f>
        <v>-6992.47126533103</v>
      </c>
    </row>
    <row r="986" customFormat="false" ht="15" hidden="false" customHeight="false" outlineLevel="0" collapsed="false">
      <c r="A986" s="9" t="s">
        <v>530</v>
      </c>
      <c r="C986" s="32" t="n">
        <f aca="false">C985+SUMPRODUCT(D962:M962,D966:M966)</f>
        <v>-6618.06046549029</v>
      </c>
    </row>
    <row r="987" customFormat="false" ht="15" hidden="false" customHeight="false" outlineLevel="0" collapsed="false">
      <c r="A987" s="4" t="s">
        <v>531</v>
      </c>
      <c r="C987" s="59" t="n">
        <f aca="false">lv_price/D923</f>
        <v>15.1515151515152</v>
      </c>
    </row>
    <row r="988" customFormat="false" ht="15" hidden="false" customHeight="false" outlineLevel="0" collapsed="false">
      <c r="A988" s="9" t="s">
        <v>532</v>
      </c>
      <c r="C988" s="17" t="n">
        <f aca="false">(lv_price+C982)/D923</f>
        <v>30.5669795718358</v>
      </c>
    </row>
    <row r="989" customFormat="false" ht="15" hidden="false" customHeight="false" outlineLevel="0" collapsed="false">
      <c r="A989" s="4" t="s">
        <v>533</v>
      </c>
      <c r="C989" s="15" t="n">
        <f aca="false">(C985+C982)/SUMPRODUCT(D966:M966)</f>
        <v>-538.639423630564</v>
      </c>
    </row>
    <row r="990" customFormat="false" ht="15" hidden="false" customHeight="false" outlineLevel="0" collapsed="false">
      <c r="A990" s="4" t="s">
        <v>534</v>
      </c>
      <c r="C990" s="25" t="n">
        <f aca="false">D953</f>
        <v>5.98948080708662</v>
      </c>
    </row>
    <row r="991" customFormat="false" ht="15" hidden="false" customHeight="false" outlineLevel="0" collapsed="false">
      <c r="A991" s="9" t="s">
        <v>535</v>
      </c>
      <c r="C991" s="50" t="n">
        <f aca="false">F953</f>
        <v>5.41668307086614</v>
      </c>
    </row>
    <row r="992" customFormat="false" ht="15" hidden="false" customHeight="false" outlineLevel="0" collapsed="false">
      <c r="A992" s="4" t="s">
        <v>536</v>
      </c>
      <c r="C992" s="20" t="n">
        <f aca="false">D961</f>
        <v>-1002.74</v>
      </c>
    </row>
    <row r="993" customFormat="false" ht="15" hidden="false" customHeight="false" outlineLevel="0" collapsed="false">
      <c r="A993" s="9" t="s">
        <v>537</v>
      </c>
      <c r="C993" s="32" t="n">
        <f aca="false">cf_cash-lv_mix_cash-C941</f>
        <v>6640</v>
      </c>
    </row>
    <row r="994" customFormat="false" ht="15" hidden="false" customHeight="false" outlineLevel="0" collapsed="false">
      <c r="A994" s="9" t="s">
        <v>538</v>
      </c>
      <c r="C994" s="32" t="n">
        <f aca="false">cf_debt+lv_mix_debt</f>
        <v>350</v>
      </c>
    </row>
    <row r="995" customFormat="false" ht="15" hidden="false" customHeight="false" outlineLevel="0" collapsed="false">
      <c r="A995" s="9" t="s">
        <v>539</v>
      </c>
      <c r="C995" s="34" t="n">
        <f aca="false">C994/cf_ebitda</f>
        <v>0.546875</v>
      </c>
    </row>
    <row r="996" customFormat="false" ht="15" hidden="false" customHeight="false" outlineLevel="0" collapsed="false">
      <c r="A996" s="9" t="s">
        <v>540</v>
      </c>
      <c r="C996" s="32" t="n">
        <f aca="false">C993+SUM(D964:F964)+3*cf_pat</f>
        <v>5433.2984</v>
      </c>
    </row>
    <row r="998" customFormat="false" ht="15" hidden="false" customHeight="false" outlineLevel="0" collapsed="false">
      <c r="A998" s="7" t="s">
        <v>888</v>
      </c>
      <c r="B998" s="8"/>
      <c r="C998" s="8"/>
      <c r="D998" s="8"/>
      <c r="E998" s="8"/>
      <c r="F998" s="8"/>
      <c r="G998" s="8"/>
      <c r="H998" s="8"/>
      <c r="I998" s="8"/>
      <c r="J998" s="8"/>
      <c r="K998" s="8"/>
      <c r="L998" s="8"/>
      <c r="M998" s="8"/>
      <c r="N998" s="8"/>
    </row>
    <row r="999" customFormat="false" ht="15" hidden="false" customHeight="false" outlineLevel="0" collapsed="false">
      <c r="A999" s="4" t="s">
        <v>284</v>
      </c>
      <c r="C999" s="39" t="n">
        <v>0</v>
      </c>
      <c r="D999" s="39" t="n">
        <v>1</v>
      </c>
      <c r="E999" s="39" t="n">
        <v>2</v>
      </c>
      <c r="F999" s="39" t="n">
        <v>3</v>
      </c>
      <c r="G999" s="39" t="n">
        <v>4</v>
      </c>
      <c r="H999" s="39" t="n">
        <v>5</v>
      </c>
      <c r="I999" s="39" t="n">
        <v>6</v>
      </c>
      <c r="J999" s="39" t="n">
        <v>7</v>
      </c>
      <c r="K999" s="39" t="n">
        <v>8</v>
      </c>
      <c r="L999" s="39" t="n">
        <v>9</v>
      </c>
      <c r="M999" s="39" t="n">
        <v>10</v>
      </c>
    </row>
    <row r="1000" customFormat="false" ht="15" hidden="false" customHeight="false" outlineLevel="0" collapsed="false">
      <c r="A1000" s="9" t="s">
        <v>285</v>
      </c>
      <c r="C1000" s="40" t="n">
        <f aca="false">cf_arr</f>
        <v>220</v>
      </c>
      <c r="D1000" s="36" t="n">
        <f aca="false">C1000*(1+Scenarios!$I$39)</f>
        <v>264</v>
      </c>
      <c r="E1000" s="36" t="n">
        <f aca="false">D1000*(1+Scenarios!$I$39)</f>
        <v>316.8</v>
      </c>
      <c r="F1000" s="36" t="n">
        <f aca="false">E1000*(1+Scenarios!$I$39)</f>
        <v>380.16</v>
      </c>
      <c r="G1000" s="36" t="n">
        <f aca="false">F1000*(1+Scenarios!$I$39)</f>
        <v>456.192</v>
      </c>
      <c r="H1000" s="36" t="n">
        <f aca="false">G1000*(1+Scenarios!$I$39)</f>
        <v>547.4304</v>
      </c>
      <c r="I1000" s="36" t="n">
        <f aca="false">H1000*(1+Scenarios!$I$39)</f>
        <v>656.91648</v>
      </c>
      <c r="J1000" s="36" t="n">
        <f aca="false">I1000*(1+Scenarios!$I$39)</f>
        <v>788.299776</v>
      </c>
      <c r="K1000" s="36" t="n">
        <f aca="false">J1000*(1+Scenarios!$I$39)</f>
        <v>945.9597312</v>
      </c>
      <c r="L1000" s="36" t="n">
        <f aca="false">K1000*(1+Scenarios!$I$39)</f>
        <v>1135.15167744</v>
      </c>
      <c r="M1000" s="36" t="n">
        <f aca="false">L1000*(1+Scenarios!$I$39)</f>
        <v>1362.182012928</v>
      </c>
    </row>
    <row r="1001" customFormat="false" ht="15" hidden="false" customHeight="false" outlineLevel="0" collapsed="false">
      <c r="A1001" s="9" t="s">
        <v>286</v>
      </c>
      <c r="C1001" s="18" t="n">
        <f aca="false">1</f>
        <v>1</v>
      </c>
      <c r="D1001" s="18" t="n">
        <f aca="false">IF(D999&gt;=a_churn_year,1-Scenarios!$I$40,1)</f>
        <v>0.625</v>
      </c>
      <c r="E1001" s="18" t="n">
        <f aca="false">IF(E999&gt;=a_churn_year,1-Scenarios!$I$40,1)</f>
        <v>0.625</v>
      </c>
      <c r="F1001" s="18" t="n">
        <f aca="false">IF(F999&gt;=a_churn_year,1-Scenarios!$I$40,1)</f>
        <v>0.625</v>
      </c>
      <c r="G1001" s="18" t="n">
        <f aca="false">IF(G999&gt;=a_churn_year,1-Scenarios!$I$40,1)</f>
        <v>0.625</v>
      </c>
      <c r="H1001" s="18" t="n">
        <f aca="false">IF(H999&gt;=a_churn_year,1-Scenarios!$I$40,1)</f>
        <v>0.625</v>
      </c>
      <c r="I1001" s="18" t="n">
        <f aca="false">IF(I999&gt;=a_churn_year,1-Scenarios!$I$40,1)</f>
        <v>0.625</v>
      </c>
      <c r="J1001" s="18" t="n">
        <f aca="false">IF(J999&gt;=a_churn_year,1-Scenarios!$I$40,1)</f>
        <v>0.625</v>
      </c>
      <c r="K1001" s="18" t="n">
        <f aca="false">IF(K999&gt;=a_churn_year,1-Scenarios!$I$40,1)</f>
        <v>0.625</v>
      </c>
      <c r="L1001" s="18" t="n">
        <f aca="false">IF(L999&gt;=a_churn_year,1-Scenarios!$I$40,1)</f>
        <v>0.625</v>
      </c>
      <c r="M1001" s="18" t="n">
        <f aca="false">IF(M999&gt;=a_churn_year,1-Scenarios!$I$40,1)</f>
        <v>0.625</v>
      </c>
    </row>
    <row r="1002" customFormat="false" ht="15" hidden="false" customHeight="false" outlineLevel="0" collapsed="false">
      <c r="A1002" s="4" t="s">
        <v>287</v>
      </c>
      <c r="C1002" s="41" t="n">
        <f aca="false">C1000*C1001</f>
        <v>220</v>
      </c>
      <c r="D1002" s="41" t="n">
        <f aca="false">D1000*D1001</f>
        <v>165</v>
      </c>
      <c r="E1002" s="41" t="n">
        <f aca="false">E1000*E1001</f>
        <v>198</v>
      </c>
      <c r="F1002" s="41" t="n">
        <f aca="false">F1000*F1001</f>
        <v>237.6</v>
      </c>
      <c r="G1002" s="41" t="n">
        <f aca="false">G1000*G1001</f>
        <v>285.12</v>
      </c>
      <c r="H1002" s="41" t="n">
        <f aca="false">H1000*H1001</f>
        <v>342.144</v>
      </c>
      <c r="I1002" s="41" t="n">
        <f aca="false">I1000*I1001</f>
        <v>410.5728</v>
      </c>
      <c r="J1002" s="41" t="n">
        <f aca="false">J1000*J1001</f>
        <v>492.68736</v>
      </c>
      <c r="K1002" s="41" t="n">
        <f aca="false">K1000*K1001</f>
        <v>591.224832</v>
      </c>
      <c r="L1002" s="41" t="n">
        <f aca="false">L1000*L1001</f>
        <v>709.4697984</v>
      </c>
      <c r="M1002" s="41" t="n">
        <f aca="false">M1000*M1001</f>
        <v>851.36375808</v>
      </c>
    </row>
    <row r="1003" customFormat="false" ht="15" hidden="false" customHeight="false" outlineLevel="0" collapsed="false">
      <c r="A1003" s="9" t="s">
        <v>288</v>
      </c>
      <c r="C1003" s="18" t="n">
        <f aca="false">MIN(a_m0+a_mstep*C999,a_mcap)</f>
        <v>0</v>
      </c>
      <c r="D1003" s="18" t="n">
        <f aca="false">MIN(a_m0+a_mstep*D999,a_mcap)</f>
        <v>0.05</v>
      </c>
      <c r="E1003" s="18" t="n">
        <f aca="false">MIN(a_m0+a_mstep*E999,a_mcap)</f>
        <v>0.1</v>
      </c>
      <c r="F1003" s="18" t="n">
        <f aca="false">MIN(a_m0+a_mstep*F999,a_mcap)</f>
        <v>0.15</v>
      </c>
      <c r="G1003" s="18" t="n">
        <f aca="false">MIN(a_m0+a_mstep*G999,a_mcap)</f>
        <v>0.2</v>
      </c>
      <c r="H1003" s="18" t="n">
        <f aca="false">MIN(a_m0+a_mstep*H999,a_mcap)</f>
        <v>0.25</v>
      </c>
      <c r="I1003" s="18" t="n">
        <f aca="false">MIN(a_m0+a_mstep*I999,a_mcap)</f>
        <v>0.25</v>
      </c>
      <c r="J1003" s="18" t="n">
        <f aca="false">MIN(a_m0+a_mstep*J999,a_mcap)</f>
        <v>0.25</v>
      </c>
      <c r="K1003" s="18" t="n">
        <f aca="false">MIN(a_m0+a_mstep*K999,a_mcap)</f>
        <v>0.25</v>
      </c>
      <c r="L1003" s="18" t="n">
        <f aca="false">MIN(a_m0+a_mstep*L999,a_mcap)</f>
        <v>0.25</v>
      </c>
      <c r="M1003" s="18" t="n">
        <f aca="false">MIN(a_m0+a_mstep*M999,a_mcap)</f>
        <v>0.25</v>
      </c>
    </row>
    <row r="1004" customFormat="false" ht="15" hidden="false" customHeight="false" outlineLevel="0" collapsed="false">
      <c r="A1004" s="9" t="s">
        <v>289</v>
      </c>
      <c r="C1004" s="36" t="n">
        <f aca="false">IF(C999=a_churn_year,a_sticky*(C1000-C1002)*(1-C1003),0)</f>
        <v>0</v>
      </c>
      <c r="D1004" s="36" t="n">
        <f aca="false">IF(D999=a_churn_year,a_sticky*(D1000-D1002)*(1-D1003),0)</f>
        <v>47.025</v>
      </c>
      <c r="E1004" s="36" t="n">
        <f aca="false">IF(E999=a_churn_year,a_sticky*(E1000-E1002)*(1-E1003),0)</f>
        <v>0</v>
      </c>
      <c r="F1004" s="36" t="n">
        <f aca="false">IF(F999=a_churn_year,a_sticky*(F1000-F1002)*(1-F1003),0)</f>
        <v>0</v>
      </c>
      <c r="G1004" s="36" t="n">
        <f aca="false">IF(G999=a_churn_year,a_sticky*(G1000-G1002)*(1-G1003),0)</f>
        <v>0</v>
      </c>
      <c r="H1004" s="36" t="n">
        <f aca="false">IF(H999=a_churn_year,a_sticky*(H1000-H1002)*(1-H1003),0)</f>
        <v>0</v>
      </c>
      <c r="I1004" s="36" t="n">
        <f aca="false">IF(I999=a_churn_year,a_sticky*(I1000-I1002)*(1-I1003),0)</f>
        <v>0</v>
      </c>
      <c r="J1004" s="36" t="n">
        <f aca="false">IF(J999=a_churn_year,a_sticky*(J1000-J1002)*(1-J1003),0)</f>
        <v>0</v>
      </c>
      <c r="K1004" s="36" t="n">
        <f aca="false">IF(K999=a_churn_year,a_sticky*(K1000-K1002)*(1-K1003),0)</f>
        <v>0</v>
      </c>
      <c r="L1004" s="36" t="n">
        <f aca="false">IF(L999=a_churn_year,a_sticky*(L1000-L1002)*(1-L1003),0)</f>
        <v>0</v>
      </c>
      <c r="M1004" s="36" t="n">
        <f aca="false">IF(M999=a_churn_year,a_sticky*(M1000-M1002)*(1-M1003),0)</f>
        <v>0</v>
      </c>
    </row>
    <row r="1005" customFormat="false" ht="15" hidden="false" customHeight="false" outlineLevel="0" collapsed="false">
      <c r="A1005" s="4" t="s">
        <v>290</v>
      </c>
      <c r="C1005" s="41" t="n">
        <f aca="false">C1002*C1003-C1004</f>
        <v>0</v>
      </c>
      <c r="D1005" s="41" t="n">
        <f aca="false">D1002*D1003-D1004</f>
        <v>-38.775</v>
      </c>
      <c r="E1005" s="41" t="n">
        <f aca="false">E1002*E1003-E1004</f>
        <v>19.8</v>
      </c>
      <c r="F1005" s="41" t="n">
        <f aca="false">F1002*F1003-F1004</f>
        <v>35.64</v>
      </c>
      <c r="G1005" s="41" t="n">
        <f aca="false">G1002*G1003-G1004</f>
        <v>57.024</v>
      </c>
      <c r="H1005" s="41" t="n">
        <f aca="false">H1002*H1003-H1004</f>
        <v>85.536</v>
      </c>
      <c r="I1005" s="41" t="n">
        <f aca="false">I1002*I1003-I1004</f>
        <v>102.6432</v>
      </c>
      <c r="J1005" s="41" t="n">
        <f aca="false">J1002*J1003-J1004</f>
        <v>123.17184</v>
      </c>
      <c r="K1005" s="41" t="n">
        <f aca="false">K1002*K1003-K1004</f>
        <v>147.806208</v>
      </c>
      <c r="L1005" s="41" t="n">
        <f aca="false">L1002*L1003-L1004</f>
        <v>177.3674496</v>
      </c>
      <c r="M1005" s="41" t="n">
        <f aca="false">M1002*M1003-M1004</f>
        <v>212.84093952</v>
      </c>
    </row>
    <row r="1006" customFormat="false" ht="15" hidden="false" customHeight="false" outlineLevel="0" collapsed="false">
      <c r="A1006" s="9" t="s">
        <v>291</v>
      </c>
      <c r="C1006" s="36" t="n">
        <f aca="false">C1002*a_da</f>
        <v>6.6</v>
      </c>
      <c r="D1006" s="36" t="n">
        <f aca="false">D1002*a_da</f>
        <v>4.95</v>
      </c>
      <c r="E1006" s="36" t="n">
        <f aca="false">E1002*a_da</f>
        <v>5.94</v>
      </c>
      <c r="F1006" s="36" t="n">
        <f aca="false">F1002*a_da</f>
        <v>7.128</v>
      </c>
      <c r="G1006" s="36" t="n">
        <f aca="false">G1002*a_da</f>
        <v>8.5536</v>
      </c>
      <c r="H1006" s="36" t="n">
        <f aca="false">H1002*a_da</f>
        <v>10.26432</v>
      </c>
      <c r="I1006" s="36" t="n">
        <f aca="false">I1002*a_da</f>
        <v>12.317184</v>
      </c>
      <c r="J1006" s="36" t="n">
        <f aca="false">J1002*a_da</f>
        <v>14.7806208</v>
      </c>
      <c r="K1006" s="36" t="n">
        <f aca="false">K1002*a_da</f>
        <v>17.73674496</v>
      </c>
      <c r="L1006" s="36" t="n">
        <f aca="false">L1002*a_da</f>
        <v>21.284093952</v>
      </c>
      <c r="M1006" s="36" t="n">
        <f aca="false">M1002*a_da</f>
        <v>25.5409127424</v>
      </c>
    </row>
    <row r="1007" customFormat="false" ht="15" hidden="false" customHeight="false" outlineLevel="0" collapsed="false">
      <c r="A1007" s="9" t="s">
        <v>292</v>
      </c>
      <c r="C1007" s="36" t="n">
        <f aca="false">C1005-C1006</f>
        <v>-6.6</v>
      </c>
      <c r="D1007" s="36" t="n">
        <f aca="false">D1005-D1006</f>
        <v>-43.725</v>
      </c>
      <c r="E1007" s="36" t="n">
        <f aca="false">E1005-E1006</f>
        <v>13.86</v>
      </c>
      <c r="F1007" s="36" t="n">
        <f aca="false">F1005-F1006</f>
        <v>28.512</v>
      </c>
      <c r="G1007" s="36" t="n">
        <f aca="false">G1005-G1006</f>
        <v>48.4704</v>
      </c>
      <c r="H1007" s="36" t="n">
        <f aca="false">H1005-H1006</f>
        <v>75.27168</v>
      </c>
      <c r="I1007" s="36" t="n">
        <f aca="false">I1005-I1006</f>
        <v>90.326016</v>
      </c>
      <c r="J1007" s="36" t="n">
        <f aca="false">J1005-J1006</f>
        <v>108.3912192</v>
      </c>
      <c r="K1007" s="36" t="n">
        <f aca="false">K1005-K1006</f>
        <v>130.06946304</v>
      </c>
      <c r="L1007" s="36" t="n">
        <f aca="false">L1005-L1006</f>
        <v>156.083355648</v>
      </c>
      <c r="M1007" s="36" t="n">
        <f aca="false">M1005-M1006</f>
        <v>187.3000267776</v>
      </c>
    </row>
    <row r="1008" customFormat="false" ht="15" hidden="false" customHeight="false" outlineLevel="0" collapsed="false">
      <c r="A1008" s="9" t="s">
        <v>293</v>
      </c>
      <c r="C1008" s="36" t="n">
        <f aca="false">MAX(0,C1007)*a_tax</f>
        <v>0</v>
      </c>
      <c r="D1008" s="36" t="n">
        <f aca="false">MAX(0,D1007)*a_tax</f>
        <v>0</v>
      </c>
      <c r="E1008" s="36" t="n">
        <f aca="false">MAX(0,E1007)*a_tax</f>
        <v>3.465</v>
      </c>
      <c r="F1008" s="36" t="n">
        <f aca="false">MAX(0,F1007)*a_tax</f>
        <v>7.128</v>
      </c>
      <c r="G1008" s="36" t="n">
        <f aca="false">MAX(0,G1007)*a_tax</f>
        <v>12.1176</v>
      </c>
      <c r="H1008" s="36" t="n">
        <f aca="false">MAX(0,H1007)*a_tax</f>
        <v>18.81792</v>
      </c>
      <c r="I1008" s="36" t="n">
        <f aca="false">MAX(0,I1007)*a_tax</f>
        <v>22.581504</v>
      </c>
      <c r="J1008" s="36" t="n">
        <f aca="false">MAX(0,J1007)*a_tax</f>
        <v>27.0978048</v>
      </c>
      <c r="K1008" s="36" t="n">
        <f aca="false">MAX(0,K1007)*a_tax</f>
        <v>32.51736576</v>
      </c>
      <c r="L1008" s="36" t="n">
        <f aca="false">MAX(0,L1007)*a_tax</f>
        <v>39.020838912</v>
      </c>
      <c r="M1008" s="36" t="n">
        <f aca="false">MAX(0,M1007)*a_tax</f>
        <v>46.8250066944</v>
      </c>
    </row>
    <row r="1009" customFormat="false" ht="15" hidden="false" customHeight="false" outlineLevel="0" collapsed="false">
      <c r="A1009" s="4" t="s">
        <v>294</v>
      </c>
      <c r="C1009" s="42" t="n">
        <f aca="false">cf_lim_pat</f>
        <v>0</v>
      </c>
      <c r="D1009" s="41" t="n">
        <f aca="false">D1007-D1008</f>
        <v>-43.725</v>
      </c>
      <c r="E1009" s="41" t="n">
        <f aca="false">E1007-E1008</f>
        <v>10.395</v>
      </c>
      <c r="F1009" s="41" t="n">
        <f aca="false">F1007-F1008</f>
        <v>21.384</v>
      </c>
      <c r="G1009" s="41" t="n">
        <f aca="false">G1007-G1008</f>
        <v>36.3528</v>
      </c>
      <c r="H1009" s="41" t="n">
        <f aca="false">H1007-H1008</f>
        <v>56.45376</v>
      </c>
      <c r="I1009" s="41" t="n">
        <f aca="false">I1007-I1008</f>
        <v>67.744512</v>
      </c>
      <c r="J1009" s="41" t="n">
        <f aca="false">J1007-J1008</f>
        <v>81.2934144</v>
      </c>
      <c r="K1009" s="41" t="n">
        <f aca="false">K1007-K1008</f>
        <v>97.55209728</v>
      </c>
      <c r="L1009" s="41" t="n">
        <f aca="false">L1007-L1008</f>
        <v>117.062516736</v>
      </c>
      <c r="M1009" s="41" t="n">
        <f aca="false">M1007-M1008</f>
        <v>140.4750200832</v>
      </c>
    </row>
    <row r="1010" customFormat="false" ht="15" hidden="false" customHeight="false" outlineLevel="0" collapsed="false">
      <c r="A1010" s="9" t="s">
        <v>295</v>
      </c>
      <c r="C1010" s="36" t="n">
        <f aca="false">C1002*a_capex</f>
        <v>6.6</v>
      </c>
      <c r="D1010" s="36" t="n">
        <f aca="false">D1002*a_capex</f>
        <v>4.95</v>
      </c>
      <c r="E1010" s="36" t="n">
        <f aca="false">E1002*a_capex</f>
        <v>5.94</v>
      </c>
      <c r="F1010" s="36" t="n">
        <f aca="false">F1002*a_capex</f>
        <v>7.128</v>
      </c>
      <c r="G1010" s="36" t="n">
        <f aca="false">G1002*a_capex</f>
        <v>8.5536</v>
      </c>
      <c r="H1010" s="36" t="n">
        <f aca="false">H1002*a_capex</f>
        <v>10.26432</v>
      </c>
      <c r="I1010" s="36" t="n">
        <f aca="false">I1002*a_capex</f>
        <v>12.317184</v>
      </c>
      <c r="J1010" s="36" t="n">
        <f aca="false">J1002*a_capex</f>
        <v>14.7806208</v>
      </c>
      <c r="K1010" s="36" t="n">
        <f aca="false">K1002*a_capex</f>
        <v>17.73674496</v>
      </c>
      <c r="L1010" s="36" t="n">
        <f aca="false">L1002*a_capex</f>
        <v>21.284093952</v>
      </c>
      <c r="M1010" s="36" t="n">
        <f aca="false">M1002*a_capex</f>
        <v>25.5409127424</v>
      </c>
    </row>
    <row r="1011" customFormat="false" ht="15" hidden="false" customHeight="false" outlineLevel="0" collapsed="false">
      <c r="A1011" s="9" t="s">
        <v>296</v>
      </c>
      <c r="C1011" s="36" t="n">
        <f aca="false">0</f>
        <v>0</v>
      </c>
      <c r="D1011" s="36" t="n">
        <f aca="false">a_wc*(D1002-C1002)</f>
        <v>-2.75</v>
      </c>
      <c r="E1011" s="36" t="n">
        <f aca="false">a_wc*(E1002-D1002)</f>
        <v>1.65</v>
      </c>
      <c r="F1011" s="36" t="n">
        <f aca="false">a_wc*(F1002-E1002)</f>
        <v>1.98</v>
      </c>
      <c r="G1011" s="36" t="n">
        <f aca="false">a_wc*(G1002-F1002)</f>
        <v>2.376</v>
      </c>
      <c r="H1011" s="36" t="n">
        <f aca="false">a_wc*(H1002-G1002)</f>
        <v>2.8512</v>
      </c>
      <c r="I1011" s="36" t="n">
        <f aca="false">a_wc*(I1002-H1002)</f>
        <v>3.42144</v>
      </c>
      <c r="J1011" s="36" t="n">
        <f aca="false">a_wc*(J1002-I1002)</f>
        <v>4.105728</v>
      </c>
      <c r="K1011" s="36" t="n">
        <f aca="false">a_wc*(K1002-J1002)</f>
        <v>4.9268736</v>
      </c>
      <c r="L1011" s="36" t="n">
        <f aca="false">a_wc*(L1002-K1002)</f>
        <v>5.91224832</v>
      </c>
      <c r="M1011" s="36" t="n">
        <f aca="false">a_wc*(M1002-L1002)</f>
        <v>7.094697984</v>
      </c>
    </row>
    <row r="1012" customFormat="false" ht="15" hidden="false" customHeight="false" outlineLevel="0" collapsed="false">
      <c r="A1012" s="4" t="s">
        <v>297</v>
      </c>
      <c r="C1012" s="36" t="n">
        <f aca="false">0</f>
        <v>0</v>
      </c>
      <c r="D1012" s="41" t="n">
        <f aca="false">D1009+D1006-D1010-D1011</f>
        <v>-40.975</v>
      </c>
      <c r="E1012" s="41" t="n">
        <f aca="false">E1009+E1006-E1010-E1011</f>
        <v>8.745</v>
      </c>
      <c r="F1012" s="41" t="n">
        <f aca="false">F1009+F1006-F1010-F1011</f>
        <v>19.404</v>
      </c>
      <c r="G1012" s="41" t="n">
        <f aca="false">G1009+G1006-G1010-G1011</f>
        <v>33.9768</v>
      </c>
      <c r="H1012" s="41" t="n">
        <f aca="false">H1009+H1006-H1010-H1011</f>
        <v>53.60256</v>
      </c>
      <c r="I1012" s="41" t="n">
        <f aca="false">I1009+I1006-I1010-I1011</f>
        <v>64.323072</v>
      </c>
      <c r="J1012" s="41" t="n">
        <f aca="false">J1009+J1006-J1010-J1011</f>
        <v>77.1876864</v>
      </c>
      <c r="K1012" s="41" t="n">
        <f aca="false">K1009+K1006-K1010-K1011</f>
        <v>92.62522368</v>
      </c>
      <c r="L1012" s="41" t="n">
        <f aca="false">L1009+L1006-L1010-L1011</f>
        <v>111.150268416</v>
      </c>
      <c r="M1012" s="41" t="n">
        <f aca="false">M1009+M1006-M1010-M1011</f>
        <v>133.3803220992</v>
      </c>
    </row>
    <row r="1014" customFormat="false" ht="15" hidden="false" customHeight="false" outlineLevel="0" collapsed="false">
      <c r="A1014" s="7" t="s">
        <v>889</v>
      </c>
      <c r="B1014" s="8"/>
      <c r="C1014" s="8"/>
      <c r="D1014" s="8"/>
      <c r="E1014" s="8"/>
      <c r="F1014" s="8"/>
      <c r="G1014" s="8"/>
      <c r="H1014" s="8"/>
      <c r="I1014" s="8"/>
      <c r="J1014" s="8"/>
      <c r="K1014" s="8"/>
      <c r="L1014" s="8"/>
      <c r="M1014" s="8"/>
      <c r="N1014" s="8"/>
    </row>
    <row r="1015" customFormat="false" ht="15" hidden="false" customHeight="false" outlineLevel="0" collapsed="false">
      <c r="A1015" s="9" t="s">
        <v>482</v>
      </c>
      <c r="C1015" s="35" t="n">
        <f aca="false">lv_mix_eq/(c_price*(1-a_issue_disc))</f>
        <v>1.024</v>
      </c>
    </row>
    <row r="1016" customFormat="false" ht="15" hidden="false" customHeight="false" outlineLevel="0" collapsed="false">
      <c r="A1016" s="9" t="s">
        <v>449</v>
      </c>
      <c r="C1016" s="35" t="n">
        <f aca="false">cf_shares+C1015</f>
        <v>65.024</v>
      </c>
    </row>
    <row r="1017" customFormat="false" ht="15" hidden="false" customHeight="false" outlineLevel="0" collapsed="false">
      <c r="A1017" s="9" t="s">
        <v>483</v>
      </c>
      <c r="C1017" s="36" t="n">
        <f aca="false">lv_mix_cash*a_yield*(1-a_tax)+lv_mix_debt*a_kd*(1-a_tax)</f>
        <v>94.5</v>
      </c>
    </row>
    <row r="1018" customFormat="false" ht="15" hidden="false" customHeight="false" outlineLevel="0" collapsed="false">
      <c r="A1018" s="9" t="s">
        <v>484</v>
      </c>
      <c r="C1018" s="36" t="n">
        <f aca="false">lv_price*a_ppa_share/a_ppa_life*(1-a_tax)</f>
        <v>93.75</v>
      </c>
    </row>
    <row r="1019" customFormat="false" ht="15" hidden="false" customHeight="false" outlineLevel="0" collapsed="false">
      <c r="A1019" s="9" t="s">
        <v>485</v>
      </c>
      <c r="C1019" s="36" t="n">
        <f aca="false">a_ppa_on*C1018</f>
        <v>0</v>
      </c>
    </row>
    <row r="1020" customFormat="false" ht="15" hidden="false" customHeight="false" outlineLevel="0" collapsed="false">
      <c r="A1020" s="9" t="s">
        <v>486</v>
      </c>
      <c r="C1020" s="36" t="n">
        <f aca="false">lv_price*a_fees_pct+a_integ_full</f>
        <v>160</v>
      </c>
    </row>
    <row r="1021" customFormat="false" ht="15" hidden="false" customHeight="false" outlineLevel="0" collapsed="false">
      <c r="A1021" s="9" t="s">
        <v>487</v>
      </c>
      <c r="C1021" s="36" t="n">
        <f aca="false">0</f>
        <v>0</v>
      </c>
      <c r="D1021" s="36" t="n">
        <f aca="false">a_syn_on*(a_syn_partner_rev_y3+a_syn_xsell_y3)*a_mcap*IF(D999=1,a_syn_ramp1,IF(D999=2,a_syn_ramp2,1))+a_syn_on*IF(D999&gt;=2,a_syn_cost,0)</f>
        <v>0</v>
      </c>
      <c r="E1021" s="36" t="n">
        <f aca="false">a_syn_on*(a_syn_partner_rev_y3+a_syn_xsell_y3)*a_mcap*IF(E999=1,a_syn_ramp1,IF(E999=2,a_syn_ramp2,1))+a_syn_on*IF(E999&gt;=2,a_syn_cost,0)</f>
        <v>0</v>
      </c>
      <c r="F1021" s="36" t="n">
        <f aca="false">a_syn_on*(a_syn_partner_rev_y3+a_syn_xsell_y3)*a_mcap*IF(F999=1,a_syn_ramp1,IF(F999=2,a_syn_ramp2,1))+a_syn_on*IF(F999&gt;=2,a_syn_cost,0)</f>
        <v>0</v>
      </c>
      <c r="G1021" s="36" t="n">
        <f aca="false">a_syn_on*(a_syn_partner_rev_y3+a_syn_xsell_y3)*a_mcap*IF(G999=1,a_syn_ramp1,IF(G999=2,a_syn_ramp2,1))+a_syn_on*IF(G999&gt;=2,a_syn_cost,0)</f>
        <v>0</v>
      </c>
      <c r="H1021" s="36" t="n">
        <f aca="false">a_syn_on*(a_syn_partner_rev_y3+a_syn_xsell_y3)*a_mcap*IF(H999=1,a_syn_ramp1,IF(H999=2,a_syn_ramp2,1))+a_syn_on*IF(H999&gt;=2,a_syn_cost,0)</f>
        <v>0</v>
      </c>
      <c r="I1021" s="36" t="n">
        <f aca="false">a_syn_on*(a_syn_partner_rev_y3+a_syn_xsell_y3)*a_mcap*IF(I999=1,a_syn_ramp1,IF(I999=2,a_syn_ramp2,1))+a_syn_on*IF(I999&gt;=2,a_syn_cost,0)</f>
        <v>0</v>
      </c>
      <c r="J1021" s="36" t="n">
        <f aca="false">a_syn_on*(a_syn_partner_rev_y3+a_syn_xsell_y3)*a_mcap*IF(J999=1,a_syn_ramp1,IF(J999=2,a_syn_ramp2,1))+a_syn_on*IF(J999&gt;=2,a_syn_cost,0)</f>
        <v>0</v>
      </c>
      <c r="K1021" s="36" t="n">
        <f aca="false">a_syn_on*(a_syn_partner_rev_y3+a_syn_xsell_y3)*a_mcap*IF(K999=1,a_syn_ramp1,IF(K999=2,a_syn_ramp2,1))+a_syn_on*IF(K999&gt;=2,a_syn_cost,0)</f>
        <v>0</v>
      </c>
      <c r="L1021" s="36" t="n">
        <f aca="false">a_syn_on*(a_syn_partner_rev_y3+a_syn_xsell_y3)*a_mcap*IF(L999=1,a_syn_ramp1,IF(L999=2,a_syn_ramp2,1))+a_syn_on*IF(L999&gt;=2,a_syn_cost,0)</f>
        <v>0</v>
      </c>
      <c r="M1021" s="36" t="n">
        <f aca="false">a_syn_on*(a_syn_partner_rev_y3+a_syn_xsell_y3)*a_mcap*IF(M999=1,a_syn_ramp1,IF(M999=2,a_syn_ramp2,1))+a_syn_on*IF(M999&gt;=2,a_syn_cost,0)</f>
        <v>0</v>
      </c>
    </row>
    <row r="1022" customFormat="false" ht="15" hidden="false" customHeight="false" outlineLevel="0" collapsed="false">
      <c r="A1022" s="9" t="s">
        <v>488</v>
      </c>
      <c r="C1022" s="36" t="n">
        <f aca="false">0</f>
        <v>0</v>
      </c>
      <c r="D1022" s="36" t="n">
        <f aca="false">CHOOSE(Scenarios!$I$42,Scenarios!$I$41,Scenarios!$I$41*D1002/cf_arr,Scenarios!$I$41*(1-a_tax))</f>
        <v>0</v>
      </c>
      <c r="E1022" s="36" t="n">
        <f aca="false">CHOOSE(Scenarios!$I$42,Scenarios!$I$41,Scenarios!$I$41*E1002/cf_arr,Scenarios!$I$41*(1-a_tax))</f>
        <v>0</v>
      </c>
      <c r="F1022" s="36" t="n">
        <f aca="false">CHOOSE(Scenarios!$I$42,Scenarios!$I$41,Scenarios!$I$41*F1002/cf_arr,Scenarios!$I$41*(1-a_tax))</f>
        <v>0</v>
      </c>
      <c r="G1022" s="36" t="n">
        <f aca="false">CHOOSE(Scenarios!$I$42,Scenarios!$I$41,Scenarios!$I$41*G1002/cf_arr,Scenarios!$I$41*(1-a_tax))</f>
        <v>0</v>
      </c>
      <c r="H1022" s="36" t="n">
        <f aca="false">CHOOSE(Scenarios!$I$42,Scenarios!$I$41,Scenarios!$I$41*H1002/cf_arr,Scenarios!$I$41*(1-a_tax))</f>
        <v>0</v>
      </c>
      <c r="I1022" s="36" t="n">
        <f aca="false">CHOOSE(Scenarios!$I$42,Scenarios!$I$41,Scenarios!$I$41*I1002/cf_arr,Scenarios!$I$41*(1-a_tax))</f>
        <v>0</v>
      </c>
      <c r="J1022" s="36" t="n">
        <f aca="false">CHOOSE(Scenarios!$I$42,Scenarios!$I$41,Scenarios!$I$41*J1002/cf_arr,Scenarios!$I$41*(1-a_tax))</f>
        <v>0</v>
      </c>
      <c r="K1022" s="36" t="n">
        <f aca="false">CHOOSE(Scenarios!$I$42,Scenarios!$I$41,Scenarios!$I$41*K1002/cf_arr,Scenarios!$I$41*(1-a_tax))</f>
        <v>0</v>
      </c>
      <c r="L1022" s="36" t="n">
        <f aca="false">CHOOSE(Scenarios!$I$42,Scenarios!$I$41,Scenarios!$I$41*L1002/cf_arr,Scenarios!$I$41*(1-a_tax))</f>
        <v>0</v>
      </c>
      <c r="M1022" s="36" t="n">
        <f aca="false">CHOOSE(Scenarios!$I$42,Scenarios!$I$41,Scenarios!$I$41*M1002/cf_arr,Scenarios!$I$41*(1-a_tax))</f>
        <v>0</v>
      </c>
    </row>
    <row r="1023" customFormat="false" ht="15" hidden="false" customHeight="false" outlineLevel="0" collapsed="false">
      <c r="A1023" s="9" t="s">
        <v>489</v>
      </c>
      <c r="C1023" s="36" t="n">
        <f aca="false">0</f>
        <v>0</v>
      </c>
      <c r="D1023" s="36" t="n">
        <f aca="false">IF(Scenarios!$I$42=3,Scenarios!$I$41*(1-a_tax),0)</f>
        <v>0</v>
      </c>
      <c r="E1023" s="36" t="n">
        <f aca="false">IF(Scenarios!$I$42=3,Scenarios!$I$41*(1-a_tax),0)</f>
        <v>0</v>
      </c>
      <c r="F1023" s="36" t="n">
        <f aca="false">IF(Scenarios!$I$42=3,Scenarios!$I$41*(1-a_tax),0)</f>
        <v>0</v>
      </c>
      <c r="G1023" s="36" t="n">
        <f aca="false">IF(Scenarios!$I$42=3,Scenarios!$I$41*(1-a_tax),0)</f>
        <v>0</v>
      </c>
      <c r="H1023" s="36" t="n">
        <f aca="false">IF(Scenarios!$I$42=3,Scenarios!$I$41*(1-a_tax),0)</f>
        <v>0</v>
      </c>
      <c r="I1023" s="36" t="n">
        <f aca="false">IF(Scenarios!$I$42=3,Scenarios!$I$41*(1-a_tax),0)</f>
        <v>0</v>
      </c>
      <c r="J1023" s="36" t="n">
        <f aca="false">IF(Scenarios!$I$42=3,Scenarios!$I$41*(1-a_tax),0)</f>
        <v>0</v>
      </c>
      <c r="K1023" s="36" t="n">
        <f aca="false">IF(Scenarios!$I$42=3,Scenarios!$I$41*(1-a_tax),0)</f>
        <v>0</v>
      </c>
      <c r="L1023" s="36" t="n">
        <f aca="false">IF(Scenarios!$I$42=3,Scenarios!$I$41*(1-a_tax),0)</f>
        <v>0</v>
      </c>
      <c r="M1023" s="36" t="n">
        <f aca="false">IF(Scenarios!$I$42=3,Scenarios!$I$41*(1-a_tax),0)</f>
        <v>0</v>
      </c>
    </row>
    <row r="1024" customFormat="false" ht="15" hidden="false" customHeight="false" outlineLevel="0" collapsed="false">
      <c r="A1024" s="9" t="s">
        <v>490</v>
      </c>
      <c r="C1024" s="36" t="n">
        <f aca="false">0</f>
        <v>0</v>
      </c>
      <c r="D1024" s="36" t="n">
        <f aca="false">IF(Scenarios!$I$42=3,0,C1024+D1022)</f>
        <v>0</v>
      </c>
      <c r="E1024" s="36" t="n">
        <f aca="false">IF(Scenarios!$I$42=3,0,D1024+E1022)</f>
        <v>0</v>
      </c>
      <c r="F1024" s="36" t="n">
        <f aca="false">IF(Scenarios!$I$42=3,0,E1024+F1022)</f>
        <v>0</v>
      </c>
      <c r="G1024" s="36" t="n">
        <f aca="false">IF(Scenarios!$I$42=3,0,F1024+G1022)</f>
        <v>0</v>
      </c>
      <c r="H1024" s="36" t="n">
        <f aca="false">IF(Scenarios!$I$42=3,0,G1024+H1022)</f>
        <v>0</v>
      </c>
      <c r="I1024" s="36" t="n">
        <f aca="false">IF(Scenarios!$I$42=3,0,H1024+I1022)</f>
        <v>0</v>
      </c>
      <c r="J1024" s="36" t="n">
        <f aca="false">IF(Scenarios!$I$42=3,0,I1024+J1022)</f>
        <v>0</v>
      </c>
      <c r="K1024" s="36" t="n">
        <f aca="false">IF(Scenarios!$I$42=3,0,J1024+K1022)</f>
        <v>0</v>
      </c>
      <c r="L1024" s="36" t="n">
        <f aca="false">IF(Scenarios!$I$42=3,0,K1024+L1022)</f>
        <v>0</v>
      </c>
      <c r="M1024" s="36" t="n">
        <f aca="false">IF(Scenarios!$I$42=3,0,L1024+M1022)</f>
        <v>0</v>
      </c>
    </row>
    <row r="1025" customFormat="false" ht="15" hidden="false" customHeight="false" outlineLevel="0" collapsed="false">
      <c r="A1025" s="9" t="s">
        <v>491</v>
      </c>
      <c r="C1025" s="36" t="n">
        <f aca="false">0</f>
        <v>0</v>
      </c>
      <c r="D1025" s="36" t="n">
        <f aca="false">C1024*a_yield*(1-a_tax)</f>
        <v>0</v>
      </c>
      <c r="E1025" s="36" t="n">
        <f aca="false">D1024*a_yield*(1-a_tax)</f>
        <v>0</v>
      </c>
      <c r="F1025" s="36" t="n">
        <f aca="false">E1024*a_yield*(1-a_tax)</f>
        <v>0</v>
      </c>
      <c r="G1025" s="36" t="n">
        <f aca="false">F1024*a_yield*(1-a_tax)</f>
        <v>0</v>
      </c>
      <c r="H1025" s="36" t="n">
        <f aca="false">G1024*a_yield*(1-a_tax)</f>
        <v>0</v>
      </c>
      <c r="I1025" s="36" t="n">
        <f aca="false">H1024*a_yield*(1-a_tax)</f>
        <v>0</v>
      </c>
      <c r="J1025" s="36" t="n">
        <f aca="false">I1024*a_yield*(1-a_tax)</f>
        <v>0</v>
      </c>
      <c r="K1025" s="36" t="n">
        <f aca="false">J1024*a_yield*(1-a_tax)</f>
        <v>0</v>
      </c>
      <c r="L1025" s="36" t="n">
        <f aca="false">K1024*a_yield*(1-a_tax)</f>
        <v>0</v>
      </c>
      <c r="M1025" s="36" t="n">
        <f aca="false">L1024*a_yield*(1-a_tax)</f>
        <v>0</v>
      </c>
    </row>
    <row r="1026" customFormat="false" ht="15" hidden="false" customHeight="false" outlineLevel="0" collapsed="false">
      <c r="A1026" s="9" t="s">
        <v>492</v>
      </c>
      <c r="C1026" s="36" t="n">
        <f aca="false">cf_pat</f>
        <v>480</v>
      </c>
      <c r="D1026" s="36" t="n">
        <f aca="false">cf_pat*(1+a_pat_growth)^D999</f>
        <v>480</v>
      </c>
      <c r="E1026" s="36" t="n">
        <f aca="false">cf_pat*(1+a_pat_growth)^E999</f>
        <v>480</v>
      </c>
      <c r="F1026" s="36" t="n">
        <f aca="false">cf_pat*(1+a_pat_growth)^F999</f>
        <v>480</v>
      </c>
      <c r="G1026" s="36" t="n">
        <f aca="false">cf_pat*(1+a_pat_growth)^G999</f>
        <v>480</v>
      </c>
      <c r="H1026" s="36" t="n">
        <f aca="false">cf_pat*(1+a_pat_growth)^H999</f>
        <v>480</v>
      </c>
      <c r="I1026" s="36" t="n">
        <f aca="false">cf_pat*(1+a_pat_growth)^I999</f>
        <v>480</v>
      </c>
      <c r="J1026" s="36" t="n">
        <f aca="false">cf_pat*(1+a_pat_growth)^J999</f>
        <v>480</v>
      </c>
      <c r="K1026" s="36" t="n">
        <f aca="false">cf_pat*(1+a_pat_growth)^K999</f>
        <v>480</v>
      </c>
      <c r="L1026" s="36" t="n">
        <f aca="false">cf_pat*(1+a_pat_growth)^L999</f>
        <v>480</v>
      </c>
      <c r="M1026" s="36" t="n">
        <f aca="false">cf_pat*(1+a_pat_growth)^M999</f>
        <v>480</v>
      </c>
    </row>
    <row r="1027" customFormat="false" ht="15" hidden="false" customHeight="false" outlineLevel="0" collapsed="false">
      <c r="A1027" s="9" t="s">
        <v>493</v>
      </c>
      <c r="C1027" s="36" t="n">
        <f aca="false">0</f>
        <v>0</v>
      </c>
      <c r="D1027" s="36" t="n">
        <f aca="false">cf_mdr*a_mdr_flow*(1-a_tax)</f>
        <v>69</v>
      </c>
      <c r="E1027" s="36" t="n">
        <f aca="false">cf_mdr*a_mdr_flow*(1-a_tax)</f>
        <v>69</v>
      </c>
      <c r="F1027" s="36" t="n">
        <f aca="false">cf_mdr*a_mdr_flow*(1-a_tax)</f>
        <v>69</v>
      </c>
      <c r="G1027" s="36" t="n">
        <f aca="false">cf_mdr*a_mdr_flow*(1-a_tax)</f>
        <v>69</v>
      </c>
      <c r="H1027" s="36" t="n">
        <f aca="false">cf_mdr*a_mdr_flow*(1-a_tax)</f>
        <v>69</v>
      </c>
      <c r="I1027" s="36" t="n">
        <f aca="false">cf_mdr*a_mdr_flow*(1-a_tax)</f>
        <v>69</v>
      </c>
      <c r="J1027" s="36" t="n">
        <f aca="false">cf_mdr*a_mdr_flow*(1-a_tax)</f>
        <v>69</v>
      </c>
      <c r="K1027" s="36" t="n">
        <f aca="false">cf_mdr*a_mdr_flow*(1-a_tax)</f>
        <v>69</v>
      </c>
      <c r="L1027" s="36" t="n">
        <f aca="false">cf_mdr*a_mdr_flow*(1-a_tax)</f>
        <v>69</v>
      </c>
      <c r="M1027" s="36" t="n">
        <f aca="false">cf_mdr*a_mdr_flow*(1-a_tax)</f>
        <v>69</v>
      </c>
    </row>
    <row r="1028" customFormat="false" ht="15" hidden="false" customHeight="false" outlineLevel="0" collapsed="false">
      <c r="A1028" s="9" t="s">
        <v>494</v>
      </c>
      <c r="C1028" s="50" t="n">
        <f aca="false">cf_eps</f>
        <v>7.5</v>
      </c>
      <c r="D1028" s="50" t="n">
        <f aca="false">D1026/cf_shares</f>
        <v>7.5</v>
      </c>
      <c r="E1028" s="50" t="n">
        <f aca="false">E1026/cf_shares</f>
        <v>7.5</v>
      </c>
      <c r="F1028" s="50" t="n">
        <f aca="false">F1026/cf_shares</f>
        <v>7.5</v>
      </c>
      <c r="G1028" s="50" t="n">
        <f aca="false">G1026/cf_shares</f>
        <v>7.5</v>
      </c>
      <c r="H1028" s="50" t="n">
        <f aca="false">H1026/cf_shares</f>
        <v>7.5</v>
      </c>
      <c r="I1028" s="50" t="n">
        <f aca="false">I1026/cf_shares</f>
        <v>7.5</v>
      </c>
      <c r="J1028" s="50" t="n">
        <f aca="false">J1026/cf_shares</f>
        <v>7.5</v>
      </c>
      <c r="K1028" s="50" t="n">
        <f aca="false">K1026/cf_shares</f>
        <v>7.5</v>
      </c>
      <c r="L1028" s="50" t="n">
        <f aca="false">L1026/cf_shares</f>
        <v>7.5</v>
      </c>
      <c r="M1028" s="50" t="n">
        <f aca="false">M1026/cf_shares</f>
        <v>7.5</v>
      </c>
    </row>
    <row r="1029" customFormat="false" ht="15" hidden="false" customHeight="false" outlineLevel="0" collapsed="false">
      <c r="A1029" s="9" t="s">
        <v>495</v>
      </c>
      <c r="C1029" s="50" t="n">
        <f aca="false">cf_eps</f>
        <v>7.5</v>
      </c>
      <c r="D1029" s="50" t="n">
        <f aca="false">(D1026+D1027)/cf_shares</f>
        <v>8.578125</v>
      </c>
      <c r="E1029" s="50" t="n">
        <f aca="false">(E1026+E1027)/cf_shares</f>
        <v>8.578125</v>
      </c>
      <c r="F1029" s="50" t="n">
        <f aca="false">(F1026+F1027)/cf_shares</f>
        <v>8.578125</v>
      </c>
      <c r="G1029" s="50" t="n">
        <f aca="false">(G1026+G1027)/cf_shares</f>
        <v>8.578125</v>
      </c>
      <c r="H1029" s="50" t="n">
        <f aca="false">(H1026+H1027)/cf_shares</f>
        <v>8.578125</v>
      </c>
      <c r="I1029" s="50" t="n">
        <f aca="false">(I1026+I1027)/cf_shares</f>
        <v>8.578125</v>
      </c>
      <c r="J1029" s="50" t="n">
        <f aca="false">(J1026+J1027)/cf_shares</f>
        <v>8.578125</v>
      </c>
      <c r="K1029" s="50" t="n">
        <f aca="false">(K1026+K1027)/cf_shares</f>
        <v>8.578125</v>
      </c>
      <c r="L1029" s="50" t="n">
        <f aca="false">(L1026+L1027)/cf_shares</f>
        <v>8.578125</v>
      </c>
      <c r="M1029" s="50" t="n">
        <f aca="false">(M1026+M1027)/cf_shares</f>
        <v>8.578125</v>
      </c>
    </row>
    <row r="1030" customFormat="false" ht="15" hidden="false" customHeight="false" outlineLevel="0" collapsed="false">
      <c r="A1030" s="4" t="s">
        <v>496</v>
      </c>
      <c r="C1030" s="41" t="n">
        <f aca="false">-C1017-C1019</f>
        <v>-94.5</v>
      </c>
      <c r="D1030" s="41" t="n">
        <f aca="false">D1009+D1021*(1-a_tax)-C1017-C1019-D1023-D1025</f>
        <v>-138.225</v>
      </c>
      <c r="E1030" s="41" t="n">
        <f aca="false">E1009+E1021*(1-a_tax)-C1017-C1019-E1023-E1025</f>
        <v>-84.105</v>
      </c>
      <c r="F1030" s="41" t="n">
        <f aca="false">F1009+F1021*(1-a_tax)-C1017-C1019-F1023-F1025</f>
        <v>-73.116</v>
      </c>
      <c r="G1030" s="41" t="n">
        <f aca="false">G1009+G1021*(1-a_tax)-C1017-C1019-G1023-G1025</f>
        <v>-58.1472</v>
      </c>
      <c r="H1030" s="41" t="n">
        <f aca="false">H1009+H1021*(1-a_tax)-C1017-C1019-H1023-H1025</f>
        <v>-38.04624</v>
      </c>
      <c r="I1030" s="41" t="n">
        <f aca="false">I1009+I1021*(1-a_tax)-C1017-C1019-I1023-I1025</f>
        <v>-26.755488</v>
      </c>
      <c r="J1030" s="41" t="n">
        <f aca="false">J1009+J1021*(1-a_tax)-C1017-C1019-J1023-J1025</f>
        <v>-13.2065856</v>
      </c>
      <c r="K1030" s="41" t="n">
        <f aca="false">K1009+K1021*(1-a_tax)-C1017-C1019-K1023-K1025</f>
        <v>3.05209727999997</v>
      </c>
      <c r="L1030" s="41" t="n">
        <f aca="false">L1009+L1021*(1-a_tax)-C1017-C1019-L1023-L1025</f>
        <v>22.562516736</v>
      </c>
      <c r="M1030" s="41" t="n">
        <f aca="false">M1009+M1021*(1-a_tax)-C1017-C1019-M1023-M1025</f>
        <v>45.9750200832</v>
      </c>
    </row>
    <row r="1031" customFormat="false" ht="15" hidden="false" customHeight="false" outlineLevel="0" collapsed="false">
      <c r="A1031" s="9" t="s">
        <v>497</v>
      </c>
      <c r="C1031" s="36" t="n">
        <f aca="false">C1026+C1030</f>
        <v>385.5</v>
      </c>
      <c r="D1031" s="36" t="n">
        <f aca="false">D1026+D1030</f>
        <v>341.775</v>
      </c>
      <c r="E1031" s="36" t="n">
        <f aca="false">E1026+E1030</f>
        <v>395.895</v>
      </c>
      <c r="F1031" s="36" t="n">
        <f aca="false">F1026+F1030</f>
        <v>406.884</v>
      </c>
      <c r="G1031" s="36" t="n">
        <f aca="false">G1026+G1030</f>
        <v>421.8528</v>
      </c>
      <c r="H1031" s="36" t="n">
        <f aca="false">H1026+H1030</f>
        <v>441.95376</v>
      </c>
      <c r="I1031" s="36" t="n">
        <f aca="false">I1026+I1030</f>
        <v>453.244512</v>
      </c>
      <c r="J1031" s="36" t="n">
        <f aca="false">J1026+J1030</f>
        <v>466.7934144</v>
      </c>
      <c r="K1031" s="36" t="n">
        <f aca="false">K1026+K1030</f>
        <v>483.05209728</v>
      </c>
      <c r="L1031" s="36" t="n">
        <f aca="false">L1026+L1030</f>
        <v>502.562516736</v>
      </c>
      <c r="M1031" s="36" t="n">
        <f aca="false">M1026+M1030</f>
        <v>525.9750200832</v>
      </c>
    </row>
    <row r="1032" customFormat="false" ht="15" hidden="false" customHeight="false" outlineLevel="0" collapsed="false">
      <c r="A1032" s="4" t="s">
        <v>498</v>
      </c>
      <c r="C1032" s="48" t="n">
        <f aca="false">C1031/C1016</f>
        <v>5.92858021653543</v>
      </c>
      <c r="D1032" s="48" t="n">
        <f aca="false">D1031/C1016</f>
        <v>5.25613619586614</v>
      </c>
      <c r="E1032" s="48" t="n">
        <f aca="false">E1031/C1016</f>
        <v>6.08844426673228</v>
      </c>
      <c r="F1032" s="48" t="n">
        <f aca="false">F1031/C1016</f>
        <v>6.25744340551181</v>
      </c>
      <c r="G1032" s="48" t="n">
        <f aca="false">G1031/C1016</f>
        <v>6.48764763779528</v>
      </c>
      <c r="H1032" s="48" t="n">
        <f aca="false">H1031/C1016</f>
        <v>6.79677903543307</v>
      </c>
      <c r="I1032" s="48" t="n">
        <f aca="false">I1031/C1016</f>
        <v>6.9704187992126</v>
      </c>
      <c r="J1032" s="48" t="n">
        <f aca="false">J1031/C1016</f>
        <v>7.17878651574803</v>
      </c>
      <c r="K1032" s="48" t="n">
        <f aca="false">K1031/C1016</f>
        <v>7.42882777559055</v>
      </c>
      <c r="L1032" s="48" t="n">
        <f aca="false">L1031/C1016</f>
        <v>7.72887728740157</v>
      </c>
      <c r="M1032" s="48" t="n">
        <f aca="false">M1031/C1016</f>
        <v>8.0889367015748</v>
      </c>
    </row>
    <row r="1033" customFormat="false" ht="15" hidden="false" customHeight="false" outlineLevel="0" collapsed="false">
      <c r="A1033" s="4" t="s">
        <v>499</v>
      </c>
      <c r="C1033" s="14" t="n">
        <f aca="false">C1032/cf_eps-1</f>
        <v>-0.209522637795276</v>
      </c>
      <c r="D1033" s="14" t="n">
        <f aca="false">D1032/cf_eps-1</f>
        <v>-0.299181840551181</v>
      </c>
      <c r="E1033" s="14" t="n">
        <f aca="false">E1032/cf_eps-1</f>
        <v>-0.188207431102362</v>
      </c>
      <c r="F1033" s="14" t="n">
        <f aca="false">F1032/cf_eps-1</f>
        <v>-0.165674212598425</v>
      </c>
      <c r="G1033" s="14" t="n">
        <f aca="false">G1032/cf_eps-1</f>
        <v>-0.13498031496063</v>
      </c>
      <c r="H1033" s="14" t="n">
        <f aca="false">H1032/cf_eps-1</f>
        <v>-0.0937627952755906</v>
      </c>
      <c r="I1033" s="14" t="n">
        <f aca="false">I1032/cf_eps-1</f>
        <v>-0.0706108267716537</v>
      </c>
      <c r="J1033" s="14" t="n">
        <f aca="false">J1032/cf_eps-1</f>
        <v>-0.0428284645669292</v>
      </c>
      <c r="K1033" s="14" t="n">
        <f aca="false">K1032/cf_eps-1</f>
        <v>-0.0094896299212599</v>
      </c>
      <c r="L1033" s="14" t="n">
        <f aca="false">L1032/cf_eps-1</f>
        <v>0.0305169716535432</v>
      </c>
      <c r="M1033" s="14" t="n">
        <f aca="false">M1032/cf_eps-1</f>
        <v>0.0785248935433069</v>
      </c>
    </row>
    <row r="1034" customFormat="false" ht="15" hidden="false" customHeight="false" outlineLevel="0" collapsed="false">
      <c r="A1034" s="9" t="s">
        <v>500</v>
      </c>
      <c r="C1034" s="50" t="n">
        <f aca="false">C1032</f>
        <v>5.92858021653543</v>
      </c>
      <c r="D1034" s="50" t="n">
        <f aca="false">(D1031+D1027)/C1016</f>
        <v>6.31728284940945</v>
      </c>
      <c r="E1034" s="50" t="n">
        <f aca="false">(E1031+E1027)/C1016</f>
        <v>7.14959092027559</v>
      </c>
      <c r="F1034" s="50" t="n">
        <f aca="false">(F1031+F1027)/C1016</f>
        <v>7.31859005905512</v>
      </c>
      <c r="G1034" s="50" t="n">
        <f aca="false">(G1031+G1027)/C1016</f>
        <v>7.54879429133858</v>
      </c>
      <c r="H1034" s="50" t="n">
        <f aca="false">(H1031+H1027)/C1016</f>
        <v>7.85792568897638</v>
      </c>
      <c r="I1034" s="50" t="n">
        <f aca="false">(I1031+I1027)/C1016</f>
        <v>8.0315654527559</v>
      </c>
      <c r="J1034" s="50" t="n">
        <f aca="false">(J1031+J1027)/C1016</f>
        <v>8.23993316929134</v>
      </c>
      <c r="K1034" s="50" t="n">
        <f aca="false">(K1031+K1027)/C1016</f>
        <v>8.48997442913386</v>
      </c>
      <c r="L1034" s="50" t="n">
        <f aca="false">(L1031+L1027)/C1016</f>
        <v>8.79002394094488</v>
      </c>
      <c r="M1034" s="50" t="n">
        <f aca="false">(M1031+M1027)/C1016</f>
        <v>9.15008335511811</v>
      </c>
    </row>
    <row r="1035" customFormat="false" ht="15" hidden="false" customHeight="false" outlineLevel="0" collapsed="false">
      <c r="A1035" s="9" t="s">
        <v>501</v>
      </c>
      <c r="C1035" s="18" t="n">
        <f aca="false">C1033</f>
        <v>-0.209522637795276</v>
      </c>
      <c r="D1035" s="18" t="n">
        <f aca="false">D1034/D1029-1</f>
        <v>-0.263559012090702</v>
      </c>
      <c r="E1035" s="18" t="n">
        <f aca="false">E1034/E1029-1</f>
        <v>-0.166532206015232</v>
      </c>
      <c r="F1035" s="18" t="n">
        <f aca="false">F1034/F1029-1</f>
        <v>-0.146831031366981</v>
      </c>
      <c r="G1035" s="18" t="n">
        <f aca="false">G1034/G1029-1</f>
        <v>-0.119994836710985</v>
      </c>
      <c r="H1035" s="18" t="n">
        <f aca="false">H1034/H1029-1</f>
        <v>-0.0839576610300762</v>
      </c>
      <c r="I1035" s="18" t="n">
        <f aca="false">I1034/I1029-1</f>
        <v>-0.0637155027752679</v>
      </c>
      <c r="J1035" s="18" t="n">
        <f aca="false">J1034/J1029-1</f>
        <v>-0.039424912869498</v>
      </c>
      <c r="K1035" s="18" t="n">
        <f aca="false">K1034/K1029-1</f>
        <v>-0.010276204982574</v>
      </c>
      <c r="L1035" s="18" t="n">
        <f aca="false">L1034/L1029-1</f>
        <v>0.0247022444817346</v>
      </c>
      <c r="M1035" s="18" t="n">
        <f aca="false">M1034/M1029-1</f>
        <v>0.0666763838389053</v>
      </c>
    </row>
    <row r="1036" customFormat="false" ht="15" hidden="false" customHeight="false" outlineLevel="0" collapsed="false">
      <c r="A1036" s="9" t="s">
        <v>502</v>
      </c>
      <c r="C1036" s="50" t="n">
        <f aca="false">(C1031+C1019)/C1016</f>
        <v>5.92858021653543</v>
      </c>
      <c r="D1036" s="50" t="n">
        <f aca="false">(D1031+C1019)/C1016</f>
        <v>5.25613619586614</v>
      </c>
      <c r="E1036" s="50" t="n">
        <f aca="false">(E1031+C1019)/C1016</f>
        <v>6.08844426673228</v>
      </c>
      <c r="F1036" s="50" t="n">
        <f aca="false">(F1031+C1019)/C1016</f>
        <v>6.25744340551181</v>
      </c>
      <c r="G1036" s="50" t="n">
        <f aca="false">(G1031+C1019)/C1016</f>
        <v>6.48764763779528</v>
      </c>
      <c r="H1036" s="50" t="n">
        <f aca="false">(H1031+C1019)/C1016</f>
        <v>6.79677903543307</v>
      </c>
      <c r="I1036" s="50" t="n">
        <f aca="false">(I1031+C1019)/C1016</f>
        <v>6.9704187992126</v>
      </c>
      <c r="J1036" s="50" t="n">
        <f aca="false">(J1031+C1019)/C1016</f>
        <v>7.17878651574803</v>
      </c>
      <c r="K1036" s="50" t="n">
        <f aca="false">(K1031+C1019)/C1016</f>
        <v>7.42882777559055</v>
      </c>
      <c r="L1036" s="50" t="n">
        <f aca="false">(L1031+C1019)/C1016</f>
        <v>7.72887728740157</v>
      </c>
      <c r="M1036" s="50" t="n">
        <f aca="false">(M1031+C1019)/C1016</f>
        <v>8.0889367015748</v>
      </c>
    </row>
    <row r="1037" customFormat="false" ht="15" hidden="false" customHeight="false" outlineLevel="0" collapsed="false">
      <c r="A1037" s="9" t="s">
        <v>503</v>
      </c>
      <c r="C1037" s="50" t="n">
        <f aca="false">(C1031-C1018+C1019)/C1016</f>
        <v>4.48680487204724</v>
      </c>
      <c r="D1037" s="50" t="n">
        <f aca="false">(D1031-C1018+C1019)/C1016</f>
        <v>3.81436085137795</v>
      </c>
      <c r="E1037" s="50" t="n">
        <f aca="false">(E1031-C1018+C1019)/C1016</f>
        <v>4.64666892224409</v>
      </c>
      <c r="F1037" s="50" t="n">
        <f aca="false">(F1031-C1018+C1019)/C1016</f>
        <v>4.81566806102362</v>
      </c>
      <c r="G1037" s="50" t="n">
        <f aca="false">(G1031-C1018+C1019)/C1016</f>
        <v>5.04587229330709</v>
      </c>
      <c r="H1037" s="50" t="n">
        <f aca="false">(H1031-C1018+C1019)/C1016</f>
        <v>5.35500369094488</v>
      </c>
      <c r="I1037" s="50" t="n">
        <f aca="false">(I1031-C1018+C1019)/C1016</f>
        <v>5.52864345472441</v>
      </c>
      <c r="J1037" s="50" t="n">
        <f aca="false">(J1031-C1018+C1019)/C1016</f>
        <v>5.73701117125984</v>
      </c>
      <c r="K1037" s="50" t="n">
        <f aca="false">(K1031-C1018+C1019)/C1016</f>
        <v>5.98705243110236</v>
      </c>
      <c r="L1037" s="50" t="n">
        <f aca="false">(L1031-C1018+C1019)/C1016</f>
        <v>6.28710194291339</v>
      </c>
      <c r="M1037" s="50" t="n">
        <f aca="false">(M1031-C1018+C1019)/C1016</f>
        <v>6.64716135708661</v>
      </c>
    </row>
    <row r="1038" customFormat="false" ht="15" hidden="false" customHeight="false" outlineLevel="0" collapsed="false">
      <c r="A1038" s="9" t="s">
        <v>504</v>
      </c>
      <c r="C1038" s="50" t="n">
        <f aca="false">C1026/C1016</f>
        <v>7.38188976377953</v>
      </c>
      <c r="D1038" s="50" t="n">
        <f aca="false">D1026/C1016</f>
        <v>7.38188976377953</v>
      </c>
      <c r="E1038" s="50" t="n">
        <f aca="false">E1026/C1016</f>
        <v>7.38188976377953</v>
      </c>
      <c r="F1038" s="50" t="n">
        <f aca="false">F1026/C1016</f>
        <v>7.38188976377953</v>
      </c>
      <c r="G1038" s="50" t="n">
        <f aca="false">G1026/C1016</f>
        <v>7.38188976377953</v>
      </c>
      <c r="H1038" s="50" t="n">
        <f aca="false">H1026/C1016</f>
        <v>7.38188976377953</v>
      </c>
      <c r="I1038" s="50" t="n">
        <f aca="false">I1026/C1016</f>
        <v>7.38188976377953</v>
      </c>
      <c r="J1038" s="50" t="n">
        <f aca="false">J1026/C1016</f>
        <v>7.38188976377953</v>
      </c>
      <c r="K1038" s="50" t="n">
        <f aca="false">K1026/C1016</f>
        <v>7.38188976377953</v>
      </c>
      <c r="L1038" s="50" t="n">
        <f aca="false">L1026/C1016</f>
        <v>7.38188976377953</v>
      </c>
      <c r="M1038" s="50" t="n">
        <f aca="false">M1026/C1016</f>
        <v>7.38188976377953</v>
      </c>
    </row>
    <row r="1039" customFormat="false" ht="15" hidden="false" customHeight="false" outlineLevel="0" collapsed="false">
      <c r="A1039" s="9" t="s">
        <v>505</v>
      </c>
      <c r="D1039" s="36" t="n">
        <f aca="false">D1012+D1021*(1-a_tax)-D1022-IF(D999=1,C1020,0)</f>
        <v>-200.975</v>
      </c>
      <c r="E1039" s="36" t="n">
        <f aca="false">E1012+E1021*(1-a_tax)-E1022-IF(E999=1,C1020,0)</f>
        <v>8.745</v>
      </c>
      <c r="F1039" s="36" t="n">
        <f aca="false">F1012+F1021*(1-a_tax)-F1022-IF(F999=1,C1020,0)</f>
        <v>19.404</v>
      </c>
      <c r="G1039" s="36" t="n">
        <f aca="false">G1012+G1021*(1-a_tax)-G1022-IF(G999=1,C1020,0)</f>
        <v>33.9768</v>
      </c>
      <c r="H1039" s="36" t="n">
        <f aca="false">H1012+H1021*(1-a_tax)-H1022-IF(H999=1,C1020,0)</f>
        <v>53.60256</v>
      </c>
      <c r="I1039" s="36" t="n">
        <f aca="false">I1012+I1021*(1-a_tax)-I1022-IF(I999=1,C1020,0)</f>
        <v>64.323072</v>
      </c>
      <c r="J1039" s="36" t="n">
        <f aca="false">J1012+J1021*(1-a_tax)-J1022-IF(J999=1,C1020,0)</f>
        <v>77.1876864</v>
      </c>
      <c r="K1039" s="36" t="n">
        <f aca="false">K1012+K1021*(1-a_tax)-K1022-IF(K999=1,C1020,0)</f>
        <v>92.62522368</v>
      </c>
      <c r="L1039" s="36" t="n">
        <f aca="false">L1012+L1021*(1-a_tax)-L1022-IF(L999=1,C1020,0)</f>
        <v>111.150268416</v>
      </c>
      <c r="M1039" s="36" t="n">
        <f aca="false">M1012+M1021*(1-a_tax)-M1022-IF(M999=1,C1020,0)</f>
        <v>133.3803220992</v>
      </c>
    </row>
    <row r="1040" customFormat="false" ht="15" hidden="false" customHeight="false" outlineLevel="0" collapsed="false">
      <c r="A1040" s="4" t="s">
        <v>506</v>
      </c>
      <c r="D1040" s="41" t="n">
        <f aca="false">D1039-C1017</f>
        <v>-295.475</v>
      </c>
      <c r="E1040" s="41" t="n">
        <f aca="false">E1039-C1017</f>
        <v>-85.755</v>
      </c>
      <c r="F1040" s="41" t="n">
        <f aca="false">F1039-C1017</f>
        <v>-75.096</v>
      </c>
      <c r="G1040" s="41" t="n">
        <f aca="false">G1039-C1017</f>
        <v>-60.5232</v>
      </c>
      <c r="H1040" s="41" t="n">
        <f aca="false">H1039-C1017</f>
        <v>-40.89744</v>
      </c>
      <c r="I1040" s="41" t="n">
        <f aca="false">I1039-C1017</f>
        <v>-30.176928</v>
      </c>
      <c r="J1040" s="41" t="n">
        <f aca="false">J1039-C1017</f>
        <v>-17.3123136</v>
      </c>
      <c r="K1040" s="41" t="n">
        <f aca="false">K1039-C1017</f>
        <v>-1.87477632000002</v>
      </c>
      <c r="L1040" s="41" t="n">
        <f aca="false">L1039-C1017</f>
        <v>16.650268416</v>
      </c>
      <c r="M1040" s="41" t="n">
        <f aca="false">M1039-C1017</f>
        <v>38.8803220992</v>
      </c>
    </row>
    <row r="1041" customFormat="false" ht="15" hidden="false" customHeight="false" outlineLevel="0" collapsed="false">
      <c r="A1041" s="9" t="s">
        <v>507</v>
      </c>
      <c r="C1041" s="36" t="n">
        <f aca="false">0</f>
        <v>0</v>
      </c>
      <c r="D1041" s="36" t="n">
        <f aca="false">D1027</f>
        <v>69</v>
      </c>
      <c r="E1041" s="36" t="n">
        <f aca="false">E1027</f>
        <v>69</v>
      </c>
      <c r="F1041" s="36" t="n">
        <f aca="false">F1027</f>
        <v>69</v>
      </c>
      <c r="G1041" s="36" t="n">
        <f aca="false">G1027</f>
        <v>69</v>
      </c>
      <c r="H1041" s="36" t="n">
        <f aca="false">H1027</f>
        <v>69</v>
      </c>
      <c r="I1041" s="36" t="n">
        <f aca="false">I1027</f>
        <v>69</v>
      </c>
      <c r="J1041" s="36" t="n">
        <f aca="false">J1027</f>
        <v>69</v>
      </c>
      <c r="K1041" s="36" t="n">
        <f aca="false">K1027</f>
        <v>69</v>
      </c>
      <c r="L1041" s="36" t="n">
        <f aca="false">L1027</f>
        <v>69</v>
      </c>
      <c r="M1041" s="36" t="n">
        <f aca="false">M1027</f>
        <v>69</v>
      </c>
    </row>
    <row r="1042" customFormat="false" ht="15" hidden="false" customHeight="false" outlineLevel="0" collapsed="false">
      <c r="A1042" s="9" t="s">
        <v>508</v>
      </c>
      <c r="D1042" s="36" t="n">
        <f aca="false">D1040+D1041</f>
        <v>-226.475</v>
      </c>
      <c r="E1042" s="36" t="n">
        <f aca="false">E1040+E1041</f>
        <v>-16.755</v>
      </c>
      <c r="F1042" s="36" t="n">
        <f aca="false">F1040+F1041</f>
        <v>-6.09599999999999</v>
      </c>
      <c r="G1042" s="36" t="n">
        <f aca="false">G1040+G1041</f>
        <v>8.4768</v>
      </c>
      <c r="H1042" s="36" t="n">
        <f aca="false">H1040+H1041</f>
        <v>28.10256</v>
      </c>
      <c r="I1042" s="36" t="n">
        <f aca="false">I1040+I1041</f>
        <v>38.823072</v>
      </c>
      <c r="J1042" s="36" t="n">
        <f aca="false">J1040+J1041</f>
        <v>51.6876864</v>
      </c>
      <c r="K1042" s="36" t="n">
        <f aca="false">K1040+K1041</f>
        <v>67.12522368</v>
      </c>
      <c r="L1042" s="36" t="n">
        <f aca="false">L1040+L1041</f>
        <v>85.650268416</v>
      </c>
      <c r="M1042" s="36" t="n">
        <f aca="false">M1040+M1041</f>
        <v>107.8803220992</v>
      </c>
    </row>
    <row r="1043" customFormat="false" ht="15" hidden="false" customHeight="false" outlineLevel="0" collapsed="false">
      <c r="A1043" s="9" t="s">
        <v>509</v>
      </c>
      <c r="D1043" s="36" t="n">
        <f aca="false">IF(lv_mdr_in_deal=1,D1042,D1040)</f>
        <v>-295.475</v>
      </c>
      <c r="E1043" s="36" t="n">
        <f aca="false">IF(lv_mdr_in_deal=1,E1042,E1040)</f>
        <v>-85.755</v>
      </c>
      <c r="F1043" s="36" t="n">
        <f aca="false">IF(lv_mdr_in_deal=1,F1042,F1040)</f>
        <v>-75.096</v>
      </c>
      <c r="G1043" s="36" t="n">
        <f aca="false">IF(lv_mdr_in_deal=1,G1042,G1040)</f>
        <v>-60.5232</v>
      </c>
      <c r="H1043" s="36" t="n">
        <f aca="false">IF(lv_mdr_in_deal=1,H1042,H1040)</f>
        <v>-40.89744</v>
      </c>
      <c r="I1043" s="36" t="n">
        <f aca="false">IF(lv_mdr_in_deal=1,I1042,I1040)</f>
        <v>-30.176928</v>
      </c>
      <c r="J1043" s="36" t="n">
        <f aca="false">IF(lv_mdr_in_deal=1,J1042,J1040)</f>
        <v>-17.3123136</v>
      </c>
      <c r="K1043" s="36" t="n">
        <f aca="false">IF(lv_mdr_in_deal=1,K1042,K1040)</f>
        <v>-1.87477632000002</v>
      </c>
      <c r="L1043" s="36" t="n">
        <f aca="false">IF(lv_mdr_in_deal=1,L1042,L1040)</f>
        <v>16.650268416</v>
      </c>
      <c r="M1043" s="36" t="n">
        <f aca="false">IF(lv_mdr_in_deal=1,M1042,M1040)</f>
        <v>38.8803220992</v>
      </c>
    </row>
    <row r="1044" customFormat="false" ht="15" hidden="false" customHeight="false" outlineLevel="0" collapsed="false">
      <c r="A1044" s="9" t="s">
        <v>510</v>
      </c>
      <c r="C1044" s="36" t="n">
        <f aca="false">-lv_price</f>
        <v>-4000</v>
      </c>
      <c r="D1044" s="36" t="n">
        <f aca="false">C1044+D1043</f>
        <v>-4295.475</v>
      </c>
      <c r="E1044" s="36" t="n">
        <f aca="false">D1044+E1043</f>
        <v>-4381.23</v>
      </c>
      <c r="F1044" s="36" t="n">
        <f aca="false">E1044+F1043</f>
        <v>-4456.326</v>
      </c>
      <c r="G1044" s="36" t="n">
        <f aca="false">F1044+G1043</f>
        <v>-4516.8492</v>
      </c>
      <c r="H1044" s="36" t="n">
        <f aca="false">G1044+H1043</f>
        <v>-4557.74664</v>
      </c>
      <c r="I1044" s="36" t="n">
        <f aca="false">H1044+I1043</f>
        <v>-4587.923568</v>
      </c>
      <c r="J1044" s="36" t="n">
        <f aca="false">I1044+J1043</f>
        <v>-4605.2358816</v>
      </c>
      <c r="K1044" s="36" t="n">
        <f aca="false">J1044+K1043</f>
        <v>-4607.11065792</v>
      </c>
      <c r="L1044" s="36" t="n">
        <f aca="false">K1044+L1043</f>
        <v>-4590.460389504</v>
      </c>
      <c r="M1044" s="36" t="n">
        <f aca="false">L1044+M1043</f>
        <v>-4551.5800674048</v>
      </c>
    </row>
    <row r="1045" customFormat="false" ht="15" hidden="false" customHeight="false" outlineLevel="0" collapsed="false">
      <c r="A1045" s="9" t="s">
        <v>511</v>
      </c>
      <c r="C1045" s="43" t="n">
        <f aca="false">1</f>
        <v>1</v>
      </c>
      <c r="D1045" s="43" t="n">
        <f aca="false">1/(1+Scenarios!$I$43)^D999</f>
        <v>0.884955752212389</v>
      </c>
      <c r="E1045" s="43" t="n">
        <f aca="false">1/(1+Scenarios!$I$43)^E999</f>
        <v>0.783146683373796</v>
      </c>
      <c r="F1045" s="43" t="n">
        <f aca="false">1/(1+Scenarios!$I$43)^F999</f>
        <v>0.693050162277696</v>
      </c>
      <c r="G1045" s="43" t="n">
        <f aca="false">1/(1+Scenarios!$I$43)^G999</f>
        <v>0.613318727679377</v>
      </c>
      <c r="H1045" s="43" t="n">
        <f aca="false">1/(1+Scenarios!$I$43)^H999</f>
        <v>0.542759935999449</v>
      </c>
      <c r="I1045" s="43" t="n">
        <f aca="false">1/(1+Scenarios!$I$43)^I999</f>
        <v>0.48031852743314</v>
      </c>
      <c r="J1045" s="43" t="n">
        <f aca="false">1/(1+Scenarios!$I$43)^J999</f>
        <v>0.425060643746142</v>
      </c>
      <c r="K1045" s="43" t="n">
        <f aca="false">1/(1+Scenarios!$I$43)^K999</f>
        <v>0.37615986172225</v>
      </c>
      <c r="L1045" s="43" t="n">
        <f aca="false">1/(1+Scenarios!$I$43)^L999</f>
        <v>0.332884833382522</v>
      </c>
      <c r="M1045" s="43" t="n">
        <f aca="false">1/(1+Scenarios!$I$43)^M999</f>
        <v>0.294588348126126</v>
      </c>
    </row>
    <row r="1046" customFormat="false" ht="15" hidden="false" customHeight="false" outlineLevel="0" collapsed="false">
      <c r="A1046" s="9" t="s">
        <v>512</v>
      </c>
      <c r="C1046" s="46" t="n">
        <f aca="false">99</f>
        <v>99</v>
      </c>
      <c r="D1046" s="46" t="n">
        <f aca="false">IF(D1030&gt;=0,D999,99)</f>
        <v>99</v>
      </c>
      <c r="E1046" s="46" t="n">
        <f aca="false">IF(E1030&gt;=0,E999,99)</f>
        <v>99</v>
      </c>
      <c r="F1046" s="46" t="n">
        <f aca="false">IF(F1030&gt;=0,F999,99)</f>
        <v>99</v>
      </c>
      <c r="G1046" s="46" t="n">
        <f aca="false">IF(G1030&gt;=0,G999,99)</f>
        <v>99</v>
      </c>
      <c r="H1046" s="46" t="n">
        <f aca="false">IF(H1030&gt;=0,H999,99)</f>
        <v>99</v>
      </c>
      <c r="I1046" s="46" t="n">
        <f aca="false">IF(I1030&gt;=0,I999,99)</f>
        <v>99</v>
      </c>
      <c r="J1046" s="46" t="n">
        <f aca="false">IF(J1030&gt;=0,J999,99)</f>
        <v>99</v>
      </c>
      <c r="K1046" s="46" t="n">
        <f aca="false">IF(K1030&gt;=0,K999,99)</f>
        <v>8</v>
      </c>
      <c r="L1046" s="46" t="n">
        <f aca="false">IF(L1030&gt;=0,L999,99)</f>
        <v>9</v>
      </c>
      <c r="M1046" s="46" t="n">
        <f aca="false">IF(M1030&gt;=0,M999,99)</f>
        <v>10</v>
      </c>
    </row>
    <row r="1047" customFormat="false" ht="15" hidden="false" customHeight="false" outlineLevel="0" collapsed="false">
      <c r="A1047" s="9" t="s">
        <v>513</v>
      </c>
      <c r="C1047" s="46" t="n">
        <f aca="false">99</f>
        <v>99</v>
      </c>
      <c r="D1047" s="46" t="n">
        <f aca="false">IF(D1030+D1027&gt;=0,D999,99)</f>
        <v>99</v>
      </c>
      <c r="E1047" s="46" t="n">
        <f aca="false">IF(E1030+E1027&gt;=0,E999,99)</f>
        <v>99</v>
      </c>
      <c r="F1047" s="46" t="n">
        <f aca="false">IF(F1030+F1027&gt;=0,F999,99)</f>
        <v>99</v>
      </c>
      <c r="G1047" s="46" t="n">
        <f aca="false">IF(G1030+G1027&gt;=0,G999,99)</f>
        <v>4</v>
      </c>
      <c r="H1047" s="46" t="n">
        <f aca="false">IF(H1030+H1027&gt;=0,H999,99)</f>
        <v>5</v>
      </c>
      <c r="I1047" s="46" t="n">
        <f aca="false">IF(I1030+I1027&gt;=0,I999,99)</f>
        <v>6</v>
      </c>
      <c r="J1047" s="46" t="n">
        <f aca="false">IF(J1030+J1027&gt;=0,J999,99)</f>
        <v>7</v>
      </c>
      <c r="K1047" s="46" t="n">
        <f aca="false">IF(K1030+K1027&gt;=0,K999,99)</f>
        <v>8</v>
      </c>
      <c r="L1047" s="46" t="n">
        <f aca="false">IF(L1030+L1027&gt;=0,L999,99)</f>
        <v>9</v>
      </c>
      <c r="M1047" s="46" t="n">
        <f aca="false">IF(M1030+M1027&gt;=0,M999,99)</f>
        <v>10</v>
      </c>
    </row>
    <row r="1048" customFormat="false" ht="15" hidden="false" customHeight="false" outlineLevel="0" collapsed="false">
      <c r="A1048" s="9" t="s">
        <v>514</v>
      </c>
      <c r="C1048" s="46" t="n">
        <f aca="false">99</f>
        <v>99</v>
      </c>
      <c r="D1048" s="46" t="n">
        <f aca="false">IF(D1040&gt;=0,D999,99)</f>
        <v>99</v>
      </c>
      <c r="E1048" s="46" t="n">
        <f aca="false">IF(E1040&gt;=0,E999,99)</f>
        <v>99</v>
      </c>
      <c r="F1048" s="46" t="n">
        <f aca="false">IF(F1040&gt;=0,F999,99)</f>
        <v>99</v>
      </c>
      <c r="G1048" s="46" t="n">
        <f aca="false">IF(G1040&gt;=0,G999,99)</f>
        <v>99</v>
      </c>
      <c r="H1048" s="46" t="n">
        <f aca="false">IF(H1040&gt;=0,H999,99)</f>
        <v>99</v>
      </c>
      <c r="I1048" s="46" t="n">
        <f aca="false">IF(I1040&gt;=0,I999,99)</f>
        <v>99</v>
      </c>
      <c r="J1048" s="46" t="n">
        <f aca="false">IF(J1040&gt;=0,J999,99)</f>
        <v>99</v>
      </c>
      <c r="K1048" s="46" t="n">
        <f aca="false">IF(K1040&gt;=0,K999,99)</f>
        <v>99</v>
      </c>
      <c r="L1048" s="46" t="n">
        <f aca="false">IF(L1040&gt;=0,L999,99)</f>
        <v>9</v>
      </c>
      <c r="M1048" s="46" t="n">
        <f aca="false">IF(M1040&gt;=0,M999,99)</f>
        <v>10</v>
      </c>
    </row>
    <row r="1049" customFormat="false" ht="15" hidden="false" customHeight="false" outlineLevel="0" collapsed="false">
      <c r="A1049" s="9" t="s">
        <v>515</v>
      </c>
      <c r="C1049" s="46" t="n">
        <f aca="false">99</f>
        <v>99</v>
      </c>
      <c r="D1049" s="46" t="n">
        <f aca="false">IF(D1042&gt;=0,D999,99)</f>
        <v>99</v>
      </c>
      <c r="E1049" s="46" t="n">
        <f aca="false">IF(E1042&gt;=0,E999,99)</f>
        <v>99</v>
      </c>
      <c r="F1049" s="46" t="n">
        <f aca="false">IF(F1042&gt;=0,F999,99)</f>
        <v>99</v>
      </c>
      <c r="G1049" s="46" t="n">
        <f aca="false">IF(G1042&gt;=0,G999,99)</f>
        <v>4</v>
      </c>
      <c r="H1049" s="46" t="n">
        <f aca="false">IF(H1042&gt;=0,H999,99)</f>
        <v>5</v>
      </c>
      <c r="I1049" s="46" t="n">
        <f aca="false">IF(I1042&gt;=0,I999,99)</f>
        <v>6</v>
      </c>
      <c r="J1049" s="46" t="n">
        <f aca="false">IF(J1042&gt;=0,J999,99)</f>
        <v>7</v>
      </c>
      <c r="K1049" s="46" t="n">
        <f aca="false">IF(K1042&gt;=0,K999,99)</f>
        <v>8</v>
      </c>
      <c r="L1049" s="46" t="n">
        <f aca="false">IF(L1042&gt;=0,L999,99)</f>
        <v>9</v>
      </c>
      <c r="M1049" s="46" t="n">
        <f aca="false">IF(M1042&gt;=0,M999,99)</f>
        <v>10</v>
      </c>
    </row>
    <row r="1050" customFormat="false" ht="15" hidden="false" customHeight="false" outlineLevel="0" collapsed="false">
      <c r="A1050" s="9" t="s">
        <v>516</v>
      </c>
      <c r="C1050" s="46" t="n">
        <f aca="false">99</f>
        <v>99</v>
      </c>
      <c r="D1050" s="46" t="n">
        <f aca="false">IF(D1044&gt;=0,D999,99)</f>
        <v>99</v>
      </c>
      <c r="E1050" s="46" t="n">
        <f aca="false">IF(E1044&gt;=0,E999,99)</f>
        <v>99</v>
      </c>
      <c r="F1050" s="46" t="n">
        <f aca="false">IF(F1044&gt;=0,F999,99)</f>
        <v>99</v>
      </c>
      <c r="G1050" s="46" t="n">
        <f aca="false">IF(G1044&gt;=0,G999,99)</f>
        <v>99</v>
      </c>
      <c r="H1050" s="46" t="n">
        <f aca="false">IF(H1044&gt;=0,H999,99)</f>
        <v>99</v>
      </c>
      <c r="I1050" s="46" t="n">
        <f aca="false">IF(I1044&gt;=0,I999,99)</f>
        <v>99</v>
      </c>
      <c r="J1050" s="46" t="n">
        <f aca="false">IF(J1044&gt;=0,J999,99)</f>
        <v>99</v>
      </c>
      <c r="K1050" s="46" t="n">
        <f aca="false">IF(K1044&gt;=0,K999,99)</f>
        <v>99</v>
      </c>
      <c r="L1050" s="46" t="n">
        <f aca="false">IF(L1044&gt;=0,L999,99)</f>
        <v>99</v>
      </c>
      <c r="M1050" s="46" t="n">
        <f aca="false">IF(M1044&gt;=0,M999,99)</f>
        <v>99</v>
      </c>
    </row>
    <row r="1051" customFormat="false" ht="15" hidden="false" customHeight="false" outlineLevel="0" collapsed="false">
      <c r="A1051" s="4" t="s">
        <v>517</v>
      </c>
      <c r="C1051" s="23" t="n">
        <f aca="false">MIN(D1046:M1046)</f>
        <v>8</v>
      </c>
    </row>
    <row r="1052" customFormat="false" ht="15" hidden="false" customHeight="false" outlineLevel="0" collapsed="false">
      <c r="A1052" s="9" t="s">
        <v>518</v>
      </c>
      <c r="C1052" s="46" t="n">
        <f aca="false">MIN(D1047:M1047)</f>
        <v>4</v>
      </c>
    </row>
    <row r="1053" customFormat="false" ht="15" hidden="false" customHeight="false" outlineLevel="0" collapsed="false">
      <c r="A1053" s="4" t="s">
        <v>519</v>
      </c>
      <c r="C1053" s="23" t="n">
        <f aca="false">MIN(D1048:M1048)</f>
        <v>9</v>
      </c>
    </row>
    <row r="1054" customFormat="false" ht="15" hidden="false" customHeight="false" outlineLevel="0" collapsed="false">
      <c r="A1054" s="9" t="s">
        <v>520</v>
      </c>
      <c r="C1054" s="46" t="n">
        <f aca="false">MIN(D1049:M1049)</f>
        <v>4</v>
      </c>
    </row>
    <row r="1055" customFormat="false" ht="15" hidden="false" customHeight="false" outlineLevel="0" collapsed="false">
      <c r="A1055" s="9" t="s">
        <v>521</v>
      </c>
      <c r="C1055" s="46" t="n">
        <f aca="false">MIN(D1050:M1050)</f>
        <v>99</v>
      </c>
    </row>
    <row r="1056" customFormat="false" ht="15" hidden="false" customHeight="false" outlineLevel="0" collapsed="false">
      <c r="A1056" s="4" t="s">
        <v>522</v>
      </c>
      <c r="C1056" s="15" t="n">
        <f aca="false">M1044</f>
        <v>-4551.5800674048</v>
      </c>
    </row>
    <row r="1057" customFormat="false" ht="15" hidden="false" customHeight="false" outlineLevel="0" collapsed="false">
      <c r="A1057" s="9" t="s">
        <v>523</v>
      </c>
      <c r="C1057" s="36" t="n">
        <f aca="false">SUMPRODUCT(D1012:M1012,D1045:M1045)</f>
        <v>208.806860496414</v>
      </c>
    </row>
    <row r="1058" customFormat="false" ht="15" hidden="false" customHeight="false" outlineLevel="0" collapsed="false">
      <c r="A1058" s="9" t="s">
        <v>524</v>
      </c>
      <c r="C1058" s="36" t="n">
        <f aca="false">M1012*(1+a_tg)/(Scenarios!$I$43-a_tg)</f>
        <v>1750.616727552</v>
      </c>
    </row>
    <row r="1059" customFormat="false" ht="15" hidden="false" customHeight="false" outlineLevel="0" collapsed="false">
      <c r="A1059" s="9" t="s">
        <v>314</v>
      </c>
      <c r="C1059" s="36" t="n">
        <f aca="false">C1058*M1045</f>
        <v>515.711289971507</v>
      </c>
    </row>
    <row r="1060" customFormat="false" ht="15" hidden="false" customHeight="false" outlineLevel="0" collapsed="false">
      <c r="A1060" s="4" t="s">
        <v>525</v>
      </c>
      <c r="C1060" s="15" t="n">
        <f aca="false">C1057+C1059</f>
        <v>724.518150467921</v>
      </c>
    </row>
    <row r="1061" customFormat="false" ht="15" hidden="false" customHeight="false" outlineLevel="0" collapsed="false">
      <c r="A1061" s="9" t="s">
        <v>526</v>
      </c>
      <c r="C1061" s="32" t="n">
        <f aca="false">SUMPRODUCT(D1022:M1022,D1045:M1045)-a_recovery*M1024*M1045</f>
        <v>0</v>
      </c>
    </row>
    <row r="1062" customFormat="false" ht="15" hidden="false" customHeight="false" outlineLevel="0" collapsed="false">
      <c r="A1062" s="9" t="s">
        <v>527</v>
      </c>
      <c r="C1062" s="36" t="n">
        <f aca="false">SUMPRODUCT(D1021:M1021,D1045:M1045)*(1-a_tax)</f>
        <v>0</v>
      </c>
    </row>
    <row r="1063" customFormat="false" ht="15" hidden="false" customHeight="false" outlineLevel="0" collapsed="false">
      <c r="A1063" s="9" t="s">
        <v>528</v>
      </c>
      <c r="C1063" s="36" t="n">
        <f aca="false">C1020*D1045</f>
        <v>141.592920353982</v>
      </c>
    </row>
    <row r="1064" customFormat="false" ht="15" hidden="false" customHeight="false" outlineLevel="0" collapsed="false">
      <c r="A1064" s="4" t="s">
        <v>529</v>
      </c>
      <c r="C1064" s="20" t="n">
        <f aca="false">C1060+C1062-C1061-C1063-lv_price</f>
        <v>-3417.07476988606</v>
      </c>
    </row>
    <row r="1065" customFormat="false" ht="15" hidden="false" customHeight="false" outlineLevel="0" collapsed="false">
      <c r="A1065" s="9" t="s">
        <v>530</v>
      </c>
      <c r="C1065" s="32" t="n">
        <f aca="false">C1064+SUMPRODUCT(D1041:M1041,D1045:M1045)</f>
        <v>-3042.66397004531</v>
      </c>
    </row>
    <row r="1066" customFormat="false" ht="15" hidden="false" customHeight="false" outlineLevel="0" collapsed="false">
      <c r="A1066" s="4" t="s">
        <v>531</v>
      </c>
      <c r="C1066" s="59" t="n">
        <f aca="false">lv_price/D1002</f>
        <v>24.2424242424242</v>
      </c>
    </row>
    <row r="1067" customFormat="false" ht="15" hidden="false" customHeight="false" outlineLevel="0" collapsed="false">
      <c r="A1067" s="9" t="s">
        <v>532</v>
      </c>
      <c r="C1067" s="17" t="n">
        <f aca="false">(lv_price+C1061)/D1002</f>
        <v>24.2424242424242</v>
      </c>
    </row>
    <row r="1068" customFormat="false" ht="15" hidden="false" customHeight="false" outlineLevel="0" collapsed="false">
      <c r="A1068" s="4" t="s">
        <v>533</v>
      </c>
      <c r="C1068" s="15" t="n">
        <f aca="false">(C1064+C1061)/SUMPRODUCT(D1045:M1045)</f>
        <v>-629.731191574665</v>
      </c>
    </row>
    <row r="1069" customFormat="false" ht="15" hidden="false" customHeight="false" outlineLevel="0" collapsed="false">
      <c r="A1069" s="4" t="s">
        <v>534</v>
      </c>
      <c r="C1069" s="25" t="n">
        <f aca="false">D1032</f>
        <v>5.25613619586614</v>
      </c>
    </row>
    <row r="1070" customFormat="false" ht="15" hidden="false" customHeight="false" outlineLevel="0" collapsed="false">
      <c r="A1070" s="9" t="s">
        <v>535</v>
      </c>
      <c r="C1070" s="50" t="n">
        <f aca="false">F1032</f>
        <v>6.25744340551181</v>
      </c>
    </row>
    <row r="1071" customFormat="false" ht="15" hidden="false" customHeight="false" outlineLevel="0" collapsed="false">
      <c r="A1071" s="4" t="s">
        <v>536</v>
      </c>
      <c r="C1071" s="20" t="n">
        <f aca="false">D1040</f>
        <v>-295.475</v>
      </c>
    </row>
    <row r="1072" customFormat="false" ht="15" hidden="false" customHeight="false" outlineLevel="0" collapsed="false">
      <c r="A1072" s="9" t="s">
        <v>537</v>
      </c>
      <c r="C1072" s="32" t="n">
        <f aca="false">cf_cash-lv_mix_cash-C1020</f>
        <v>6640</v>
      </c>
    </row>
    <row r="1073" customFormat="false" ht="15" hidden="false" customHeight="false" outlineLevel="0" collapsed="false">
      <c r="A1073" s="9" t="s">
        <v>538</v>
      </c>
      <c r="C1073" s="32" t="n">
        <f aca="false">cf_debt+lv_mix_debt</f>
        <v>350</v>
      </c>
    </row>
    <row r="1074" customFormat="false" ht="15" hidden="false" customHeight="false" outlineLevel="0" collapsed="false">
      <c r="A1074" s="9" t="s">
        <v>539</v>
      </c>
      <c r="C1074" s="34" t="n">
        <f aca="false">C1073/cf_ebitda</f>
        <v>0.546875</v>
      </c>
    </row>
    <row r="1075" customFormat="false" ht="15" hidden="false" customHeight="false" outlineLevel="0" collapsed="false">
      <c r="A1075" s="9" t="s">
        <v>540</v>
      </c>
      <c r="C1075" s="32" t="n">
        <f aca="false">C1072+SUM(D1043:F1043)+3*cf_pat</f>
        <v>7623.674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0000"/>
    <pageSetUpPr fitToPage="false"/>
  </sheetPr>
  <dimension ref="A1:C3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70"/>
    <col collapsed="false" customWidth="true" hidden="false" outlineLevel="0" max="2" min="2" style="0" width="18"/>
    <col collapsed="false" customWidth="true" hidden="false" outlineLevel="0" max="3" min="3" style="0" width="70"/>
  </cols>
  <sheetData>
    <row r="1" customFormat="false" ht="18" hidden="false" customHeight="true" outlineLevel="0" collapsed="false">
      <c r="A1" s="6" t="s">
        <v>890</v>
      </c>
      <c r="B1" s="2"/>
      <c r="C1" s="2"/>
    </row>
    <row r="2" customFormat="false" ht="15" hidden="false" customHeight="false" outlineLevel="0" collapsed="false">
      <c r="A2" s="3" t="s">
        <v>891</v>
      </c>
    </row>
    <row r="4" customFormat="false" ht="15" hidden="false" customHeight="false" outlineLevel="0" collapsed="false">
      <c r="A4" s="7" t="s">
        <v>892</v>
      </c>
      <c r="B4" s="8"/>
      <c r="C4" s="8"/>
    </row>
    <row r="5" customFormat="false" ht="30" hidden="false" customHeight="true" outlineLevel="0" collapsed="false">
      <c r="A5" s="4" t="s">
        <v>893</v>
      </c>
      <c r="B5" s="20" t="n">
        <f aca="false">dcf_ev</f>
        <v>1218.80426198761</v>
      </c>
      <c r="C5" s="5" t="s">
        <v>894</v>
      </c>
    </row>
    <row r="6" customFormat="false" ht="30" hidden="false" customHeight="true" outlineLevel="0" collapsed="false">
      <c r="A6" s="4" t="s">
        <v>895</v>
      </c>
      <c r="B6" s="22" t="n">
        <f aca="false">dcf_be_growth</f>
        <v>0.368431085656486</v>
      </c>
      <c r="C6" s="5" t="s">
        <v>896</v>
      </c>
    </row>
    <row r="7" customFormat="false" ht="30" hidden="false" customHeight="true" outlineLevel="0" collapsed="false">
      <c r="A7" s="4" t="s">
        <v>897</v>
      </c>
      <c r="B7" s="20" t="n">
        <f aca="false">lv_price+e_npv</f>
        <v>-3486.75737685072</v>
      </c>
      <c r="C7" s="5" t="s">
        <v>898</v>
      </c>
    </row>
    <row r="8" customFormat="false" ht="30" hidden="false" customHeight="true" outlineLevel="0" collapsed="false">
      <c r="A8" s="4" t="s">
        <v>899</v>
      </c>
      <c r="B8" s="20" t="n">
        <f aca="false">lv_price+e_npv+e_pv_drag</f>
        <v>582.92523011394</v>
      </c>
      <c r="C8" s="5" t="s">
        <v>900</v>
      </c>
    </row>
    <row r="9" customFormat="false" ht="30" hidden="false" customHeight="true" outlineLevel="0" collapsed="false">
      <c r="A9" s="4" t="s">
        <v>901</v>
      </c>
      <c r="B9" s="20" t="n">
        <f aca="false">lv_price-(lv_price+e_npv)</f>
        <v>7486.75737685072</v>
      </c>
      <c r="C9" s="5" t="s">
        <v>902</v>
      </c>
    </row>
    <row r="10" customFormat="false" ht="30" hidden="false" customHeight="true" outlineLevel="0" collapsed="false">
      <c r="A10" s="4" t="s">
        <v>903</v>
      </c>
      <c r="B10" s="20" t="n">
        <f aca="false">lv_stake*dcf_ev</f>
        <v>316.889108116779</v>
      </c>
      <c r="C10" s="5" t="s">
        <v>904</v>
      </c>
    </row>
    <row r="11" customFormat="false" ht="30" hidden="false" customHeight="true" outlineLevel="0" collapsed="false">
      <c r="A11" s="4" t="s">
        <v>905</v>
      </c>
      <c r="B11" s="20" t="n">
        <f aca="false">lv_stake*DCF!D57</f>
        <v>151.100540267178</v>
      </c>
      <c r="C11" s="5" t="s">
        <v>906</v>
      </c>
    </row>
    <row r="12" customFormat="false" ht="30" hidden="false" customHeight="true" outlineLevel="0" collapsed="false">
      <c r="A12" s="4" t="s">
        <v>907</v>
      </c>
      <c r="B12" s="20" t="n">
        <f aca="false">lv_stake*DCF!F57</f>
        <v>316.889108116779</v>
      </c>
      <c r="C12" s="5" t="s">
        <v>908</v>
      </c>
    </row>
    <row r="13" customFormat="false" ht="30" hidden="false" customHeight="true" outlineLevel="0" collapsed="false">
      <c r="A13" s="4" t="s">
        <v>909</v>
      </c>
      <c r="B13" s="20" t="n">
        <f aca="false">lv_stake*DCF!H57</f>
        <v>644.695543292145</v>
      </c>
      <c r="C13" s="5" t="s">
        <v>910</v>
      </c>
    </row>
    <row r="14" customFormat="false" ht="30" hidden="false" customHeight="true" outlineLevel="0" collapsed="false">
      <c r="A14" s="4" t="s">
        <v>911</v>
      </c>
      <c r="B14" s="20" t="n">
        <f aca="false">lv_min_price-th_min_val_base</f>
        <v>333.110891883221</v>
      </c>
      <c r="C14" s="5" t="s">
        <v>912</v>
      </c>
    </row>
    <row r="15" customFormat="false" ht="15" hidden="false" customHeight="false" outlineLevel="0" collapsed="false">
      <c r="A15" s="7" t="s">
        <v>913</v>
      </c>
      <c r="B15" s="8"/>
      <c r="C15" s="8"/>
    </row>
    <row r="16" customFormat="false" ht="30" hidden="false" customHeight="true" outlineLevel="0" collapsed="false">
      <c r="A16" s="4" t="s">
        <v>914</v>
      </c>
      <c r="B16" s="22" t="str">
        <f aca="false">ch_max_churn</f>
        <v>none: NPV&lt;0 even at 0% churn</v>
      </c>
      <c r="C16" s="5" t="s">
        <v>915</v>
      </c>
    </row>
    <row r="17" customFormat="false" ht="30" hidden="false" customHeight="true" outlineLevel="0" collapsed="false">
      <c r="A17" s="4" t="s">
        <v>916</v>
      </c>
      <c r="B17" s="22" t="str">
        <f aca="false">ch_max_churn_nodrag</f>
        <v>none: NPV&lt;0 even at 0% churn</v>
      </c>
      <c r="C17" s="5" t="s">
        <v>917</v>
      </c>
    </row>
    <row r="18" customFormat="false" ht="30" hidden="false" customHeight="true" outlineLevel="0" collapsed="false">
      <c r="A18" s="4" t="s">
        <v>918</v>
      </c>
      <c r="B18" s="22" t="n">
        <f aca="false">1-a_ctrl_churn</f>
        <v>0.8</v>
      </c>
      <c r="C18" s="5" t="s">
        <v>919</v>
      </c>
    </row>
    <row r="19" customFormat="false" ht="30" hidden="false" customHeight="true" outlineLevel="0" collapsed="false">
      <c r="A19" s="4" t="s">
        <v>920</v>
      </c>
      <c r="B19" s="22" t="n">
        <f aca="false">a_eo_floor</f>
        <v>0.55</v>
      </c>
      <c r="C19" s="5" t="s">
        <v>921</v>
      </c>
    </row>
    <row r="20" customFormat="false" ht="15" hidden="false" customHeight="false" outlineLevel="0" collapsed="false">
      <c r="A20" s="7" t="s">
        <v>922</v>
      </c>
      <c r="B20" s="8"/>
      <c r="C20" s="8"/>
    </row>
    <row r="21" customFormat="false" ht="30" hidden="false" customHeight="true" outlineLevel="0" collapsed="false">
      <c r="A21" s="4" t="s">
        <v>923</v>
      </c>
      <c r="B21" s="20" t="n">
        <f aca="false">cd_max_drag</f>
        <v>-629.731191574665</v>
      </c>
      <c r="C21" s="5" t="s">
        <v>924</v>
      </c>
    </row>
    <row r="22" customFormat="false" ht="30" hidden="false" customHeight="true" outlineLevel="0" collapsed="false">
      <c r="A22" s="4" t="s">
        <v>925</v>
      </c>
      <c r="B22" s="20" t="n">
        <f aca="false">cd_max_drag_gate</f>
        <v>-40.89744</v>
      </c>
      <c r="C22" s="5" t="s">
        <v>926</v>
      </c>
    </row>
    <row r="23" customFormat="false" ht="30" hidden="false" customHeight="true" outlineLevel="0" collapsed="false">
      <c r="A23" s="4" t="s">
        <v>927</v>
      </c>
      <c r="B23" s="74" t="n">
        <f aca="false">(e_cash_after-a_min_cash)/lv_drag</f>
        <v>2.18666666666667</v>
      </c>
      <c r="C23" s="5" t="s">
        <v>928</v>
      </c>
    </row>
    <row r="24" customFormat="false" ht="15" hidden="false" customHeight="false" outlineLevel="0" collapsed="false">
      <c r="A24" s="7" t="s">
        <v>929</v>
      </c>
      <c r="B24" s="8"/>
      <c r="C24" s="8"/>
    </row>
    <row r="25" customFormat="false" ht="30" hidden="false" customHeight="true" outlineLevel="0" collapsed="false">
      <c r="A25" s="4" t="s">
        <v>930</v>
      </c>
      <c r="B25" s="20" t="n">
        <f aca="false">a_max_lev*cf_ebitda-cf_debt</f>
        <v>610</v>
      </c>
      <c r="C25" s="5" t="s">
        <v>931</v>
      </c>
    </row>
    <row r="26" customFormat="false" ht="30" hidden="false" customHeight="true" outlineLevel="0" collapsed="false">
      <c r="A26" s="4" t="s">
        <v>932</v>
      </c>
      <c r="B26" s="20" t="n">
        <f aca="false">cf_cash-a_min_cash-lv_price*a_fees_pct-a_integ_full</f>
        <v>3740</v>
      </c>
      <c r="C26" s="5" t="s">
        <v>933</v>
      </c>
    </row>
    <row r="27" customFormat="false" ht="30" hidden="false" customHeight="true" outlineLevel="0" collapsed="false">
      <c r="A27" s="4" t="s">
        <v>934</v>
      </c>
      <c r="B27" s="22" t="n">
        <f aca="false">e_eps_y1/cf_eps-1</f>
        <v>-0.299181840551181</v>
      </c>
      <c r="C27" s="5" t="s">
        <v>935</v>
      </c>
    </row>
    <row r="28" customFormat="false" ht="30" hidden="false" customHeight="true" outlineLevel="0" collapsed="false">
      <c r="A28" s="4" t="s">
        <v>936</v>
      </c>
      <c r="B28" s="22" t="n">
        <f aca="false">Deal_CF!D41</f>
        <v>-0.263559012090702</v>
      </c>
      <c r="C28" s="5" t="s">
        <v>937</v>
      </c>
    </row>
    <row r="29" customFormat="false" ht="15" hidden="false" customHeight="false" outlineLevel="0" collapsed="false">
      <c r="A29" s="7" t="s">
        <v>938</v>
      </c>
      <c r="B29" s="8"/>
      <c r="C29" s="8"/>
    </row>
    <row r="30" customFormat="false" ht="30" hidden="false" customHeight="true" outlineLevel="0" collapsed="false">
      <c r="A30" s="4" t="s">
        <v>939</v>
      </c>
      <c r="B30" s="23" t="n">
        <f aca="false">Structures!C114</f>
        <v>0</v>
      </c>
      <c r="C30" s="5" t="s">
        <v>940</v>
      </c>
    </row>
    <row r="31" customFormat="false" ht="30" hidden="false" customHeight="true" outlineLevel="0" collapsed="false">
      <c r="A31" s="4" t="s">
        <v>941</v>
      </c>
      <c r="B31" s="20" t="n">
        <f aca="false">Structures!C115</f>
        <v>-1187.33958986171</v>
      </c>
      <c r="C31" s="5" t="s">
        <v>942</v>
      </c>
    </row>
    <row r="32" customFormat="false" ht="30" hidden="false" customHeight="true" outlineLevel="0" collapsed="false">
      <c r="A32" s="4" t="s">
        <v>943</v>
      </c>
      <c r="B32" s="20" t="n">
        <f aca="false">Structures!C60</f>
        <v>-348.110891883221</v>
      </c>
      <c r="C32" s="5" t="s">
        <v>944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48235"/>
    <pageSetUpPr fitToPage="false"/>
  </sheetPr>
  <dimension ref="A1:J2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44"/>
    <col collapsed="false" customWidth="true" hidden="false" outlineLevel="0" max="7" min="2" style="0" width="12"/>
    <col collapsed="false" customWidth="true" hidden="false" outlineLevel="0" max="9" min="8" style="0" width="30"/>
    <col collapsed="false" customWidth="true" hidden="false" outlineLevel="0" max="10" min="10" style="0" width="14"/>
  </cols>
  <sheetData>
    <row r="1" customFormat="false" ht="18" hidden="false" customHeight="true" outlineLevel="0" collapsed="false">
      <c r="A1" s="6" t="s">
        <v>945</v>
      </c>
      <c r="B1" s="2"/>
      <c r="C1" s="2"/>
      <c r="D1" s="2"/>
      <c r="E1" s="2"/>
      <c r="F1" s="2"/>
      <c r="G1" s="2"/>
      <c r="H1" s="2"/>
      <c r="I1" s="2"/>
      <c r="J1" s="2"/>
    </row>
    <row r="2" customFormat="false" ht="15" hidden="false" customHeight="false" outlineLevel="0" collapsed="false">
      <c r="A2" s="3" t="s">
        <v>946</v>
      </c>
    </row>
    <row r="4" customFormat="false" ht="39.75" hidden="false" customHeight="true" outlineLevel="0" collapsed="false">
      <c r="A4" s="19" t="s">
        <v>947</v>
      </c>
      <c r="B4" s="19" t="s">
        <v>948</v>
      </c>
      <c r="C4" s="19" t="s">
        <v>949</v>
      </c>
      <c r="D4" s="19" t="s">
        <v>950</v>
      </c>
      <c r="E4" s="19" t="s">
        <v>951</v>
      </c>
      <c r="F4" s="19" t="s">
        <v>952</v>
      </c>
      <c r="G4" s="19" t="s">
        <v>953</v>
      </c>
      <c r="H4" s="19" t="s">
        <v>954</v>
      </c>
      <c r="I4" s="19" t="s">
        <v>955</v>
      </c>
      <c r="J4" s="19" t="s">
        <v>956</v>
      </c>
    </row>
    <row r="5" customFormat="false" ht="48" hidden="false" customHeight="true" outlineLevel="0" collapsed="false">
      <c r="A5" s="5" t="s">
        <v>957</v>
      </c>
      <c r="B5" s="47" t="n">
        <f aca="false">a_syn_partner_rev_y3</f>
        <v>30</v>
      </c>
      <c r="C5" s="5" t="s">
        <v>696</v>
      </c>
      <c r="D5" s="5" t="s">
        <v>958</v>
      </c>
      <c r="E5" s="5" t="s">
        <v>959</v>
      </c>
      <c r="F5" s="5" t="s">
        <v>960</v>
      </c>
      <c r="G5" s="5" t="s">
        <v>961</v>
      </c>
      <c r="H5" s="5" t="s">
        <v>962</v>
      </c>
      <c r="I5" s="5" t="s">
        <v>963</v>
      </c>
      <c r="J5" s="5" t="s">
        <v>964</v>
      </c>
    </row>
    <row r="6" customFormat="false" ht="48" hidden="false" customHeight="true" outlineLevel="0" collapsed="false">
      <c r="A6" s="5" t="s">
        <v>965</v>
      </c>
      <c r="B6" s="47" t="n">
        <f aca="false">a_syn_xsell_y3</f>
        <v>20</v>
      </c>
      <c r="C6" s="5" t="s">
        <v>966</v>
      </c>
      <c r="D6" s="5" t="s">
        <v>967</v>
      </c>
      <c r="E6" s="5" t="s">
        <v>968</v>
      </c>
      <c r="F6" s="5" t="s">
        <v>969</v>
      </c>
      <c r="G6" s="5" t="s">
        <v>970</v>
      </c>
      <c r="H6" s="5" t="s">
        <v>971</v>
      </c>
      <c r="I6" s="5" t="s">
        <v>972</v>
      </c>
      <c r="J6" s="5" t="s">
        <v>973</v>
      </c>
    </row>
    <row r="7" customFormat="false" ht="48" hidden="false" customHeight="true" outlineLevel="0" collapsed="false">
      <c r="A7" s="5" t="s">
        <v>974</v>
      </c>
      <c r="B7" s="47" t="n">
        <f aca="false">0</f>
        <v>0</v>
      </c>
      <c r="C7" s="5" t="s">
        <v>700</v>
      </c>
      <c r="D7" s="5" t="s">
        <v>975</v>
      </c>
      <c r="E7" s="5" t="s">
        <v>63</v>
      </c>
      <c r="F7" s="5" t="s">
        <v>700</v>
      </c>
      <c r="G7" s="5" t="s">
        <v>976</v>
      </c>
      <c r="H7" s="5" t="s">
        <v>977</v>
      </c>
      <c r="I7" s="5" t="s">
        <v>978</v>
      </c>
      <c r="J7" s="5" t="s">
        <v>976</v>
      </c>
    </row>
    <row r="8" customFormat="false" ht="48" hidden="false" customHeight="true" outlineLevel="0" collapsed="false">
      <c r="A8" s="5" t="s">
        <v>979</v>
      </c>
      <c r="B8" s="47" t="n">
        <f aca="false">0</f>
        <v>0</v>
      </c>
      <c r="C8" s="5" t="s">
        <v>980</v>
      </c>
      <c r="D8" s="5" t="s">
        <v>981</v>
      </c>
      <c r="E8" s="5" t="s">
        <v>700</v>
      </c>
      <c r="F8" s="5" t="s">
        <v>700</v>
      </c>
      <c r="G8" s="5" t="s">
        <v>982</v>
      </c>
      <c r="H8" s="5" t="s">
        <v>983</v>
      </c>
      <c r="I8" s="5" t="s">
        <v>984</v>
      </c>
      <c r="J8" s="5" t="s">
        <v>985</v>
      </c>
    </row>
    <row r="9" customFormat="false" ht="48" hidden="false" customHeight="true" outlineLevel="0" collapsed="false">
      <c r="A9" s="5" t="s">
        <v>986</v>
      </c>
      <c r="B9" s="47" t="n">
        <f aca="false">0</f>
        <v>0</v>
      </c>
      <c r="C9" s="5" t="s">
        <v>980</v>
      </c>
      <c r="D9" s="5" t="s">
        <v>981</v>
      </c>
      <c r="E9" s="5" t="s">
        <v>700</v>
      </c>
      <c r="F9" s="5" t="s">
        <v>700</v>
      </c>
      <c r="G9" s="5" t="s">
        <v>982</v>
      </c>
      <c r="H9" s="5" t="s">
        <v>987</v>
      </c>
      <c r="I9" s="5" t="s">
        <v>988</v>
      </c>
      <c r="J9" s="5" t="s">
        <v>989</v>
      </c>
    </row>
    <row r="10" customFormat="false" ht="48" hidden="false" customHeight="true" outlineLevel="0" collapsed="false">
      <c r="A10" s="5" t="s">
        <v>990</v>
      </c>
      <c r="B10" s="47" t="n">
        <f aca="false">a_syn_cost</f>
        <v>0</v>
      </c>
      <c r="C10" s="5" t="s">
        <v>991</v>
      </c>
      <c r="D10" s="5" t="s">
        <v>696</v>
      </c>
      <c r="E10" s="5" t="s">
        <v>696</v>
      </c>
      <c r="F10" s="5" t="s">
        <v>696</v>
      </c>
      <c r="G10" s="5" t="s">
        <v>992</v>
      </c>
      <c r="H10" s="5" t="s">
        <v>993</v>
      </c>
      <c r="I10" s="5" t="s">
        <v>994</v>
      </c>
      <c r="J10" s="5" t="s">
        <v>976</v>
      </c>
    </row>
    <row r="11" customFormat="false" ht="48" hidden="false" customHeight="true" outlineLevel="0" collapsed="false">
      <c r="A11" s="5" t="s">
        <v>995</v>
      </c>
      <c r="B11" s="47" t="n">
        <f aca="false">0</f>
        <v>0</v>
      </c>
      <c r="C11" s="5" t="s">
        <v>975</v>
      </c>
      <c r="D11" s="5" t="s">
        <v>975</v>
      </c>
      <c r="E11" s="5" t="s">
        <v>696</v>
      </c>
      <c r="F11" s="5" t="s">
        <v>696</v>
      </c>
      <c r="G11" s="5" t="s">
        <v>996</v>
      </c>
      <c r="H11" s="5" t="s">
        <v>997</v>
      </c>
      <c r="I11" s="5" t="s">
        <v>998</v>
      </c>
      <c r="J11" s="5" t="s">
        <v>976</v>
      </c>
    </row>
    <row r="12" customFormat="false" ht="48" hidden="false" customHeight="true" outlineLevel="0" collapsed="false">
      <c r="A12" s="5" t="s">
        <v>999</v>
      </c>
      <c r="B12" s="5" t="s">
        <v>1000</v>
      </c>
      <c r="C12" s="5" t="s">
        <v>1001</v>
      </c>
      <c r="D12" s="5" t="s">
        <v>696</v>
      </c>
      <c r="E12" s="5" t="s">
        <v>1002</v>
      </c>
      <c r="F12" s="5" t="s">
        <v>700</v>
      </c>
      <c r="G12" s="5" t="s">
        <v>1003</v>
      </c>
      <c r="H12" s="5" t="s">
        <v>1004</v>
      </c>
      <c r="I12" s="5" t="s">
        <v>1005</v>
      </c>
      <c r="J12" s="5" t="s">
        <v>1006</v>
      </c>
    </row>
    <row r="14" customFormat="false" ht="15" hidden="false" customHeight="false" outlineLevel="0" collapsed="false">
      <c r="A14" s="7" t="s">
        <v>1007</v>
      </c>
      <c r="B14" s="8"/>
      <c r="C14" s="8"/>
      <c r="D14" s="8"/>
      <c r="E14" s="8"/>
      <c r="F14" s="8"/>
      <c r="G14" s="8"/>
      <c r="H14" s="8"/>
      <c r="I14" s="8"/>
      <c r="J14" s="8"/>
    </row>
    <row r="15" customFormat="false" ht="15" hidden="false" customHeight="false" outlineLevel="0" collapsed="false">
      <c r="A15" s="9" t="s">
        <v>1008</v>
      </c>
      <c r="B15" s="32" t="n">
        <f aca="false">a_syn_partner_rev_y3+a_syn_xsell_y3</f>
        <v>50</v>
      </c>
    </row>
    <row r="16" customFormat="false" ht="15" hidden="false" customHeight="false" outlineLevel="0" collapsed="false">
      <c r="A16" s="9" t="s">
        <v>1009</v>
      </c>
      <c r="B16" s="36" t="n">
        <f aca="false">B15*a_mcap*(1-a_tax)+a_syn_cost*(1-a_tax)</f>
        <v>9.375</v>
      </c>
    </row>
    <row r="17" customFormat="false" ht="15" hidden="false" customHeight="false" outlineLevel="0" collapsed="false">
      <c r="A17" s="9" t="s">
        <v>1010</v>
      </c>
      <c r="B17" s="47" t="n">
        <f aca="false">e_pv_syn</f>
        <v>0</v>
      </c>
    </row>
    <row r="18" customFormat="false" ht="15" hidden="false" customHeight="false" outlineLevel="0" collapsed="false">
      <c r="A18" s="9" t="s">
        <v>1011</v>
      </c>
      <c r="B18" s="32" t="n">
        <f aca="false">B16/(lv_wacc-a_tg)</f>
        <v>117.1875</v>
      </c>
    </row>
    <row r="19" customFormat="false" ht="15" hidden="false" customHeight="false" outlineLevel="0" collapsed="false">
      <c r="A19" s="9" t="s">
        <v>1012</v>
      </c>
      <c r="B19" s="47" t="n">
        <f aca="false">e_npv</f>
        <v>-7486.75737685072</v>
      </c>
    </row>
    <row r="20" customFormat="false" ht="15" hidden="false" customHeight="false" outlineLevel="0" collapsed="false">
      <c r="A20" s="4" t="s">
        <v>1013</v>
      </c>
      <c r="B20" s="20" t="n">
        <f aca="false">MAX(0,-B19)*(lv_wacc-a_tg)</f>
        <v>598.940590148058</v>
      </c>
    </row>
    <row r="21" customFormat="false" ht="15" hidden="false" customHeight="false" outlineLevel="0" collapsed="false">
      <c r="A21" s="4" t="s">
        <v>1014</v>
      </c>
      <c r="B21" s="22" t="n">
        <f aca="false">B20/cf_arr</f>
        <v>2.72245722794572</v>
      </c>
    </row>
    <row r="22" customFormat="false" ht="15" hidden="false" customHeight="false" outlineLevel="0" collapsed="false">
      <c r="A22" s="9" t="s">
        <v>1015</v>
      </c>
      <c r="B22" s="17" t="n">
        <f aca="false">IF(B15&gt;0,B20/(B15*a_mcap*(1-a_tax)),"n/a")</f>
        <v>63.8869962824595</v>
      </c>
    </row>
    <row r="23" customFormat="false" ht="15" hidden="false" customHeight="false" outlineLevel="0" collapsed="false">
      <c r="A23" s="49" t="s">
        <v>1016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C000"/>
    <pageSetUpPr fitToPage="false"/>
  </sheetPr>
  <dimension ref="A1:M2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6"/>
    <col collapsed="false" customWidth="true" hidden="false" outlineLevel="0" max="4" min="2" style="0" width="14"/>
    <col collapsed="false" customWidth="true" hidden="false" outlineLevel="0" max="6" min="5" style="0" width="12"/>
    <col collapsed="false" customWidth="true" hidden="false" outlineLevel="0" max="9" min="7" style="0" width="10"/>
    <col collapsed="false" customWidth="true" hidden="false" outlineLevel="0" max="11" min="10" style="0" width="34"/>
    <col collapsed="false" customWidth="true" hidden="false" outlineLevel="0" max="12" min="12" style="0" width="40"/>
    <col collapsed="false" customWidth="true" hidden="false" outlineLevel="0" max="13" min="13" style="0" width="14"/>
  </cols>
  <sheetData>
    <row r="1" customFormat="false" ht="18" hidden="false" customHeight="true" outlineLevel="0" collapsed="false">
      <c r="A1" s="6" t="s">
        <v>1017</v>
      </c>
      <c r="B1" s="2"/>
      <c r="C1" s="2"/>
      <c r="D1" s="2"/>
      <c r="E1" s="2"/>
      <c r="F1" s="2"/>
      <c r="G1" s="2"/>
      <c r="H1" s="2"/>
      <c r="I1" s="2"/>
      <c r="J1" s="2"/>
      <c r="K1" s="2"/>
      <c r="L1" s="2"/>
      <c r="M1" s="2"/>
    </row>
    <row r="2" customFormat="false" ht="15" hidden="false" customHeight="false" outlineLevel="0" collapsed="false">
      <c r="A2" s="3" t="s">
        <v>1018</v>
      </c>
    </row>
    <row r="4" customFormat="false" ht="39.75" hidden="false" customHeight="true" outlineLevel="0" collapsed="false">
      <c r="A4" s="19" t="s">
        <v>1019</v>
      </c>
      <c r="B4" s="19" t="s">
        <v>1020</v>
      </c>
      <c r="C4" s="19" t="s">
        <v>1021</v>
      </c>
      <c r="D4" s="19" t="s">
        <v>1022</v>
      </c>
      <c r="E4" s="19" t="s">
        <v>1023</v>
      </c>
      <c r="F4" s="19" t="s">
        <v>1024</v>
      </c>
      <c r="G4" s="19" t="s">
        <v>1025</v>
      </c>
      <c r="H4" s="19" t="s">
        <v>1026</v>
      </c>
      <c r="I4" s="19" t="s">
        <v>1027</v>
      </c>
      <c r="J4" s="19" t="s">
        <v>1028</v>
      </c>
      <c r="K4" s="19" t="s">
        <v>1029</v>
      </c>
      <c r="L4" s="19" t="s">
        <v>1030</v>
      </c>
      <c r="M4" s="19" t="s">
        <v>1031</v>
      </c>
    </row>
    <row r="5" customFormat="false" ht="60" hidden="false" customHeight="true" outlineLevel="0" collapsed="false">
      <c r="A5" s="5" t="s">
        <v>1032</v>
      </c>
      <c r="B5" s="75" t="n">
        <v>0.95</v>
      </c>
      <c r="C5" s="76" t="s">
        <v>1033</v>
      </c>
      <c r="D5" s="76" t="s">
        <v>1034</v>
      </c>
      <c r="E5" s="77" t="n">
        <v>0.076</v>
      </c>
      <c r="F5" s="76" t="s">
        <v>1035</v>
      </c>
      <c r="G5" s="76" t="s">
        <v>1036</v>
      </c>
      <c r="H5" s="76" t="s">
        <v>1037</v>
      </c>
      <c r="I5" s="76" t="s">
        <v>1038</v>
      </c>
      <c r="J5" s="5" t="s">
        <v>1039</v>
      </c>
      <c r="K5" s="5" t="s">
        <v>1040</v>
      </c>
      <c r="L5" s="5" t="s">
        <v>1041</v>
      </c>
      <c r="M5" s="5" t="s">
        <v>1042</v>
      </c>
    </row>
    <row r="6" customFormat="false" ht="60" hidden="false" customHeight="true" outlineLevel="0" collapsed="false">
      <c r="A6" s="5" t="s">
        <v>1043</v>
      </c>
      <c r="B6" s="75" t="n">
        <v>53.05</v>
      </c>
      <c r="C6" s="75" t="n">
        <v>50.93</v>
      </c>
      <c r="D6" s="75" t="n">
        <v>6.04</v>
      </c>
      <c r="E6" s="77" t="n">
        <v>-0.19</v>
      </c>
      <c r="F6" s="76" t="s">
        <v>1044</v>
      </c>
      <c r="G6" s="78" t="n">
        <v>8.43</v>
      </c>
      <c r="H6" s="76" t="s">
        <v>1045</v>
      </c>
      <c r="I6" s="76" t="s">
        <v>1038</v>
      </c>
      <c r="J6" s="5" t="s">
        <v>1046</v>
      </c>
      <c r="K6" s="5" t="s">
        <v>1047</v>
      </c>
      <c r="L6" s="5" t="s">
        <v>1048</v>
      </c>
      <c r="M6" s="5" t="s">
        <v>1049</v>
      </c>
    </row>
    <row r="7" customFormat="false" ht="60" hidden="false" customHeight="true" outlineLevel="0" collapsed="false">
      <c r="A7" s="5" t="s">
        <v>1050</v>
      </c>
      <c r="B7" s="75" t="n">
        <v>24.01</v>
      </c>
      <c r="C7" s="75" t="n">
        <v>22.3</v>
      </c>
      <c r="D7" s="75" t="n">
        <v>2.91</v>
      </c>
      <c r="E7" s="77" t="n">
        <v>0.07</v>
      </c>
      <c r="F7" s="76" t="s">
        <v>1051</v>
      </c>
      <c r="G7" s="78" t="n">
        <v>7.68</v>
      </c>
      <c r="H7" s="78" t="n">
        <v>97.4</v>
      </c>
      <c r="I7" s="78" t="n">
        <v>52.5</v>
      </c>
      <c r="J7" s="5" t="s">
        <v>1052</v>
      </c>
      <c r="K7" s="5" t="s">
        <v>1053</v>
      </c>
      <c r="L7" s="5" t="s">
        <v>1054</v>
      </c>
      <c r="M7" s="5" t="s">
        <v>1055</v>
      </c>
    </row>
    <row r="8" customFormat="false" ht="60" hidden="false" customHeight="true" outlineLevel="0" collapsed="false">
      <c r="A8" s="5" t="s">
        <v>1056</v>
      </c>
      <c r="B8" s="75" t="n">
        <v>0.75</v>
      </c>
      <c r="C8" s="75" t="n">
        <v>1.06</v>
      </c>
      <c r="D8" s="75" t="n">
        <v>0.21</v>
      </c>
      <c r="E8" s="77" t="n">
        <v>0.37</v>
      </c>
      <c r="F8" s="76" t="s">
        <v>1057</v>
      </c>
      <c r="G8" s="78" t="n">
        <v>5.24</v>
      </c>
      <c r="H8" s="76" t="s">
        <v>1038</v>
      </c>
      <c r="I8" s="76" t="s">
        <v>1038</v>
      </c>
      <c r="J8" s="5" t="s">
        <v>1058</v>
      </c>
      <c r="K8" s="5" t="s">
        <v>1059</v>
      </c>
      <c r="L8" s="5" t="s">
        <v>1060</v>
      </c>
      <c r="M8" s="5" t="s">
        <v>1055</v>
      </c>
    </row>
    <row r="9" customFormat="false" ht="60" hidden="false" customHeight="true" outlineLevel="0" collapsed="false">
      <c r="A9" s="5" t="s">
        <v>1061</v>
      </c>
      <c r="B9" s="75" t="n">
        <v>6.07</v>
      </c>
      <c r="C9" s="75" t="n">
        <v>6.28</v>
      </c>
      <c r="D9" s="75" t="n">
        <v>0.3</v>
      </c>
      <c r="E9" s="77" t="n">
        <v>0.62</v>
      </c>
      <c r="F9" s="76" t="s">
        <v>1062</v>
      </c>
      <c r="G9" s="76" t="s">
        <v>1063</v>
      </c>
      <c r="H9" s="76" t="s">
        <v>1064</v>
      </c>
      <c r="I9" s="76" t="s">
        <v>1038</v>
      </c>
      <c r="J9" s="5" t="s">
        <v>1065</v>
      </c>
      <c r="K9" s="5" t="s">
        <v>1066</v>
      </c>
      <c r="L9" s="5" t="s">
        <v>1067</v>
      </c>
      <c r="M9" s="5" t="s">
        <v>1055</v>
      </c>
    </row>
    <row r="10" customFormat="false" ht="60" hidden="false" customHeight="true" outlineLevel="0" collapsed="false">
      <c r="A10" s="5" t="s">
        <v>1068</v>
      </c>
      <c r="B10" s="75" t="n">
        <v>111.71</v>
      </c>
      <c r="C10" s="75" t="n">
        <v>110.73</v>
      </c>
      <c r="D10" s="75" t="n">
        <v>4.93</v>
      </c>
      <c r="E10" s="77" t="n">
        <v>0.32</v>
      </c>
      <c r="F10" s="76" t="s">
        <v>1069</v>
      </c>
      <c r="G10" s="78" t="n">
        <v>22.45</v>
      </c>
      <c r="H10" s="76" t="s">
        <v>1070</v>
      </c>
      <c r="I10" s="78" t="n">
        <v>55</v>
      </c>
      <c r="J10" s="5" t="s">
        <v>1071</v>
      </c>
      <c r="K10" s="5" t="s">
        <v>1072</v>
      </c>
      <c r="L10" s="5" t="s">
        <v>1073</v>
      </c>
      <c r="M10" s="5" t="s">
        <v>1055</v>
      </c>
    </row>
    <row r="11" customFormat="false" ht="60" hidden="false" customHeight="true" outlineLevel="0" collapsed="false">
      <c r="A11" s="5" t="s">
        <v>1074</v>
      </c>
      <c r="B11" s="75" t="n">
        <v>4.68</v>
      </c>
      <c r="C11" s="75" t="n">
        <v>5.2</v>
      </c>
      <c r="D11" s="75" t="n">
        <v>0.89</v>
      </c>
      <c r="E11" s="77" t="n">
        <v>0.11</v>
      </c>
      <c r="F11" s="76" t="s">
        <v>1075</v>
      </c>
      <c r="G11" s="78" t="n">
        <v>5.81</v>
      </c>
      <c r="H11" s="78" t="n">
        <v>20.6</v>
      </c>
      <c r="I11" s="78" t="n">
        <v>29.7</v>
      </c>
      <c r="J11" s="5" t="s">
        <v>1076</v>
      </c>
      <c r="K11" s="5" t="s">
        <v>1077</v>
      </c>
      <c r="L11" s="5" t="s">
        <v>1078</v>
      </c>
      <c r="M11" s="5" t="s">
        <v>1055</v>
      </c>
    </row>
    <row r="12" customFormat="false" ht="60" hidden="false" customHeight="true" outlineLevel="0" collapsed="false">
      <c r="A12" s="5" t="s">
        <v>1079</v>
      </c>
      <c r="B12" s="75" t="n">
        <v>18.67</v>
      </c>
      <c r="C12" s="75" t="n">
        <v>26</v>
      </c>
      <c r="D12" s="75" t="n">
        <v>6.56</v>
      </c>
      <c r="E12" s="77" t="n">
        <v>0.1</v>
      </c>
      <c r="F12" s="76" t="s">
        <v>1080</v>
      </c>
      <c r="G12" s="78" t="n">
        <v>3.96</v>
      </c>
      <c r="H12" s="78" t="n">
        <v>12.3</v>
      </c>
      <c r="I12" s="78" t="n">
        <v>22.8</v>
      </c>
      <c r="J12" s="5" t="s">
        <v>1081</v>
      </c>
      <c r="K12" s="5" t="s">
        <v>1082</v>
      </c>
      <c r="L12" s="5" t="s">
        <v>1083</v>
      </c>
      <c r="M12" s="5" t="s">
        <v>1055</v>
      </c>
    </row>
    <row r="13" customFormat="false" ht="60" hidden="false" customHeight="true" outlineLevel="0" collapsed="false">
      <c r="A13" s="5" t="s">
        <v>1084</v>
      </c>
      <c r="B13" s="75" t="n">
        <v>18.67</v>
      </c>
      <c r="C13" s="75" t="n">
        <v>21.79</v>
      </c>
      <c r="D13" s="75" t="n">
        <v>7.48</v>
      </c>
      <c r="E13" s="77" t="n">
        <v>0.08</v>
      </c>
      <c r="F13" s="76" t="s">
        <v>1085</v>
      </c>
      <c r="G13" s="78" t="n">
        <v>2.89</v>
      </c>
      <c r="H13" s="78" t="n">
        <v>12</v>
      </c>
      <c r="I13" s="78" t="n">
        <v>17</v>
      </c>
      <c r="J13" s="5" t="s">
        <v>1086</v>
      </c>
      <c r="K13" s="5" t="s">
        <v>1087</v>
      </c>
      <c r="L13" s="5" t="s">
        <v>1088</v>
      </c>
      <c r="M13" s="5" t="s">
        <v>1055</v>
      </c>
    </row>
    <row r="14" customFormat="false" ht="60" hidden="false" customHeight="true" outlineLevel="0" collapsed="false">
      <c r="A14" s="5" t="s">
        <v>1089</v>
      </c>
      <c r="B14" s="75" t="n">
        <v>28.5</v>
      </c>
      <c r="C14" s="75" t="n">
        <v>16.51</v>
      </c>
      <c r="D14" s="75" t="n">
        <v>2.58</v>
      </c>
      <c r="E14" s="77" t="n">
        <v>0.19</v>
      </c>
      <c r="F14" s="76" t="s">
        <v>1090</v>
      </c>
      <c r="G14" s="78" t="n">
        <v>6.39</v>
      </c>
      <c r="H14" s="78" t="n">
        <v>12.2</v>
      </c>
      <c r="I14" s="78" t="n">
        <v>25.4</v>
      </c>
      <c r="J14" s="5" t="s">
        <v>1091</v>
      </c>
      <c r="K14" s="5" t="s">
        <v>1092</v>
      </c>
      <c r="L14" s="5" t="s">
        <v>1093</v>
      </c>
      <c r="M14" s="5" t="s">
        <v>1055</v>
      </c>
    </row>
    <row r="15" customFormat="false" ht="60" hidden="false" customHeight="true" outlineLevel="0" collapsed="false">
      <c r="A15" s="5" t="s">
        <v>1094</v>
      </c>
      <c r="B15" s="75" t="n">
        <v>1.65</v>
      </c>
      <c r="C15" s="75" t="n">
        <v>0.96</v>
      </c>
      <c r="D15" s="75" t="n">
        <v>0.68</v>
      </c>
      <c r="E15" s="77" t="n">
        <v>0.17</v>
      </c>
      <c r="F15" s="76" t="s">
        <v>1095</v>
      </c>
      <c r="G15" s="78" t="n">
        <v>1.42</v>
      </c>
      <c r="H15" s="76" t="s">
        <v>1038</v>
      </c>
      <c r="I15" s="76" t="s">
        <v>1038</v>
      </c>
      <c r="J15" s="5" t="s">
        <v>1096</v>
      </c>
      <c r="K15" s="5" t="s">
        <v>1097</v>
      </c>
      <c r="L15" s="5" t="s">
        <v>1098</v>
      </c>
      <c r="M15" s="5" t="s">
        <v>1055</v>
      </c>
    </row>
    <row r="16" customFormat="false" ht="60" hidden="false" customHeight="true" outlineLevel="0" collapsed="false">
      <c r="A16" s="5" t="s">
        <v>1099</v>
      </c>
      <c r="B16" s="76" t="s">
        <v>1100</v>
      </c>
      <c r="C16" s="76" t="s">
        <v>1101</v>
      </c>
      <c r="D16" s="76" t="s">
        <v>1102</v>
      </c>
      <c r="E16" s="77" t="n">
        <v>0.28</v>
      </c>
      <c r="F16" s="76" t="s">
        <v>1103</v>
      </c>
      <c r="G16" s="78" t="n">
        <v>11.35</v>
      </c>
      <c r="H16" s="78" t="n">
        <v>157.2</v>
      </c>
      <c r="I16" s="78" t="n">
        <v>180.3</v>
      </c>
      <c r="J16" s="5" t="s">
        <v>1104</v>
      </c>
      <c r="K16" s="5" t="s">
        <v>1105</v>
      </c>
      <c r="L16" s="5" t="s">
        <v>1106</v>
      </c>
      <c r="M16" s="5" t="s">
        <v>1055</v>
      </c>
    </row>
    <row r="17" customFormat="false" ht="60" hidden="false" customHeight="true" outlineLevel="0" collapsed="false">
      <c r="A17" s="5" t="s">
        <v>1107</v>
      </c>
      <c r="B17" s="76" t="s">
        <v>1108</v>
      </c>
      <c r="C17" s="76" t="s">
        <v>1070</v>
      </c>
      <c r="D17" s="76" t="s">
        <v>1109</v>
      </c>
      <c r="E17" s="76" t="s">
        <v>1110</v>
      </c>
      <c r="F17" s="76" t="s">
        <v>1111</v>
      </c>
      <c r="G17" s="76" t="s">
        <v>1112</v>
      </c>
      <c r="H17" s="76" t="s">
        <v>1038</v>
      </c>
      <c r="I17" s="76" t="s">
        <v>1113</v>
      </c>
      <c r="J17" s="5" t="s">
        <v>1114</v>
      </c>
      <c r="K17" s="5" t="s">
        <v>1115</v>
      </c>
      <c r="L17" s="5" t="s">
        <v>1116</v>
      </c>
      <c r="M17" s="5" t="s">
        <v>1055</v>
      </c>
    </row>
    <row r="19" customFormat="false" ht="15" hidden="false" customHeight="false" outlineLevel="0" collapsed="false">
      <c r="A19" s="4" t="s">
        <v>1117</v>
      </c>
      <c r="B19" s="17" t="n">
        <f aca="false">IFERROR(MEDIAN(G5:G17),"n/d")</f>
        <v>6.1</v>
      </c>
    </row>
    <row r="20" customFormat="false" ht="15" hidden="false" customHeight="false" outlineLevel="0" collapsed="false">
      <c r="A20" s="4" t="s">
        <v>1118</v>
      </c>
      <c r="B20" s="70" t="n">
        <f aca="false">c_mult</f>
        <v>18.1818181818182</v>
      </c>
    </row>
    <row r="21" customFormat="false" ht="15" hidden="false" customHeight="false" outlineLevel="0" collapsed="false">
      <c r="A21" s="4" t="s">
        <v>1119</v>
      </c>
      <c r="B21" s="32" t="n">
        <f aca="false">IFERROR(B19*cf_arr,"n/d")</f>
        <v>1342</v>
      </c>
    </row>
    <row r="22" customFormat="false" ht="15" hidden="false" customHeight="false" outlineLevel="0" collapsed="false">
      <c r="A22" s="49" t="s">
        <v>1120</v>
      </c>
    </row>
    <row r="23" customFormat="false" ht="15" hidden="false" customHeight="false" outlineLevel="0" collapsed="false">
      <c r="A23" s="49" t="s">
        <v>1121</v>
      </c>
    </row>
    <row r="24" customFormat="false" ht="15" hidden="false" customHeight="false" outlineLevel="0" collapsed="false">
      <c r="A24" s="49" t="s">
        <v>1122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C000"/>
    <pageSetUpPr fitToPage="false"/>
  </sheetPr>
  <dimension ref="A1:J2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34"/>
    <col collapsed="false" customWidth="true" hidden="false" outlineLevel="0" max="2" min="2" style="0" width="12"/>
    <col collapsed="false" customWidth="true" hidden="false" outlineLevel="0" max="4" min="3" style="0" width="14"/>
    <col collapsed="false" customWidth="true" hidden="false" outlineLevel="0" max="5" min="5" style="0" width="12"/>
    <col collapsed="false" customWidth="true" hidden="false" outlineLevel="0" max="6" min="6" style="0" width="30"/>
    <col collapsed="false" customWidth="true" hidden="false" outlineLevel="0" max="7" min="7" style="0" width="22"/>
    <col collapsed="false" customWidth="true" hidden="false" outlineLevel="0" max="8" min="8" style="0" width="30"/>
    <col collapsed="false" customWidth="true" hidden="false" outlineLevel="0" max="9" min="9" style="0" width="40"/>
    <col collapsed="false" customWidth="true" hidden="false" outlineLevel="0" max="10" min="10" style="0" width="12"/>
  </cols>
  <sheetData>
    <row r="1" customFormat="false" ht="18" hidden="false" customHeight="true" outlineLevel="0" collapsed="false">
      <c r="A1" s="6" t="s">
        <v>1123</v>
      </c>
      <c r="B1" s="2"/>
      <c r="C1" s="2"/>
      <c r="D1" s="2"/>
      <c r="E1" s="2"/>
      <c r="F1" s="2"/>
      <c r="G1" s="2"/>
      <c r="H1" s="2"/>
      <c r="I1" s="2"/>
      <c r="J1" s="2"/>
    </row>
    <row r="3" customFormat="false" ht="39.75" hidden="false" customHeight="true" outlineLevel="0" collapsed="false">
      <c r="A3" s="19" t="s">
        <v>1124</v>
      </c>
      <c r="B3" s="19" t="s">
        <v>1125</v>
      </c>
      <c r="C3" s="19" t="s">
        <v>1126</v>
      </c>
      <c r="D3" s="19" t="s">
        <v>1127</v>
      </c>
      <c r="E3" s="19" t="s">
        <v>1128</v>
      </c>
      <c r="F3" s="19" t="s">
        <v>1129</v>
      </c>
      <c r="G3" s="19" t="s">
        <v>1130</v>
      </c>
      <c r="H3" s="19" t="s">
        <v>1131</v>
      </c>
      <c r="I3" s="19" t="s">
        <v>1030</v>
      </c>
      <c r="J3" s="19" t="s">
        <v>1031</v>
      </c>
    </row>
    <row r="4" customFormat="false" ht="60" hidden="false" customHeight="true" outlineLevel="0" collapsed="false">
      <c r="A4" s="5" t="s">
        <v>1132</v>
      </c>
      <c r="B4" s="76" t="s">
        <v>1133</v>
      </c>
      <c r="C4" s="79" t="n">
        <v>250</v>
      </c>
      <c r="D4" s="76" t="s">
        <v>1070</v>
      </c>
      <c r="E4" s="76" t="s">
        <v>1070</v>
      </c>
      <c r="F4" s="5" t="s">
        <v>1134</v>
      </c>
      <c r="G4" s="5" t="s">
        <v>1135</v>
      </c>
      <c r="H4" s="5" t="s">
        <v>1136</v>
      </c>
      <c r="I4" s="5" t="s">
        <v>1137</v>
      </c>
      <c r="J4" s="5" t="s">
        <v>706</v>
      </c>
    </row>
    <row r="5" customFormat="false" ht="60" hidden="false" customHeight="true" outlineLevel="0" collapsed="false">
      <c r="A5" s="5" t="s">
        <v>1138</v>
      </c>
      <c r="B5" s="76" t="s">
        <v>1139</v>
      </c>
      <c r="C5" s="79" t="n">
        <v>200</v>
      </c>
      <c r="D5" s="79" t="n">
        <v>95</v>
      </c>
      <c r="E5" s="78" t="n">
        <v>2.1</v>
      </c>
      <c r="F5" s="5" t="s">
        <v>1140</v>
      </c>
      <c r="G5" s="5" t="s">
        <v>1141</v>
      </c>
      <c r="H5" s="5" t="s">
        <v>1142</v>
      </c>
      <c r="I5" s="5" t="s">
        <v>1143</v>
      </c>
      <c r="J5" s="5" t="s">
        <v>706</v>
      </c>
    </row>
    <row r="6" customFormat="false" ht="60" hidden="false" customHeight="true" outlineLevel="0" collapsed="false">
      <c r="A6" s="5" t="s">
        <v>1144</v>
      </c>
      <c r="B6" s="76" t="s">
        <v>1145</v>
      </c>
      <c r="C6" s="76" t="s">
        <v>1070</v>
      </c>
      <c r="D6" s="76" t="s">
        <v>1070</v>
      </c>
      <c r="E6" s="76" t="s">
        <v>1070</v>
      </c>
      <c r="F6" s="5" t="s">
        <v>1146</v>
      </c>
      <c r="G6" s="5" t="s">
        <v>1147</v>
      </c>
      <c r="H6" s="5" t="s">
        <v>1148</v>
      </c>
      <c r="I6" s="5" t="s">
        <v>1149</v>
      </c>
      <c r="J6" s="5" t="s">
        <v>1150</v>
      </c>
    </row>
    <row r="7" customFormat="false" ht="60" hidden="false" customHeight="true" outlineLevel="0" collapsed="false">
      <c r="A7" s="5" t="s">
        <v>1151</v>
      </c>
      <c r="B7" s="76" t="s">
        <v>1152</v>
      </c>
      <c r="C7" s="76" t="s">
        <v>1070</v>
      </c>
      <c r="D7" s="76" t="s">
        <v>1153</v>
      </c>
      <c r="E7" s="76" t="s">
        <v>1070</v>
      </c>
      <c r="F7" s="5" t="s">
        <v>1154</v>
      </c>
      <c r="G7" s="5" t="s">
        <v>1155</v>
      </c>
      <c r="H7" s="5" t="s">
        <v>1156</v>
      </c>
      <c r="I7" s="5" t="s">
        <v>1157</v>
      </c>
      <c r="J7" s="5" t="s">
        <v>706</v>
      </c>
    </row>
    <row r="8" customFormat="false" ht="60" hidden="false" customHeight="true" outlineLevel="0" collapsed="false">
      <c r="A8" s="5" t="s">
        <v>1158</v>
      </c>
      <c r="B8" s="76" t="s">
        <v>1159</v>
      </c>
      <c r="C8" s="76" t="s">
        <v>1160</v>
      </c>
      <c r="D8" s="76" t="s">
        <v>1070</v>
      </c>
      <c r="E8" s="76" t="s">
        <v>1070</v>
      </c>
      <c r="F8" s="5" t="s">
        <v>1161</v>
      </c>
      <c r="G8" s="5" t="s">
        <v>1162</v>
      </c>
      <c r="H8" s="5" t="s">
        <v>1163</v>
      </c>
      <c r="I8" s="5" t="s">
        <v>1164</v>
      </c>
      <c r="J8" s="5" t="s">
        <v>1055</v>
      </c>
    </row>
    <row r="9" customFormat="false" ht="60" hidden="false" customHeight="true" outlineLevel="0" collapsed="false">
      <c r="A9" s="5" t="s">
        <v>1165</v>
      </c>
      <c r="B9" s="76" t="s">
        <v>1166</v>
      </c>
      <c r="C9" s="76" t="s">
        <v>1167</v>
      </c>
      <c r="D9" s="76" t="s">
        <v>1070</v>
      </c>
      <c r="E9" s="76" t="s">
        <v>1070</v>
      </c>
      <c r="F9" s="5" t="s">
        <v>1168</v>
      </c>
      <c r="G9" s="5" t="s">
        <v>1169</v>
      </c>
      <c r="H9" s="5" t="s">
        <v>1170</v>
      </c>
      <c r="I9" s="5" t="s">
        <v>1171</v>
      </c>
      <c r="J9" s="5" t="s">
        <v>706</v>
      </c>
    </row>
    <row r="10" customFormat="false" ht="60" hidden="false" customHeight="true" outlineLevel="0" collapsed="false">
      <c r="A10" s="5" t="s">
        <v>1172</v>
      </c>
      <c r="B10" s="76" t="s">
        <v>1173</v>
      </c>
      <c r="C10" s="76" t="s">
        <v>1174</v>
      </c>
      <c r="D10" s="76" t="s">
        <v>1070</v>
      </c>
      <c r="E10" s="76" t="s">
        <v>1070</v>
      </c>
      <c r="F10" s="5" t="s">
        <v>1175</v>
      </c>
      <c r="G10" s="5" t="s">
        <v>1147</v>
      </c>
      <c r="H10" s="5" t="s">
        <v>1176</v>
      </c>
      <c r="I10" s="5" t="s">
        <v>1177</v>
      </c>
      <c r="J10" s="5" t="s">
        <v>1055</v>
      </c>
    </row>
    <row r="11" customFormat="false" ht="60" hidden="false" customHeight="true" outlineLevel="0" collapsed="false">
      <c r="A11" s="5" t="s">
        <v>1178</v>
      </c>
      <c r="B11" s="76" t="s">
        <v>1179</v>
      </c>
      <c r="C11" s="79" t="n">
        <v>1100</v>
      </c>
      <c r="D11" s="76" t="s">
        <v>1180</v>
      </c>
      <c r="E11" s="76" t="s">
        <v>1070</v>
      </c>
      <c r="F11" s="5" t="s">
        <v>1181</v>
      </c>
      <c r="G11" s="5" t="s">
        <v>1182</v>
      </c>
      <c r="H11" s="5" t="s">
        <v>1183</v>
      </c>
      <c r="I11" s="5" t="s">
        <v>1184</v>
      </c>
      <c r="J11" s="5" t="s">
        <v>1185</v>
      </c>
    </row>
    <row r="12" customFormat="false" ht="60" hidden="false" customHeight="true" outlineLevel="0" collapsed="false">
      <c r="A12" s="5" t="s">
        <v>1186</v>
      </c>
      <c r="B12" s="76" t="s">
        <v>1187</v>
      </c>
      <c r="C12" s="79" t="n">
        <v>2900</v>
      </c>
      <c r="D12" s="76" t="s">
        <v>1070</v>
      </c>
      <c r="E12" s="76" t="s">
        <v>1070</v>
      </c>
      <c r="F12" s="5" t="s">
        <v>1188</v>
      </c>
      <c r="G12" s="5" t="s">
        <v>1141</v>
      </c>
      <c r="H12" s="5" t="s">
        <v>1189</v>
      </c>
      <c r="I12" s="5" t="s">
        <v>1190</v>
      </c>
      <c r="J12" s="5" t="s">
        <v>706</v>
      </c>
    </row>
    <row r="13" customFormat="false" ht="60" hidden="false" customHeight="true" outlineLevel="0" collapsed="false">
      <c r="A13" s="5" t="s">
        <v>1191</v>
      </c>
      <c r="B13" s="76" t="s">
        <v>1192</v>
      </c>
      <c r="C13" s="76" t="s">
        <v>1193</v>
      </c>
      <c r="D13" s="76" t="s">
        <v>1070</v>
      </c>
      <c r="E13" s="76" t="s">
        <v>1070</v>
      </c>
      <c r="F13" s="5" t="s">
        <v>1194</v>
      </c>
      <c r="G13" s="5" t="s">
        <v>1147</v>
      </c>
      <c r="H13" s="5" t="s">
        <v>1195</v>
      </c>
      <c r="I13" s="5" t="s">
        <v>1196</v>
      </c>
      <c r="J13" s="5" t="s">
        <v>706</v>
      </c>
    </row>
    <row r="14" customFormat="false" ht="60" hidden="false" customHeight="true" outlineLevel="0" collapsed="false">
      <c r="A14" s="5" t="s">
        <v>1197</v>
      </c>
      <c r="B14" s="76" t="s">
        <v>1198</v>
      </c>
      <c r="C14" s="76" t="s">
        <v>1199</v>
      </c>
      <c r="D14" s="76" t="s">
        <v>1070</v>
      </c>
      <c r="E14" s="76" t="s">
        <v>1070</v>
      </c>
      <c r="F14" s="5" t="s">
        <v>1200</v>
      </c>
      <c r="G14" s="5" t="s">
        <v>1201</v>
      </c>
      <c r="H14" s="5" t="s">
        <v>1202</v>
      </c>
      <c r="I14" s="5" t="s">
        <v>1203</v>
      </c>
      <c r="J14" s="5" t="s">
        <v>1055</v>
      </c>
    </row>
    <row r="15" customFormat="false" ht="60" hidden="false" customHeight="true" outlineLevel="0" collapsed="false">
      <c r="A15" s="5" t="s">
        <v>1204</v>
      </c>
      <c r="B15" s="76" t="s">
        <v>1205</v>
      </c>
      <c r="C15" s="76" t="s">
        <v>1206</v>
      </c>
      <c r="D15" s="76" t="s">
        <v>1207</v>
      </c>
      <c r="E15" s="76" t="s">
        <v>1070</v>
      </c>
      <c r="F15" s="5" t="s">
        <v>1208</v>
      </c>
      <c r="G15" s="5" t="s">
        <v>1209</v>
      </c>
      <c r="H15" s="5" t="s">
        <v>1210</v>
      </c>
      <c r="I15" s="5" t="s">
        <v>1211</v>
      </c>
      <c r="J15" s="5" t="s">
        <v>706</v>
      </c>
    </row>
    <row r="16" customFormat="false" ht="60" hidden="false" customHeight="true" outlineLevel="0" collapsed="false">
      <c r="A16" s="5" t="s">
        <v>1212</v>
      </c>
      <c r="B16" s="76" t="s">
        <v>1213</v>
      </c>
      <c r="C16" s="76" t="s">
        <v>1214</v>
      </c>
      <c r="D16" s="76" t="s">
        <v>1215</v>
      </c>
      <c r="E16" s="78" t="n">
        <v>18.8</v>
      </c>
      <c r="F16" s="5" t="s">
        <v>1216</v>
      </c>
      <c r="G16" s="5" t="s">
        <v>1141</v>
      </c>
      <c r="H16" s="5" t="s">
        <v>1217</v>
      </c>
      <c r="I16" s="5" t="s">
        <v>1218</v>
      </c>
      <c r="J16" s="5" t="s">
        <v>706</v>
      </c>
    </row>
    <row r="17" customFormat="false" ht="60" hidden="false" customHeight="true" outlineLevel="0" collapsed="false">
      <c r="A17" s="5" t="s">
        <v>1219</v>
      </c>
      <c r="B17" s="76" t="s">
        <v>1220</v>
      </c>
      <c r="C17" s="76" t="s">
        <v>1221</v>
      </c>
      <c r="D17" s="76" t="s">
        <v>1070</v>
      </c>
      <c r="E17" s="76" t="s">
        <v>1070</v>
      </c>
      <c r="F17" s="5" t="s">
        <v>1222</v>
      </c>
      <c r="G17" s="5" t="s">
        <v>1223</v>
      </c>
      <c r="H17" s="5" t="s">
        <v>1224</v>
      </c>
      <c r="I17" s="5" t="s">
        <v>1225</v>
      </c>
      <c r="J17" s="5" t="s">
        <v>1226</v>
      </c>
    </row>
    <row r="18" customFormat="false" ht="60" hidden="false" customHeight="true" outlineLevel="0" collapsed="false">
      <c r="A18" s="5" t="s">
        <v>1227</v>
      </c>
      <c r="B18" s="76" t="s">
        <v>1228</v>
      </c>
      <c r="C18" s="76" t="s">
        <v>1229</v>
      </c>
      <c r="D18" s="76" t="s">
        <v>1070</v>
      </c>
      <c r="E18" s="76" t="s">
        <v>1070</v>
      </c>
      <c r="F18" s="5" t="s">
        <v>1230</v>
      </c>
      <c r="G18" s="5" t="s">
        <v>1147</v>
      </c>
      <c r="H18" s="5" t="s">
        <v>1231</v>
      </c>
      <c r="I18" s="5" t="s">
        <v>1232</v>
      </c>
      <c r="J18" s="5" t="s">
        <v>1055</v>
      </c>
    </row>
    <row r="20" customFormat="false" ht="15" hidden="false" customHeight="false" outlineLevel="0" collapsed="false">
      <c r="A20" s="49" t="s">
        <v>1233</v>
      </c>
    </row>
    <row r="21" customFormat="false" ht="15" hidden="false" customHeight="false" outlineLevel="0" collapsed="false">
      <c r="A21" s="49" t="s">
        <v>1234</v>
      </c>
    </row>
    <row r="22" customFormat="false" ht="15" hidden="false" customHeight="false" outlineLevel="0" collapsed="false">
      <c r="A22" s="49" t="s">
        <v>1235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C000"/>
    <pageSetUpPr fitToPage="false"/>
  </sheetPr>
  <dimension ref="A1:F1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30"/>
    <col collapsed="false" customWidth="true" hidden="false" outlineLevel="0" max="2" min="2" style="0" width="50"/>
    <col collapsed="false" customWidth="true" hidden="false" outlineLevel="0" max="4" min="3" style="0" width="40"/>
    <col collapsed="false" customWidth="true" hidden="false" outlineLevel="0" max="5" min="5" style="0" width="18"/>
    <col collapsed="false" customWidth="true" hidden="false" outlineLevel="0" max="6" min="6" style="0" width="12"/>
  </cols>
  <sheetData>
    <row r="1" customFormat="false" ht="18" hidden="false" customHeight="true" outlineLevel="0" collapsed="false">
      <c r="A1" s="6" t="s">
        <v>1236</v>
      </c>
      <c r="B1" s="2"/>
      <c r="C1" s="2"/>
      <c r="D1" s="2"/>
      <c r="E1" s="2"/>
      <c r="F1" s="2"/>
    </row>
    <row r="3" customFormat="false" ht="36" hidden="false" customHeight="true" outlineLevel="0" collapsed="false">
      <c r="A3" s="19" t="s">
        <v>1237</v>
      </c>
      <c r="B3" s="19" t="s">
        <v>1238</v>
      </c>
      <c r="C3" s="19" t="s">
        <v>1030</v>
      </c>
      <c r="D3" s="19" t="s">
        <v>1239</v>
      </c>
      <c r="E3" s="19" t="s">
        <v>1240</v>
      </c>
      <c r="F3" s="19" t="s">
        <v>1031</v>
      </c>
    </row>
    <row r="4" customFormat="false" ht="75" hidden="false" customHeight="true" outlineLevel="0" collapsed="false">
      <c r="A4" s="5" t="s">
        <v>1241</v>
      </c>
      <c r="B4" s="76" t="s">
        <v>1242</v>
      </c>
      <c r="C4" s="5" t="s">
        <v>1243</v>
      </c>
      <c r="D4" s="5" t="s">
        <v>1244</v>
      </c>
      <c r="E4" s="5" t="s">
        <v>1245</v>
      </c>
      <c r="F4" s="5" t="s">
        <v>706</v>
      </c>
    </row>
    <row r="5" customFormat="false" ht="75" hidden="false" customHeight="true" outlineLevel="0" collapsed="false">
      <c r="A5" s="5" t="s">
        <v>1246</v>
      </c>
      <c r="B5" s="76" t="s">
        <v>1247</v>
      </c>
      <c r="C5" s="5" t="s">
        <v>1248</v>
      </c>
      <c r="D5" s="5" t="s">
        <v>1249</v>
      </c>
      <c r="E5" s="5" t="s">
        <v>1250</v>
      </c>
      <c r="F5" s="5" t="s">
        <v>706</v>
      </c>
    </row>
    <row r="6" customFormat="false" ht="75" hidden="false" customHeight="true" outlineLevel="0" collapsed="false">
      <c r="A6" s="5" t="s">
        <v>1251</v>
      </c>
      <c r="B6" s="76" t="s">
        <v>1252</v>
      </c>
      <c r="C6" s="5" t="s">
        <v>1253</v>
      </c>
      <c r="D6" s="5" t="s">
        <v>1254</v>
      </c>
      <c r="E6" s="5" t="s">
        <v>1255</v>
      </c>
      <c r="F6" s="5" t="s">
        <v>1256</v>
      </c>
    </row>
    <row r="7" customFormat="false" ht="75" hidden="false" customHeight="true" outlineLevel="0" collapsed="false">
      <c r="A7" s="5" t="s">
        <v>1257</v>
      </c>
      <c r="B7" s="76" t="s">
        <v>1258</v>
      </c>
      <c r="C7" s="5" t="s">
        <v>1259</v>
      </c>
      <c r="D7" s="5" t="s">
        <v>1260</v>
      </c>
      <c r="E7" s="5" t="s">
        <v>1261</v>
      </c>
      <c r="F7" s="5" t="s">
        <v>1262</v>
      </c>
    </row>
    <row r="8" customFormat="false" ht="75" hidden="false" customHeight="true" outlineLevel="0" collapsed="false">
      <c r="A8" s="5" t="s">
        <v>1263</v>
      </c>
      <c r="B8" s="76" t="s">
        <v>1264</v>
      </c>
      <c r="C8" s="5" t="s">
        <v>1265</v>
      </c>
      <c r="D8" s="5" t="s">
        <v>1266</v>
      </c>
      <c r="E8" s="5" t="s">
        <v>1267</v>
      </c>
      <c r="F8" s="5" t="s">
        <v>706</v>
      </c>
    </row>
    <row r="9" customFormat="false" ht="75" hidden="false" customHeight="true" outlineLevel="0" collapsed="false">
      <c r="A9" s="5" t="s">
        <v>1268</v>
      </c>
      <c r="B9" s="76" t="s">
        <v>1269</v>
      </c>
      <c r="C9" s="5" t="s">
        <v>1270</v>
      </c>
      <c r="D9" s="5" t="s">
        <v>1271</v>
      </c>
      <c r="E9" s="5" t="s">
        <v>1272</v>
      </c>
      <c r="F9" s="5" t="s">
        <v>1273</v>
      </c>
    </row>
    <row r="10" customFormat="false" ht="75" hidden="false" customHeight="true" outlineLevel="0" collapsed="false">
      <c r="A10" s="5" t="s">
        <v>1274</v>
      </c>
      <c r="B10" s="76" t="s">
        <v>1275</v>
      </c>
      <c r="C10" s="5" t="s">
        <v>1276</v>
      </c>
      <c r="D10" s="5" t="s">
        <v>1277</v>
      </c>
      <c r="E10" s="5" t="s">
        <v>1278</v>
      </c>
      <c r="F10" s="5" t="s">
        <v>706</v>
      </c>
    </row>
    <row r="11" customFormat="false" ht="75" hidden="false" customHeight="true" outlineLevel="0" collapsed="false">
      <c r="A11" s="5" t="s">
        <v>1279</v>
      </c>
      <c r="B11" s="76" t="s">
        <v>1280</v>
      </c>
      <c r="C11" s="5" t="s">
        <v>1281</v>
      </c>
      <c r="D11" s="5" t="s">
        <v>1282</v>
      </c>
      <c r="E11" s="5" t="s">
        <v>1283</v>
      </c>
      <c r="F11" s="5" t="s">
        <v>706</v>
      </c>
    </row>
    <row r="12" customFormat="false" ht="75" hidden="false" customHeight="true" outlineLevel="0" collapsed="false">
      <c r="A12" s="5" t="s">
        <v>1284</v>
      </c>
      <c r="B12" s="76" t="s">
        <v>1285</v>
      </c>
      <c r="C12" s="5" t="s">
        <v>1286</v>
      </c>
      <c r="D12" s="5" t="s">
        <v>1287</v>
      </c>
      <c r="E12" s="5" t="s">
        <v>1288</v>
      </c>
      <c r="F12" s="5" t="s">
        <v>1289</v>
      </c>
    </row>
    <row r="13" customFormat="false" ht="75" hidden="false" customHeight="true" outlineLevel="0" collapsed="false">
      <c r="A13" s="5" t="s">
        <v>1290</v>
      </c>
      <c r="B13" s="76" t="s">
        <v>1291</v>
      </c>
      <c r="C13" s="5" t="s">
        <v>1292</v>
      </c>
      <c r="D13" s="5" t="s">
        <v>1293</v>
      </c>
      <c r="E13" s="5" t="s">
        <v>1294</v>
      </c>
      <c r="F13" s="5" t="s">
        <v>706</v>
      </c>
    </row>
    <row r="14" customFormat="false" ht="75" hidden="false" customHeight="true" outlineLevel="0" collapsed="false">
      <c r="A14" s="5" t="s">
        <v>1295</v>
      </c>
      <c r="B14" s="76" t="s">
        <v>1296</v>
      </c>
      <c r="C14" s="5" t="s">
        <v>1297</v>
      </c>
      <c r="D14" s="5" t="s">
        <v>1298</v>
      </c>
      <c r="E14" s="5" t="s">
        <v>1299</v>
      </c>
      <c r="F14" s="5" t="s">
        <v>706</v>
      </c>
    </row>
    <row r="15" customFormat="false" ht="75" hidden="false" customHeight="true" outlineLevel="0" collapsed="false">
      <c r="A15" s="5" t="s">
        <v>1300</v>
      </c>
      <c r="B15" s="76" t="s">
        <v>1301</v>
      </c>
      <c r="C15" s="5" t="s">
        <v>1302</v>
      </c>
      <c r="D15" s="5" t="s">
        <v>1303</v>
      </c>
      <c r="E15" s="5" t="s">
        <v>1304</v>
      </c>
      <c r="F15" s="5" t="s">
        <v>706</v>
      </c>
    </row>
    <row r="16" customFormat="false" ht="75" hidden="false" customHeight="true" outlineLevel="0" collapsed="false">
      <c r="A16" s="5" t="s">
        <v>1305</v>
      </c>
      <c r="B16" s="76" t="s">
        <v>1306</v>
      </c>
      <c r="C16" s="5" t="s">
        <v>1307</v>
      </c>
      <c r="D16" s="5" t="s">
        <v>1308</v>
      </c>
      <c r="E16" s="5" t="s">
        <v>1309</v>
      </c>
      <c r="F16" s="5" t="s">
        <v>706</v>
      </c>
    </row>
    <row r="17" customFormat="false" ht="75" hidden="false" customHeight="true" outlineLevel="0" collapsed="false">
      <c r="A17" s="5" t="s">
        <v>1310</v>
      </c>
      <c r="B17" s="76" t="s">
        <v>1311</v>
      </c>
      <c r="C17" s="5" t="s">
        <v>1312</v>
      </c>
      <c r="D17" s="5" t="s">
        <v>1313</v>
      </c>
      <c r="E17" s="5" t="s">
        <v>1314</v>
      </c>
      <c r="F17" s="5" t="s">
        <v>706</v>
      </c>
    </row>
    <row r="18" customFormat="false" ht="75" hidden="false" customHeight="true" outlineLevel="0" collapsed="false">
      <c r="A18" s="5" t="s">
        <v>1315</v>
      </c>
      <c r="B18" s="76" t="s">
        <v>1316</v>
      </c>
      <c r="C18" s="5" t="s">
        <v>1317</v>
      </c>
      <c r="D18" s="5" t="s">
        <v>1318</v>
      </c>
      <c r="E18" s="5" t="s">
        <v>1319</v>
      </c>
      <c r="F18" s="5" t="s">
        <v>706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C000"/>
    <pageSetUpPr fitToPage="false"/>
  </sheetPr>
  <dimension ref="A1:D5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6"/>
    <col collapsed="false" customWidth="true" hidden="false" outlineLevel="0" max="2" min="2" style="0" width="60"/>
    <col collapsed="false" customWidth="true" hidden="false" outlineLevel="0" max="3" min="3" style="0" width="80"/>
    <col collapsed="false" customWidth="true" hidden="false" outlineLevel="0" max="4" min="4" style="0" width="16"/>
  </cols>
  <sheetData>
    <row r="1" customFormat="false" ht="18" hidden="false" customHeight="true" outlineLevel="0" collapsed="false">
      <c r="A1" s="6" t="s">
        <v>1320</v>
      </c>
      <c r="B1" s="2"/>
      <c r="C1" s="2"/>
      <c r="D1" s="2"/>
    </row>
    <row r="3" customFormat="false" ht="15" hidden="false" customHeight="false" outlineLevel="0" collapsed="false">
      <c r="A3" s="80" t="s">
        <v>1321</v>
      </c>
      <c r="B3" s="80" t="s">
        <v>1322</v>
      </c>
      <c r="C3" s="80" t="s">
        <v>1323</v>
      </c>
      <c r="D3" s="80" t="s">
        <v>1125</v>
      </c>
    </row>
    <row r="4" customFormat="false" ht="23.85" hidden="false" customHeight="false" outlineLevel="0" collapsed="false">
      <c r="A4" s="9" t="n">
        <v>1</v>
      </c>
      <c r="B4" s="5" t="s">
        <v>1324</v>
      </c>
      <c r="C4" s="5" t="s">
        <v>1325</v>
      </c>
      <c r="D4" s="9" t="s">
        <v>1326</v>
      </c>
    </row>
    <row r="5" customFormat="false" ht="15" hidden="false" customHeight="false" outlineLevel="0" collapsed="false">
      <c r="A5" s="9" t="n">
        <v>2</v>
      </c>
      <c r="B5" s="5" t="s">
        <v>1327</v>
      </c>
      <c r="C5" s="5" t="s">
        <v>1325</v>
      </c>
      <c r="D5" s="9" t="s">
        <v>1326</v>
      </c>
    </row>
    <row r="6" customFormat="false" ht="15" hidden="false" customHeight="false" outlineLevel="0" collapsed="false">
      <c r="A6" s="9" t="n">
        <v>3</v>
      </c>
      <c r="B6" s="5" t="s">
        <v>1328</v>
      </c>
      <c r="C6" s="5" t="s">
        <v>1329</v>
      </c>
      <c r="D6" s="9" t="s">
        <v>1330</v>
      </c>
    </row>
    <row r="7" customFormat="false" ht="15" hidden="false" customHeight="false" outlineLevel="0" collapsed="false">
      <c r="A7" s="9" t="n">
        <v>4</v>
      </c>
      <c r="B7" s="5" t="s">
        <v>1331</v>
      </c>
      <c r="C7" s="5" t="s">
        <v>1332</v>
      </c>
      <c r="D7" s="9" t="s">
        <v>1333</v>
      </c>
    </row>
    <row r="8" customFormat="false" ht="15" hidden="false" customHeight="false" outlineLevel="0" collapsed="false">
      <c r="A8" s="9" t="n">
        <v>5</v>
      </c>
      <c r="B8" s="5" t="s">
        <v>1334</v>
      </c>
      <c r="C8" s="5" t="s">
        <v>1335</v>
      </c>
      <c r="D8" s="9" t="s">
        <v>1336</v>
      </c>
    </row>
    <row r="9" customFormat="false" ht="15" hidden="false" customHeight="false" outlineLevel="0" collapsed="false">
      <c r="A9" s="9" t="n">
        <v>6</v>
      </c>
      <c r="B9" s="5" t="s">
        <v>1337</v>
      </c>
      <c r="C9" s="5" t="s">
        <v>1338</v>
      </c>
      <c r="D9" s="9" t="s">
        <v>1339</v>
      </c>
    </row>
    <row r="10" customFormat="false" ht="15" hidden="false" customHeight="false" outlineLevel="0" collapsed="false">
      <c r="A10" s="9" t="n">
        <v>7</v>
      </c>
      <c r="B10" s="5" t="s">
        <v>1340</v>
      </c>
      <c r="C10" s="5" t="s">
        <v>1341</v>
      </c>
      <c r="D10" s="9" t="s">
        <v>1342</v>
      </c>
    </row>
    <row r="11" customFormat="false" ht="15" hidden="false" customHeight="false" outlineLevel="0" collapsed="false">
      <c r="A11" s="9" t="n">
        <v>8</v>
      </c>
      <c r="B11" s="5" t="s">
        <v>1343</v>
      </c>
      <c r="C11" s="5" t="s">
        <v>1344</v>
      </c>
      <c r="D11" s="9" t="s">
        <v>1345</v>
      </c>
    </row>
    <row r="12" customFormat="false" ht="15" hidden="false" customHeight="false" outlineLevel="0" collapsed="false">
      <c r="A12" s="9" t="n">
        <v>9</v>
      </c>
      <c r="B12" s="5" t="s">
        <v>1346</v>
      </c>
      <c r="C12" s="5" t="s">
        <v>1347</v>
      </c>
      <c r="D12" s="9" t="s">
        <v>1348</v>
      </c>
    </row>
    <row r="13" customFormat="false" ht="15" hidden="false" customHeight="false" outlineLevel="0" collapsed="false">
      <c r="A13" s="9" t="n">
        <v>10</v>
      </c>
      <c r="B13" s="5" t="s">
        <v>1349</v>
      </c>
      <c r="C13" s="5" t="s">
        <v>1350</v>
      </c>
      <c r="D13" s="9" t="s">
        <v>1351</v>
      </c>
    </row>
    <row r="14" customFormat="false" ht="15" hidden="false" customHeight="false" outlineLevel="0" collapsed="false">
      <c r="A14" s="9" t="n">
        <v>11</v>
      </c>
      <c r="B14" s="5" t="s">
        <v>1352</v>
      </c>
      <c r="C14" s="5" t="s">
        <v>1353</v>
      </c>
      <c r="D14" s="9" t="s">
        <v>1354</v>
      </c>
    </row>
    <row r="15" customFormat="false" ht="15" hidden="false" customHeight="false" outlineLevel="0" collapsed="false">
      <c r="A15" s="9" t="n">
        <v>12</v>
      </c>
      <c r="B15" s="5" t="s">
        <v>1355</v>
      </c>
      <c r="C15" s="5" t="s">
        <v>1356</v>
      </c>
      <c r="D15" s="9" t="s">
        <v>1357</v>
      </c>
    </row>
    <row r="16" customFormat="false" ht="15" hidden="false" customHeight="false" outlineLevel="0" collapsed="false">
      <c r="A16" s="9" t="n">
        <v>13</v>
      </c>
      <c r="B16" s="5" t="s">
        <v>1358</v>
      </c>
      <c r="C16" s="5" t="s">
        <v>1359</v>
      </c>
      <c r="D16" s="9" t="s">
        <v>1360</v>
      </c>
    </row>
    <row r="17" customFormat="false" ht="15" hidden="false" customHeight="false" outlineLevel="0" collapsed="false">
      <c r="A17" s="9" t="n">
        <v>14</v>
      </c>
      <c r="B17" s="5" t="s">
        <v>1361</v>
      </c>
      <c r="C17" s="5" t="s">
        <v>1362</v>
      </c>
      <c r="D17" s="9" t="s">
        <v>1363</v>
      </c>
    </row>
    <row r="18" customFormat="false" ht="23.85" hidden="false" customHeight="false" outlineLevel="0" collapsed="false">
      <c r="A18" s="9" t="n">
        <v>15</v>
      </c>
      <c r="B18" s="5" t="s">
        <v>1364</v>
      </c>
      <c r="C18" s="5" t="s">
        <v>1365</v>
      </c>
      <c r="D18" s="9" t="s">
        <v>1366</v>
      </c>
    </row>
    <row r="19" customFormat="false" ht="23.85" hidden="false" customHeight="false" outlineLevel="0" collapsed="false">
      <c r="A19" s="9" t="n">
        <v>16</v>
      </c>
      <c r="B19" s="5" t="s">
        <v>1367</v>
      </c>
      <c r="C19" s="5" t="s">
        <v>1368</v>
      </c>
      <c r="D19" s="9" t="s">
        <v>1342</v>
      </c>
    </row>
    <row r="20" customFormat="false" ht="15" hidden="false" customHeight="false" outlineLevel="0" collapsed="false">
      <c r="A20" s="9" t="n">
        <v>17</v>
      </c>
      <c r="B20" s="5" t="s">
        <v>1369</v>
      </c>
      <c r="C20" s="5" t="s">
        <v>1370</v>
      </c>
      <c r="D20" s="9" t="s">
        <v>1326</v>
      </c>
    </row>
    <row r="21" customFormat="false" ht="15" hidden="false" customHeight="false" outlineLevel="0" collapsed="false">
      <c r="A21" s="9" t="n">
        <v>18</v>
      </c>
      <c r="B21" s="5" t="s">
        <v>1371</v>
      </c>
      <c r="C21" s="5" t="s">
        <v>1372</v>
      </c>
      <c r="D21" s="9" t="s">
        <v>1373</v>
      </c>
    </row>
    <row r="22" customFormat="false" ht="15" hidden="false" customHeight="false" outlineLevel="0" collapsed="false">
      <c r="A22" s="9" t="n">
        <v>19</v>
      </c>
      <c r="B22" s="5" t="s">
        <v>1374</v>
      </c>
      <c r="C22" s="5" t="s">
        <v>1375</v>
      </c>
      <c r="D22" s="9" t="s">
        <v>1376</v>
      </c>
    </row>
    <row r="23" customFormat="false" ht="15" hidden="false" customHeight="false" outlineLevel="0" collapsed="false">
      <c r="A23" s="9" t="n">
        <v>20</v>
      </c>
      <c r="B23" s="5" t="s">
        <v>1377</v>
      </c>
      <c r="C23" s="5" t="s">
        <v>1378</v>
      </c>
      <c r="D23" s="9" t="s">
        <v>1379</v>
      </c>
    </row>
    <row r="24" customFormat="false" ht="15" hidden="false" customHeight="false" outlineLevel="0" collapsed="false">
      <c r="A24" s="9" t="n">
        <v>21</v>
      </c>
      <c r="B24" s="5" t="s">
        <v>1380</v>
      </c>
      <c r="C24" s="5" t="s">
        <v>1381</v>
      </c>
      <c r="D24" s="9" t="s">
        <v>1379</v>
      </c>
    </row>
    <row r="25" customFormat="false" ht="15" hidden="false" customHeight="false" outlineLevel="0" collapsed="false">
      <c r="A25" s="9" t="n">
        <v>22</v>
      </c>
      <c r="B25" s="5" t="s">
        <v>1382</v>
      </c>
      <c r="C25" s="5" t="s">
        <v>1383</v>
      </c>
      <c r="D25" s="9" t="s">
        <v>1384</v>
      </c>
    </row>
    <row r="26" customFormat="false" ht="15" hidden="false" customHeight="false" outlineLevel="0" collapsed="false">
      <c r="A26" s="9" t="n">
        <v>23</v>
      </c>
      <c r="B26" s="5" t="s">
        <v>1385</v>
      </c>
      <c r="C26" s="5" t="s">
        <v>1386</v>
      </c>
      <c r="D26" s="9" t="s">
        <v>1387</v>
      </c>
    </row>
    <row r="27" customFormat="false" ht="23.85" hidden="false" customHeight="false" outlineLevel="0" collapsed="false">
      <c r="A27" s="9" t="n">
        <v>24</v>
      </c>
      <c r="B27" s="5" t="s">
        <v>1388</v>
      </c>
      <c r="C27" s="5" t="s">
        <v>1389</v>
      </c>
      <c r="D27" s="9" t="s">
        <v>1390</v>
      </c>
    </row>
    <row r="28" customFormat="false" ht="15" hidden="false" customHeight="false" outlineLevel="0" collapsed="false">
      <c r="A28" s="9" t="n">
        <v>25</v>
      </c>
      <c r="B28" s="5" t="s">
        <v>1391</v>
      </c>
      <c r="C28" s="5" t="s">
        <v>1392</v>
      </c>
      <c r="D28" s="9" t="s">
        <v>1393</v>
      </c>
    </row>
    <row r="29" customFormat="false" ht="23.85" hidden="false" customHeight="false" outlineLevel="0" collapsed="false">
      <c r="A29" s="9" t="n">
        <v>26</v>
      </c>
      <c r="B29" s="5" t="s">
        <v>1394</v>
      </c>
      <c r="C29" s="5" t="s">
        <v>1395</v>
      </c>
      <c r="D29" s="9" t="s">
        <v>1396</v>
      </c>
    </row>
    <row r="30" customFormat="false" ht="23.85" hidden="false" customHeight="false" outlineLevel="0" collapsed="false">
      <c r="A30" s="9" t="n">
        <v>27</v>
      </c>
      <c r="B30" s="5" t="s">
        <v>1397</v>
      </c>
      <c r="C30" s="5" t="s">
        <v>1398</v>
      </c>
      <c r="D30" s="9" t="s">
        <v>1399</v>
      </c>
    </row>
    <row r="31" customFormat="false" ht="15" hidden="false" customHeight="false" outlineLevel="0" collapsed="false">
      <c r="A31" s="9" t="n">
        <v>28</v>
      </c>
      <c r="B31" s="5" t="s">
        <v>1400</v>
      </c>
      <c r="C31" s="5" t="s">
        <v>1401</v>
      </c>
      <c r="D31" s="9" t="s">
        <v>1402</v>
      </c>
    </row>
    <row r="32" customFormat="false" ht="15" hidden="false" customHeight="false" outlineLevel="0" collapsed="false">
      <c r="A32" s="9" t="n">
        <v>29</v>
      </c>
      <c r="B32" s="5" t="s">
        <v>1403</v>
      </c>
      <c r="C32" s="5" t="s">
        <v>1404</v>
      </c>
      <c r="D32" s="9" t="s">
        <v>1405</v>
      </c>
    </row>
    <row r="33" customFormat="false" ht="15" hidden="false" customHeight="false" outlineLevel="0" collapsed="false">
      <c r="A33" s="9" t="n">
        <v>30</v>
      </c>
      <c r="B33" s="5" t="s">
        <v>1406</v>
      </c>
      <c r="C33" s="5" t="s">
        <v>1407</v>
      </c>
      <c r="D33" s="9" t="s">
        <v>1408</v>
      </c>
    </row>
    <row r="34" customFormat="false" ht="15" hidden="false" customHeight="false" outlineLevel="0" collapsed="false">
      <c r="A34" s="9" t="n">
        <v>31</v>
      </c>
      <c r="B34" s="5" t="s">
        <v>1409</v>
      </c>
      <c r="C34" s="5" t="s">
        <v>1410</v>
      </c>
      <c r="D34" s="9" t="s">
        <v>1411</v>
      </c>
    </row>
    <row r="35" customFormat="false" ht="15" hidden="false" customHeight="false" outlineLevel="0" collapsed="false">
      <c r="A35" s="9" t="n">
        <v>32</v>
      </c>
      <c r="B35" s="5" t="s">
        <v>1412</v>
      </c>
      <c r="C35" s="5" t="s">
        <v>1413</v>
      </c>
      <c r="D35" s="9" t="s">
        <v>1133</v>
      </c>
    </row>
    <row r="36" customFormat="false" ht="23.85" hidden="false" customHeight="false" outlineLevel="0" collapsed="false">
      <c r="A36" s="9" t="n">
        <v>33</v>
      </c>
      <c r="B36" s="5" t="s">
        <v>1414</v>
      </c>
      <c r="C36" s="5" t="s">
        <v>1415</v>
      </c>
      <c r="D36" s="9" t="s">
        <v>1416</v>
      </c>
    </row>
    <row r="37" customFormat="false" ht="15" hidden="false" customHeight="false" outlineLevel="0" collapsed="false">
      <c r="A37" s="9" t="n">
        <v>34</v>
      </c>
      <c r="B37" s="5" t="s">
        <v>1417</v>
      </c>
      <c r="C37" s="5" t="s">
        <v>1418</v>
      </c>
      <c r="D37" s="9" t="s">
        <v>1419</v>
      </c>
    </row>
    <row r="38" customFormat="false" ht="23.85" hidden="false" customHeight="false" outlineLevel="0" collapsed="false">
      <c r="A38" s="9" t="n">
        <v>35</v>
      </c>
      <c r="B38" s="5" t="s">
        <v>1420</v>
      </c>
      <c r="C38" s="5" t="s">
        <v>1421</v>
      </c>
      <c r="D38" s="9" t="s">
        <v>1422</v>
      </c>
    </row>
    <row r="39" customFormat="false" ht="15" hidden="false" customHeight="false" outlineLevel="0" collapsed="false">
      <c r="A39" s="9" t="n">
        <v>36</v>
      </c>
      <c r="B39" s="5" t="s">
        <v>1423</v>
      </c>
      <c r="C39" s="5" t="s">
        <v>1424</v>
      </c>
      <c r="D39" s="9" t="s">
        <v>1425</v>
      </c>
    </row>
    <row r="40" customFormat="false" ht="15" hidden="false" customHeight="false" outlineLevel="0" collapsed="false">
      <c r="A40" s="9" t="n">
        <v>37</v>
      </c>
      <c r="B40" s="5" t="s">
        <v>1426</v>
      </c>
      <c r="C40" s="5" t="s">
        <v>1427</v>
      </c>
      <c r="D40" s="9" t="s">
        <v>1428</v>
      </c>
    </row>
    <row r="41" customFormat="false" ht="15" hidden="false" customHeight="false" outlineLevel="0" collapsed="false">
      <c r="A41" s="9" t="n">
        <v>38</v>
      </c>
      <c r="B41" s="5" t="s">
        <v>1429</v>
      </c>
      <c r="C41" s="5" t="s">
        <v>1430</v>
      </c>
      <c r="D41" s="9" t="s">
        <v>1213</v>
      </c>
    </row>
    <row r="42" customFormat="false" ht="23.85" hidden="false" customHeight="false" outlineLevel="0" collapsed="false">
      <c r="A42" s="9" t="n">
        <v>39</v>
      </c>
      <c r="B42" s="5" t="s">
        <v>1431</v>
      </c>
      <c r="C42" s="5" t="s">
        <v>1432</v>
      </c>
      <c r="D42" s="9" t="s">
        <v>1433</v>
      </c>
    </row>
    <row r="43" customFormat="false" ht="15" hidden="false" customHeight="false" outlineLevel="0" collapsed="false">
      <c r="A43" s="9" t="n">
        <v>40</v>
      </c>
      <c r="B43" s="5" t="s">
        <v>1434</v>
      </c>
      <c r="C43" s="5" t="s">
        <v>1435</v>
      </c>
      <c r="D43" s="9" t="s">
        <v>1436</v>
      </c>
    </row>
    <row r="44" customFormat="false" ht="15" hidden="false" customHeight="false" outlineLevel="0" collapsed="false">
      <c r="A44" s="9" t="n">
        <v>41</v>
      </c>
      <c r="B44" s="5" t="s">
        <v>1437</v>
      </c>
      <c r="C44" s="5" t="s">
        <v>1438</v>
      </c>
      <c r="D44" s="9" t="s">
        <v>1439</v>
      </c>
    </row>
    <row r="45" customFormat="false" ht="23.85" hidden="false" customHeight="false" outlineLevel="0" collapsed="false">
      <c r="A45" s="9" t="n">
        <v>42</v>
      </c>
      <c r="B45" s="5" t="s">
        <v>1440</v>
      </c>
      <c r="C45" s="5" t="s">
        <v>1441</v>
      </c>
      <c r="D45" s="9" t="s">
        <v>1442</v>
      </c>
    </row>
    <row r="46" customFormat="false" ht="15" hidden="false" customHeight="false" outlineLevel="0" collapsed="false">
      <c r="A46" s="9" t="n">
        <v>43</v>
      </c>
      <c r="B46" s="5" t="s">
        <v>1443</v>
      </c>
      <c r="C46" s="5" t="s">
        <v>1444</v>
      </c>
      <c r="D46" s="9" t="s">
        <v>1445</v>
      </c>
    </row>
    <row r="47" customFormat="false" ht="15" hidden="false" customHeight="false" outlineLevel="0" collapsed="false">
      <c r="A47" s="9" t="n">
        <v>44</v>
      </c>
      <c r="B47" s="5" t="s">
        <v>1446</v>
      </c>
      <c r="C47" s="5" t="s">
        <v>1447</v>
      </c>
      <c r="D47" s="9" t="s">
        <v>1448</v>
      </c>
    </row>
    <row r="48" customFormat="false" ht="15" hidden="false" customHeight="false" outlineLevel="0" collapsed="false">
      <c r="A48" s="9" t="n">
        <v>45</v>
      </c>
      <c r="B48" s="5" t="s">
        <v>1449</v>
      </c>
      <c r="C48" s="5" t="s">
        <v>1450</v>
      </c>
      <c r="D48" s="9" t="s">
        <v>1451</v>
      </c>
    </row>
    <row r="49" customFormat="false" ht="23.85" hidden="false" customHeight="false" outlineLevel="0" collapsed="false">
      <c r="A49" s="9" t="n">
        <v>46</v>
      </c>
      <c r="B49" s="5" t="s">
        <v>1452</v>
      </c>
      <c r="C49" s="5" t="s">
        <v>1453</v>
      </c>
      <c r="D49" s="9" t="s">
        <v>1454</v>
      </c>
    </row>
    <row r="50" customFormat="false" ht="15" hidden="false" customHeight="false" outlineLevel="0" collapsed="false">
      <c r="A50" s="9" t="n">
        <v>47</v>
      </c>
      <c r="B50" s="5" t="s">
        <v>1455</v>
      </c>
      <c r="C50" s="5" t="s">
        <v>1456</v>
      </c>
      <c r="D50" s="9" t="s">
        <v>1457</v>
      </c>
    </row>
    <row r="51" customFormat="false" ht="23.85" hidden="false" customHeight="false" outlineLevel="0" collapsed="false">
      <c r="A51" s="9" t="n">
        <v>48</v>
      </c>
      <c r="B51" s="5" t="s">
        <v>1458</v>
      </c>
      <c r="C51" s="5" t="s">
        <v>1459</v>
      </c>
      <c r="D51" s="9" t="s">
        <v>1460</v>
      </c>
    </row>
    <row r="52" customFormat="false" ht="23.85" hidden="false" customHeight="false" outlineLevel="0" collapsed="false">
      <c r="A52" s="9" t="n">
        <v>49</v>
      </c>
      <c r="B52" s="5" t="s">
        <v>1461</v>
      </c>
      <c r="C52" s="5" t="s">
        <v>1462</v>
      </c>
      <c r="D52" s="9" t="s">
        <v>1442</v>
      </c>
    </row>
    <row r="53" customFormat="false" ht="15" hidden="false" customHeight="false" outlineLevel="0" collapsed="false">
      <c r="A53" s="9" t="n">
        <v>50</v>
      </c>
      <c r="B53" s="5" t="s">
        <v>1463</v>
      </c>
      <c r="C53" s="5" t="s">
        <v>1464</v>
      </c>
      <c r="D53" s="9" t="s">
        <v>1465</v>
      </c>
    </row>
    <row r="54" customFormat="false" ht="15" hidden="false" customHeight="false" outlineLevel="0" collapsed="false">
      <c r="A54" s="9" t="n">
        <v>51</v>
      </c>
      <c r="B54" s="5" t="s">
        <v>1466</v>
      </c>
      <c r="C54" s="5" t="s">
        <v>1467</v>
      </c>
      <c r="D54" s="9" t="s">
        <v>1468</v>
      </c>
    </row>
    <row r="55" customFormat="false" ht="23.85" hidden="false" customHeight="false" outlineLevel="0" collapsed="false">
      <c r="A55" s="9" t="n">
        <v>52</v>
      </c>
      <c r="B55" s="5" t="s">
        <v>1469</v>
      </c>
      <c r="C55" s="5" t="s">
        <v>1470</v>
      </c>
      <c r="D55" s="9" t="s">
        <v>1471</v>
      </c>
    </row>
    <row r="56" customFormat="false" ht="15" hidden="false" customHeight="false" outlineLevel="0" collapsed="false">
      <c r="A56" s="9" t="n">
        <v>53</v>
      </c>
      <c r="B56" s="5" t="s">
        <v>1472</v>
      </c>
      <c r="C56" s="5" t="s">
        <v>1473</v>
      </c>
      <c r="D56" s="9" t="s">
        <v>1474</v>
      </c>
    </row>
    <row r="57" customFormat="false" ht="23.85" hidden="false" customHeight="false" outlineLevel="0" collapsed="false">
      <c r="A57" s="9" t="n">
        <v>54</v>
      </c>
      <c r="B57" s="5" t="s">
        <v>1475</v>
      </c>
      <c r="C57" s="5" t="s">
        <v>1476</v>
      </c>
      <c r="D57" s="9" t="s">
        <v>1477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F7F7F"/>
    <pageSetUpPr fitToPage="false"/>
  </sheetPr>
  <dimension ref="A1:E2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46"/>
    <col collapsed="false" customWidth="true" hidden="false" outlineLevel="0" max="2" min="2" style="0" width="18"/>
    <col collapsed="false" customWidth="true" hidden="false" outlineLevel="0" max="3" min="3" style="0" width="22"/>
    <col collapsed="false" customWidth="true" hidden="false" outlineLevel="0" max="5" min="4" style="0" width="60"/>
  </cols>
  <sheetData>
    <row r="1" customFormat="false" ht="18" hidden="false" customHeight="true" outlineLevel="0" collapsed="false">
      <c r="A1" s="6" t="s">
        <v>1478</v>
      </c>
      <c r="B1" s="2"/>
      <c r="C1" s="2"/>
      <c r="D1" s="2"/>
      <c r="E1" s="2"/>
    </row>
    <row r="3" customFormat="false" ht="15" hidden="false" customHeight="false" outlineLevel="0" collapsed="false">
      <c r="A3" s="81" t="s">
        <v>56</v>
      </c>
      <c r="B3" s="81" t="s">
        <v>1479</v>
      </c>
      <c r="C3" s="81" t="s">
        <v>1480</v>
      </c>
      <c r="D3" s="81" t="s">
        <v>1481</v>
      </c>
      <c r="E3" s="81" t="s">
        <v>1482</v>
      </c>
    </row>
    <row r="4" customFormat="false" ht="30" hidden="false" customHeight="true" outlineLevel="0" collapsed="false">
      <c r="A4" s="9" t="s">
        <v>1483</v>
      </c>
      <c r="B4" s="82" t="n">
        <f aca="false">c_mult</f>
        <v>18.1818181818182</v>
      </c>
      <c r="C4" s="9" t="s">
        <v>1484</v>
      </c>
      <c r="D4" s="5" t="s">
        <v>1485</v>
      </c>
      <c r="E4" s="5" t="s">
        <v>1486</v>
      </c>
    </row>
    <row r="5" customFormat="false" ht="30" hidden="false" customHeight="true" outlineLevel="0" collapsed="false">
      <c r="A5" s="9" t="s">
        <v>1487</v>
      </c>
      <c r="B5" s="47" t="n">
        <f aca="false">c_price</f>
        <v>1855.46875</v>
      </c>
      <c r="C5" s="9" t="s">
        <v>1484</v>
      </c>
      <c r="D5" s="5" t="s">
        <v>1488</v>
      </c>
      <c r="E5" s="5" t="s">
        <v>1489</v>
      </c>
    </row>
    <row r="6" customFormat="false" ht="30" hidden="false" customHeight="true" outlineLevel="0" collapsed="false">
      <c r="A6" s="9" t="s">
        <v>1490</v>
      </c>
      <c r="B6" s="52" t="n">
        <f aca="false">c_new_shares_case</f>
        <v>1.024</v>
      </c>
      <c r="C6" s="9" t="s">
        <v>1484</v>
      </c>
      <c r="D6" s="5" t="s">
        <v>1491</v>
      </c>
      <c r="E6" s="5" t="s">
        <v>1492</v>
      </c>
    </row>
    <row r="7" customFormat="false" ht="30" hidden="false" customHeight="true" outlineLevel="0" collapsed="false">
      <c r="A7" s="9" t="s">
        <v>1493</v>
      </c>
      <c r="B7" s="47" t="n">
        <f aca="false">dcf_ev</f>
        <v>1218.80426198761</v>
      </c>
      <c r="C7" s="9" t="s">
        <v>1494</v>
      </c>
      <c r="D7" s="5" t="s">
        <v>1495</v>
      </c>
      <c r="E7" s="5" t="s">
        <v>1496</v>
      </c>
    </row>
    <row r="8" customFormat="false" ht="30" hidden="false" customHeight="true" outlineLevel="0" collapsed="false">
      <c r="A8" s="9" t="s">
        <v>1497</v>
      </c>
      <c r="B8" s="56" t="n">
        <f aca="false">dcf_be_growth</f>
        <v>0.368431085656486</v>
      </c>
      <c r="C8" s="9" t="s">
        <v>1498</v>
      </c>
      <c r="D8" s="5" t="s">
        <v>1499</v>
      </c>
      <c r="E8" s="5" t="s">
        <v>1500</v>
      </c>
    </row>
    <row r="9" customFormat="false" ht="30" hidden="false" customHeight="true" outlineLevel="0" collapsed="false">
      <c r="A9" s="9" t="s">
        <v>1501</v>
      </c>
      <c r="B9" s="53" t="n">
        <f aca="false">e_eps_y1</f>
        <v>5.25613619586614</v>
      </c>
      <c r="C9" s="9" t="s">
        <v>1502</v>
      </c>
      <c r="D9" s="5" t="s">
        <v>1503</v>
      </c>
      <c r="E9" s="5" t="s">
        <v>1504</v>
      </c>
    </row>
    <row r="10" customFormat="false" ht="30" hidden="false" customHeight="true" outlineLevel="0" collapsed="false">
      <c r="A10" s="9" t="s">
        <v>1505</v>
      </c>
      <c r="B10" s="56" t="n">
        <f aca="false">e_eps_y1/cf_eps-1</f>
        <v>-0.299181840551181</v>
      </c>
      <c r="C10" s="9" t="s">
        <v>1484</v>
      </c>
      <c r="D10" s="5" t="s">
        <v>1506</v>
      </c>
      <c r="E10" s="5" t="s">
        <v>1507</v>
      </c>
    </row>
    <row r="11" customFormat="false" ht="30" hidden="false" customHeight="true" outlineLevel="0" collapsed="false">
      <c r="A11" s="9" t="s">
        <v>1508</v>
      </c>
      <c r="B11" s="47" t="n">
        <f aca="false">e_fcf_y1</f>
        <v>-1045.475</v>
      </c>
      <c r="C11" s="9" t="s">
        <v>1484</v>
      </c>
      <c r="D11" s="5" t="s">
        <v>1509</v>
      </c>
      <c r="E11" s="5" t="s">
        <v>1510</v>
      </c>
    </row>
    <row r="12" customFormat="false" ht="30" hidden="false" customHeight="true" outlineLevel="0" collapsed="false">
      <c r="A12" s="9" t="s">
        <v>1511</v>
      </c>
      <c r="B12" s="58" t="n">
        <f aca="false">e_fcf_be</f>
        <v>99</v>
      </c>
      <c r="C12" s="9" t="s">
        <v>1484</v>
      </c>
      <c r="D12" s="5" t="s">
        <v>1512</v>
      </c>
      <c r="E12" s="5" t="s">
        <v>1513</v>
      </c>
    </row>
    <row r="13" customFormat="false" ht="30" hidden="false" customHeight="true" outlineLevel="0" collapsed="false">
      <c r="A13" s="9" t="s">
        <v>1514</v>
      </c>
      <c r="B13" s="58" t="n">
        <f aca="false">e_pat_be</f>
        <v>99</v>
      </c>
      <c r="C13" s="9" t="s">
        <v>1484</v>
      </c>
      <c r="D13" s="5" t="s">
        <v>1515</v>
      </c>
      <c r="E13" s="5" t="s">
        <v>1516</v>
      </c>
    </row>
    <row r="14" customFormat="false" ht="30" hidden="false" customHeight="true" outlineLevel="0" collapsed="false">
      <c r="A14" s="9" t="s">
        <v>1517</v>
      </c>
      <c r="B14" s="47" t="n">
        <f aca="false">e_npv</f>
        <v>-7486.75737685072</v>
      </c>
      <c r="C14" s="9" t="s">
        <v>1484</v>
      </c>
      <c r="D14" s="5" t="s">
        <v>1518</v>
      </c>
      <c r="E14" s="5" t="s">
        <v>1519</v>
      </c>
    </row>
    <row r="15" customFormat="false" ht="30" hidden="false" customHeight="true" outlineLevel="0" collapsed="false">
      <c r="A15" s="9" t="s">
        <v>1520</v>
      </c>
      <c r="B15" s="47" t="n">
        <f aca="false">e_pv_drag</f>
        <v>4069.68260696466</v>
      </c>
      <c r="C15" s="9" t="s">
        <v>1484</v>
      </c>
      <c r="D15" s="5" t="s">
        <v>1521</v>
      </c>
      <c r="E15" s="5" t="s">
        <v>1522</v>
      </c>
    </row>
    <row r="16" customFormat="false" ht="30" hidden="false" customHeight="true" outlineLevel="0" collapsed="false">
      <c r="A16" s="9" t="s">
        <v>1523</v>
      </c>
      <c r="B16" s="47" t="n">
        <f aca="false">cd_max_drag</f>
        <v>-629.731191574665</v>
      </c>
      <c r="C16" s="9" t="s">
        <v>1484</v>
      </c>
      <c r="D16" s="5" t="s">
        <v>1524</v>
      </c>
      <c r="E16" s="5" t="s">
        <v>1525</v>
      </c>
    </row>
    <row r="17" customFormat="false" ht="30" hidden="false" customHeight="true" outlineLevel="0" collapsed="false">
      <c r="A17" s="9" t="s">
        <v>1526</v>
      </c>
      <c r="B17" s="56" t="str">
        <f aca="false">ch_max_churn</f>
        <v>none: NPV&lt;0 even at 0% churn</v>
      </c>
      <c r="C17" s="9" t="s">
        <v>1484</v>
      </c>
      <c r="D17" s="5" t="s">
        <v>1527</v>
      </c>
      <c r="E17" s="5" t="s">
        <v>1528</v>
      </c>
    </row>
    <row r="18" customFormat="false" ht="30" hidden="false" customHeight="true" outlineLevel="0" collapsed="false">
      <c r="A18" s="9" t="s">
        <v>1529</v>
      </c>
      <c r="B18" s="56" t="str">
        <f aca="false">ch_max_churn_nodrag</f>
        <v>none: NPV&lt;0 even at 0% churn</v>
      </c>
      <c r="C18" s="9" t="s">
        <v>1484</v>
      </c>
      <c r="D18" s="5" t="s">
        <v>1530</v>
      </c>
      <c r="E18" s="5" t="s">
        <v>1531</v>
      </c>
    </row>
    <row r="19" customFormat="false" ht="30" hidden="false" customHeight="true" outlineLevel="0" collapsed="false">
      <c r="A19" s="9" t="s">
        <v>1532</v>
      </c>
      <c r="B19" s="40" t="n">
        <f aca="false">cf_mdr*a_mdr_flow*(1-a_tax)</f>
        <v>69</v>
      </c>
      <c r="C19" s="9" t="s">
        <v>1533</v>
      </c>
      <c r="D19" s="5" t="s">
        <v>1534</v>
      </c>
      <c r="E19" s="5" t="s">
        <v>1535</v>
      </c>
    </row>
    <row r="20" customFormat="false" ht="30" hidden="false" customHeight="true" outlineLevel="0" collapsed="false">
      <c r="A20" s="9" t="s">
        <v>1536</v>
      </c>
      <c r="B20" s="47" t="n">
        <f aca="false">lv_min_price</f>
        <v>650</v>
      </c>
      <c r="C20" s="9" t="s">
        <v>1537</v>
      </c>
      <c r="D20" s="5" t="s">
        <v>1538</v>
      </c>
      <c r="E20" s="5" t="s">
        <v>1539</v>
      </c>
    </row>
    <row r="21" customFormat="false" ht="30" hidden="false" customHeight="true" outlineLevel="0" collapsed="false">
      <c r="A21" s="9" t="s">
        <v>1540</v>
      </c>
      <c r="B21" s="47" t="n">
        <f aca="false">th_min_npv</f>
        <v>-348.110891883221</v>
      </c>
      <c r="C21" s="9" t="s">
        <v>1484</v>
      </c>
      <c r="D21" s="5" t="s">
        <v>1541</v>
      </c>
      <c r="E21" s="5" t="s">
        <v>1542</v>
      </c>
    </row>
    <row r="22" customFormat="false" ht="30" hidden="false" customHeight="true" outlineLevel="0" collapsed="false">
      <c r="A22" s="9" t="s">
        <v>1543</v>
      </c>
      <c r="B22" s="47" t="n">
        <f aca="false">th_hy_npv</f>
        <v>-1187.33958986171</v>
      </c>
      <c r="C22" s="9" t="s">
        <v>1484</v>
      </c>
      <c r="D22" s="5" t="s">
        <v>1544</v>
      </c>
      <c r="E22" s="5" t="s">
        <v>1545</v>
      </c>
    </row>
    <row r="23" customFormat="false" ht="30" hidden="false" customHeight="true" outlineLevel="0" collapsed="false">
      <c r="A23" s="9" t="s">
        <v>1546</v>
      </c>
      <c r="B23" s="47" t="n">
        <f aca="false">hy_max_total</f>
        <v>2603.6</v>
      </c>
      <c r="C23" s="9" t="s">
        <v>1484</v>
      </c>
      <c r="D23" s="5" t="s">
        <v>1547</v>
      </c>
      <c r="E23" s="5" t="s">
        <v>1548</v>
      </c>
    </row>
    <row r="24" customFormat="false" ht="30" hidden="false" customHeight="true" outlineLevel="0" collapsed="false">
      <c r="A24" s="9" t="s">
        <v>1549</v>
      </c>
      <c r="B24" s="47" t="n">
        <f aca="false">th_max_price_full</f>
        <v>-3486.75737685072</v>
      </c>
      <c r="C24" s="9" t="s">
        <v>1484</v>
      </c>
      <c r="D24" s="5" t="s">
        <v>1550</v>
      </c>
      <c r="E24" s="5" t="s">
        <v>94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2026-09-23T15:26:47Z</dcterms:created>
  <dc:creator>openpyxl</dc:creator>
  <dc:description/>
  <dc:language>en-US</dc:language>
  <cp:lastModifiedBy/>
  <dcterms:modified xsi:type="dcterms:W3CDTF">2026-09-23T15:26:48Z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