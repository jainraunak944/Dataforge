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Inputs" sheetId="2" state="visible" r:id="rId4"/>
    <sheet name="BOM" sheetId="3" state="visible" r:id="rId5"/>
    <sheet name="Energy_Range" sheetId="4" state="visible" r:id="rId6"/>
    <sheet name="TCO" sheetId="5" state="visible" r:id="rId7"/>
    <sheet name="H2_Supply" sheetId="6" state="visible" r:id="rId8"/>
    <sheet name="Market" sheetId="7" state="visible" r:id="rId9"/>
    <sheet name="Pilot_Budget" sheetId="8" state="visible" r:id="rId10"/>
    <sheet name="Emissions" sheetId="9" state="visible" r:id="rId11"/>
    <sheet name="Sensitivities" sheetId="10" state="visible" r:id="rId12"/>
    <sheet name="Donor_Tech" sheetId="11" state="visible" r:id="rId13"/>
    <sheet name="Sourc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<sst xmlns="http://schemas.openxmlformats.org/spreadsheetml/2006/main" count="4427" uniqueCount="3066">
  <si>
    <t xml:space="preserve">H2-SHIFT Round 2 model: hydrogen retrofit of factory-CNG passenger cars versus continuing on CNG and versus a BEV</t>
  </si>
  <si>
    <t xml:space="preserve">Team Wookies, NIT Warangal. SRDI Igniters Innovation Challenge 2026, Engineering Track, Option 2. Research cut-off 14 September 2026.</t>
  </si>
  <si>
    <t xml:space="preserve">Purpose: one consistent set of inputs feeding the presentation, annexure and pitch. All outputs are formulas; change inputs only on the Inputs sheet.</t>
  </si>
  <si>
    <t xml:space="preserve">Scenario selector: Inputs!C3 (1 = Base, 2 = Downside for the retrofit case, 3 = Upside for the retrofit case). 'Downside' means the retrofit looks worse (for example cheaper CNG, dearer hydrogen).</t>
  </si>
  <si>
    <t xml:space="preserve">Colour code: blue text on yellow = input; black = formula; green header = key output.</t>
  </si>
  <si>
    <t xml:space="preserve">Evidence classes on the Inputs sheet: A = verified external evidence; B = our calculated estimate; C = explicit assumption or sensitivity range; D = proposed target requiring validation.</t>
  </si>
  <si>
    <t xml:space="preserve">Options compared for an owner deciding in the decision year: A = continue operating the CNG donor; B = retrofit the donor to hydrogen (H2-ICE, petrol retained as backup); C = sell the donor and buy a compact fleet BEV.</t>
  </si>
  <si>
    <t xml:space="preserve">Fairness rules: the donor's resale value is a cash inflow only in option C (sold at t0); options A and B receive the donor's residual value at the end of the horizon instead. No depreciation is charged in addition to capital cost. Battery replacement is not assumed within the horizon (warranty evidence on Inputs). Charging during idle hours carries no time cost; in-shift charging or refuelling carries a time cost in all three options.</t>
  </si>
  <si>
    <t xml:space="preserve">Levelised cost per km = NPV of costs divided by discounted kilometres. Break-even hydrogen price = the year-1 delivered price at which option B has the same NPV as the comparator, holding the same price trajectory shape.</t>
  </si>
  <si>
    <t xml:space="preserve">Hydrogen price is the delivered price at the dispenser and is built up on the H2_Supply sheet (production, transport, compression electricity, station capital recovery at a stated utilisation, O&amp;M, losses, margin and taxes). Station capital is recovered through the fuel price only, never allocated twice.</t>
  </si>
  <si>
    <t xml:space="preserve">Sheets: Inputs; Donor_Tech (donor and technology comparison); BOM (conversion cost, pilot versus commercial volume); Energy_Range (energy balance, storage, range, mass, power); TCO (cash flows, NPVs, break-even); H2_Supply (fleet demand, station sizing, delivered price, utilisation); Market (bottom-up sizing); Pilot_Budget (phases, budget, rollout); Emissions (per-km and fleet-scale); Sensitivities (grids and one-at-a-time); Sources (register).</t>
  </si>
  <si>
    <t xml:space="preserve">Recalculated with LibreOffice Calc (headless) on the build date; open in Excel and press F9 if values do not appear.</t>
  </si>
  <si>
    <t xml:space="preserve">Limitations: many external documents were inaccessible through the build environment's network policy; such inputs are flagged in Sources with 'excerpt' or 'summary' status and should be re-verified against originals before publication.</t>
  </si>
  <si>
    <t xml:space="preserve">Inputs (single source of truth)</t>
  </si>
  <si>
    <t xml:space="preserve">Change values in the Base / Downside / Upside columns only. Active column follows the scenario selector.</t>
  </si>
  <si>
    <t xml:space="preserve">Scenario selector (1 Base, 2 Downside, 3 Upside):</t>
  </si>
  <si>
    <t xml:space="preserve">Key</t>
  </si>
  <si>
    <t xml:space="preserve">Parameter</t>
  </si>
  <si>
    <t xml:space="preserve">Base</t>
  </si>
  <si>
    <t xml:space="preserve">Downside</t>
  </si>
  <si>
    <t xml:space="preserve">Upside</t>
  </si>
  <si>
    <t xml:space="preserve">Active</t>
  </si>
  <si>
    <t xml:space="preserve">Unit</t>
  </si>
  <si>
    <t xml:space="preserve">Class</t>
  </si>
  <si>
    <t xml:space="preserve">Source IDs</t>
  </si>
  <si>
    <t xml:space="preserve">Notes</t>
  </si>
  <si>
    <t xml:space="preserve">General frame</t>
  </si>
  <si>
    <t xml:space="preserve">decision_year</t>
  </si>
  <si>
    <t xml:space="preserve">Decision year for the owner's choice (first commercial kits after certification)</t>
  </si>
  <si>
    <t xml:space="preserve">year</t>
  </si>
  <si>
    <t xml:space="preserve">C</t>
  </si>
  <si>
    <t xml:space="preserve">Pilot vehicles run from 2028; owner decision modelled at commercial availability</t>
  </si>
  <si>
    <t xml:space="preserve">horizon</t>
  </si>
  <si>
    <t xml:space="preserve">Analysis horizon (fixed at 5 years in the cash-flow table)</t>
  </si>
  <si>
    <t xml:space="preserve">years</t>
  </si>
  <si>
    <t xml:space="preserve">Remaining useful life of a 3-year-old fleet sedan</t>
  </si>
  <si>
    <t xml:space="preserve">disc</t>
  </si>
  <si>
    <t xml:space="preserve">Discount rate (nominal)</t>
  </si>
  <si>
    <t xml:space="preserve">fraction</t>
  </si>
  <si>
    <t xml:space="preserve">A</t>
  </si>
  <si>
    <t xml:space="preserve">W4-S29</t>
  </si>
  <si>
    <t xml:space="preserve">NBFC fleet loan rates 10-16 percent</t>
  </si>
  <si>
    <t xml:space="preserve">days</t>
  </si>
  <si>
    <t xml:space="preserve">Operating days per year</t>
  </si>
  <si>
    <t xml:space="preserve">R1</t>
  </si>
  <si>
    <t xml:space="preserve">Fleet taxi benchmark (Round 1)</t>
  </si>
  <si>
    <t xml:space="preserve">km_day</t>
  </si>
  <si>
    <t xml:space="preserve">Kilometres per operating day</t>
  </si>
  <si>
    <t xml:space="preserve">km/day</t>
  </si>
  <si>
    <t xml:space="preserve">W4-S30</t>
  </si>
  <si>
    <t xml:space="preserve">55,000 km/yr base; NITI Aayog Feb 2026 plans 70,000 km/yr for 4W taxis (downside); Round 1 used 150</t>
  </si>
  <si>
    <t xml:space="preserve">fuel_esc</t>
  </si>
  <si>
    <t xml:space="preserve">Annual escalation of petrol and CNG prices</t>
  </si>
  <si>
    <t xml:space="preserve">fraction/yr</t>
  </si>
  <si>
    <t xml:space="preserve">Nominal</t>
  </si>
  <si>
    <t xml:space="preserve">elec_esc</t>
  </si>
  <si>
    <t xml:space="preserve">Annual escalation of electricity tariffs</t>
  </si>
  <si>
    <t xml:space="preserve">vot</t>
  </si>
  <si>
    <t xml:space="preserve">Value of in-shift time lost to refuelling or charging</t>
  </si>
  <si>
    <t xml:space="preserve">Rs/hour</t>
  </si>
  <si>
    <t xml:space="preserve">Approximate contribution margin per hour of a fleet taxi</t>
  </si>
  <si>
    <t xml:space="preserve">Donor vehicle (Maruti Suzuki Dzire Tour S CNG, about 3 years old at decision)</t>
  </si>
  <si>
    <t xml:space="preserve">donor_value_now</t>
  </si>
  <si>
    <t xml:space="preserve">Resale value of donor at decision date (taxi-registered)</t>
  </si>
  <si>
    <t xml:space="preserve">Rs</t>
  </si>
  <si>
    <t xml:space="preserve">W4-S28</t>
  </si>
  <si>
    <t xml:space="preserve">New Tour S CNG ex-showroom about Rs 7.1 lakh; taxi retention 45-55 percent at 3-4 years; higher value favours selling for a BEV</t>
  </si>
  <si>
    <t xml:space="preserve">donor_value_end</t>
  </si>
  <si>
    <t xml:space="preserve">Residual value of donor at end of horizon (about 8 years old, high km)</t>
  </si>
  <si>
    <t xml:space="preserve">cng_price</t>
  </si>
  <si>
    <t xml:space="preserve">CNG retail price, Delhi (IGL), September 2026</t>
  </si>
  <si>
    <t xml:space="preserve">Rs/kg</t>
  </si>
  <si>
    <t xml:space="preserve">W4-S16</t>
  </si>
  <si>
    <t xml:space="preserve">Rs 86.98/kg on 14 Sep 2026 (aggregator); Ahmedabad Rs 94; lower CNG price is downside for the retrofit</t>
  </si>
  <si>
    <t xml:space="preserve">cng_kmkg</t>
  </si>
  <si>
    <t xml:space="preserve">CNG consumption in fleet use (real world, AC, load)</t>
  </si>
  <si>
    <t xml:space="preserve">km/kg</t>
  </si>
  <si>
    <t xml:space="preserve">W1-S3b;W1-S8a</t>
  </si>
  <si>
    <t xml:space="preserve">Declared 32.1 km/kg (Tour S); owner reports 24-30; fleet use assumed lower</t>
  </si>
  <si>
    <t xml:space="preserve">petrol_price</t>
  </si>
  <si>
    <t xml:space="preserve">Petrol retail price, Delhi</t>
  </si>
  <si>
    <t xml:space="preserve">Rs/L</t>
  </si>
  <si>
    <t xml:space="preserve">W4-S19</t>
  </si>
  <si>
    <t xml:space="preserve">Rs 102.12/L verified 25 May 2026; aggregators show Rs 111 in Sep 2026</t>
  </si>
  <si>
    <t xml:space="preserve">petrol_kml</t>
  </si>
  <si>
    <t xml:space="preserve">Petrol consumption in fleet use (real world, AC)</t>
  </si>
  <si>
    <t xml:space="preserve">km/L</t>
  </si>
  <si>
    <t xml:space="preserve">W1-S3a</t>
  </si>
  <si>
    <t xml:space="preserve">Declared 26.1 km/L (Tour S); fleet use assumed lower</t>
  </si>
  <si>
    <t xml:space="preserve">petrol_share_cng</t>
  </si>
  <si>
    <t xml:space="preserve">Share of km run on petrol by the CNG car (CNG unavailable, queues)</t>
  </si>
  <si>
    <t xml:space="preserve">maint_cng</t>
  </si>
  <si>
    <t xml:space="preserve">Maintenance and tyres, CNG car</t>
  </si>
  <si>
    <t xml:space="preserve">Rs/km</t>
  </si>
  <si>
    <t xml:space="preserve">W4-S22</t>
  </si>
  <si>
    <t xml:space="preserve">CEEW 2025 Table 5 to be transcribed; Round 1 value retained</t>
  </si>
  <si>
    <t xml:space="preserve">ins_cng</t>
  </si>
  <si>
    <t xml:space="preserve">Insurance per year, CNG car</t>
  </si>
  <si>
    <t xml:space="preserve">Rs/yr</t>
  </si>
  <si>
    <t xml:space="preserve">cng_retest</t>
  </si>
  <si>
    <t xml:space="preserve">CNG cylinder hydrostatic test every 3 years</t>
  </si>
  <si>
    <t xml:space="preserve">Rs per test</t>
  </si>
  <si>
    <t xml:space="preserve">W2-S24</t>
  </si>
  <si>
    <t xml:space="preserve">Gas Cylinder Rules: 3-yearly test</t>
  </si>
  <si>
    <t xml:space="preserve">time_cng_h</t>
  </si>
  <si>
    <t xml:space="preserve">In-shift time lost refuelling CNG per day (queues)</t>
  </si>
  <si>
    <t xml:space="preserve">hours/day</t>
  </si>
  <si>
    <t xml:space="preserve">Hydrogen retrofit (H2-ICE, port injection, 350 bar composite cylinder, petrol retained as automatic backup)</t>
  </si>
  <si>
    <t xml:space="preserve">kit_cost</t>
  </si>
  <si>
    <t xml:space="preserve">Installed conversion cost at commercial volume, incl. taxes (from BOM sheet)</t>
  </si>
  <si>
    <t xml:space="preserve">B</t>
  </si>
  <si>
    <t xml:space="preserve">BOM</t>
  </si>
  <si>
    <t xml:space="preserve">Linked to BOM volume total</t>
  </si>
  <si>
    <t xml:space="preserve">kit_cost_pilot</t>
  </si>
  <si>
    <t xml:space="preserve">Installed conversion cost per pilot vehicle (from BOM sheet)</t>
  </si>
  <si>
    <t xml:space="preserve">salvage_cng</t>
  </si>
  <si>
    <t xml:space="preserve">Credit for removed CNG cylinder and kit</t>
  </si>
  <si>
    <t xml:space="preserve">Requalified cylinder resale</t>
  </si>
  <si>
    <t xml:space="preserve">downtime_days</t>
  </si>
  <si>
    <t xml:space="preserve">Conversion downtime</t>
  </si>
  <si>
    <t xml:space="preserve">lost_margin_day</t>
  </si>
  <si>
    <t xml:space="preserve">Lost contribution per day of downtime</t>
  </si>
  <si>
    <t xml:space="preserve">Rs/day</t>
  </si>
  <si>
    <t xml:space="preserve">h2_cons</t>
  </si>
  <si>
    <t xml:space="preserve">Hydrogen consumption, H2-ICE mode, fleet use (real world, AC)</t>
  </si>
  <si>
    <t xml:space="preserve">kg/100 km</t>
  </si>
  <si>
    <t xml:space="preserve">W1-S12a;W1-S12c;W1-S9a</t>
  </si>
  <si>
    <t xml:space="preserve">Energy balance versus CNG (Energy_Range); Ford Focus H2RV 1.4, Mazda RX-8 RE 2.4, HiAce van 3.1 kg/100 km</t>
  </si>
  <si>
    <t xml:space="preserve">h2_share</t>
  </si>
  <si>
    <t xml:space="preserve">Share of km driven on hydrogen (rest on petrol backup)</t>
  </si>
  <si>
    <t xml:space="preserve">Two depot fills per day; check Energy_Range max share</t>
  </si>
  <si>
    <t xml:space="preserve">h2_price_y1</t>
  </si>
  <si>
    <t xml:space="preserve">Delivered hydrogen price at dispenser, year 1 (2028), unsubsidised, shared hub station</t>
  </si>
  <si>
    <t xml:space="preserve">W4-S22;W4-S46</t>
  </si>
  <si>
    <t xml:space="preserve">CEEW: small-network refuelling today above USD 10/kg; H2_Supply build-up gives the pilot-station price</t>
  </si>
  <si>
    <t xml:space="preserve">h2_change</t>
  </si>
  <si>
    <t xml:space="preserve">Annual change in delivered hydrogen price</t>
  </si>
  <si>
    <t xml:space="preserve">CEEW path to USD 4.2/kg (about Rs 360) delivered in 2030</t>
  </si>
  <si>
    <t xml:space="preserve">maint_h2</t>
  </si>
  <si>
    <t xml:space="preserve">Maintenance and tyres, retrofitted car</t>
  </si>
  <si>
    <t xml:space="preserve">Adds injector, sensor, regulator service</t>
  </si>
  <si>
    <t xml:space="preserve">ins_h2</t>
  </si>
  <si>
    <t xml:space="preserve">Insurance per year, retrofitted car</t>
  </si>
  <si>
    <t xml:space="preserve">W2-S53</t>
  </si>
  <si>
    <t xml:space="preserve">No IMT endorsement exists for hydrogen kits; assumes insurer accepts endorsed retrofit</t>
  </si>
  <si>
    <t xml:space="preserve">h2_inspect_yr</t>
  </si>
  <si>
    <t xml:space="preserve">Hydrogen system inspection and 3-yearly cylinder requalification, annualised</t>
  </si>
  <si>
    <t xml:space="preserve">time_h2_h</t>
  </si>
  <si>
    <t xml:space="preserve">In-shift time lost for hydrogen refuelling and detour per day</t>
  </si>
  <si>
    <t xml:space="preserve">Two short fills at a depot dispenser</t>
  </si>
  <si>
    <t xml:space="preserve">mod_resid_factor</t>
  </si>
  <si>
    <t xml:space="preserve">Residual value factor for a modified vehicle</t>
  </si>
  <si>
    <t xml:space="preserve">kit_resid</t>
  </si>
  <si>
    <t xml:space="preserve">Residual value of the kit at end of horizon</t>
  </si>
  <si>
    <t xml:space="preserve">BEV alternative (sell donor, buy compact fleet BEV)</t>
  </si>
  <si>
    <t xml:space="preserve">bev_price</t>
  </si>
  <si>
    <t xml:space="preserve">BEV ex-showroom price incl. GST (compact fleet BEV, 24-30 kWh)</t>
  </si>
  <si>
    <t xml:space="preserve">W3-S27;W3-S25</t>
  </si>
  <si>
    <t xml:space="preserve">Tata Tiago EV Rs 6.99-10.09 lakh, Punch EV Rs 9.69-12.59 lakh (2026), Xpres-T fleet EV from Rs 13.04 lakh</t>
  </si>
  <si>
    <t xml:space="preserve">bev_onroad</t>
  </si>
  <si>
    <t xml:space="preserve">Registration and first-year extras beyond ex-showroom</t>
  </si>
  <si>
    <t xml:space="preserve">W4-S25</t>
  </si>
  <si>
    <t xml:space="preserve">Delhi EV Policy 2026 waives road tax and registration fee to March 2030</t>
  </si>
  <si>
    <t xml:space="preserve">bev_kwh100</t>
  </si>
  <si>
    <t xml:space="preserve">BEV consumption measured at the meter (incl. charging losses)</t>
  </si>
  <si>
    <t xml:space="preserve">kWh/100 km</t>
  </si>
  <si>
    <t xml:space="preserve">W3-S30;W4-S23</t>
  </si>
  <si>
    <t xml:space="preserve">Real-world tests 12.8-15.3 kWh/100 km at the battery (Tiago EV, Punch EV, Nexon EV) plus 5-15 percent charging losses</t>
  </si>
  <si>
    <t xml:space="preserve">depot_tariff</t>
  </si>
  <si>
    <t xml:space="preserve">Depot or home charging tariff, landed</t>
  </si>
  <si>
    <t xml:space="preserve">Rs/kWh</t>
  </si>
  <si>
    <t xml:space="preserve">W4-S20;W3-S32</t>
  </si>
  <si>
    <t xml:space="preserve">Delhi DERC EV-charging tariff Rs 4.50/kWh (LT) plus surcharges and taxes</t>
  </si>
  <si>
    <t xml:space="preserve">pub_tariff</t>
  </si>
  <si>
    <t xml:space="preserve">Public DC fast-charging price</t>
  </si>
  <si>
    <t xml:space="preserve">W4-S21;W3-S33</t>
  </si>
  <si>
    <t xml:space="preserve">2026 network prices Rs 16-25/kWh incl. GST</t>
  </si>
  <si>
    <t xml:space="preserve">pub_share</t>
  </si>
  <si>
    <t xml:space="preserve">Share of energy from public fast charging</t>
  </si>
  <si>
    <t xml:space="preserve">maint_bev</t>
  </si>
  <si>
    <t xml:space="preserve">Maintenance and tyres, BEV</t>
  </si>
  <si>
    <t xml:space="preserve">ins_bev</t>
  </si>
  <si>
    <t xml:space="preserve">Insurance per year, BEV</t>
  </si>
  <si>
    <t xml:space="preserve">bev_resid</t>
  </si>
  <si>
    <t xml:space="preserve">BEV residual value at end of horizon</t>
  </si>
  <si>
    <t xml:space="preserve">40 percent of price at 5 years (no Indian fleet-EV residual data found); higher residual is downside for the retrofit</t>
  </si>
  <si>
    <t xml:space="preserve">time_bev_h</t>
  </si>
  <si>
    <t xml:space="preserve">In-shift time lost for charging per day</t>
  </si>
  <si>
    <t xml:space="preserve">Overnight depot charging is idle time</t>
  </si>
  <si>
    <t xml:space="preserve">Energy and storage physics</t>
  </si>
  <si>
    <t xml:space="preserve">cng_lhv</t>
  </si>
  <si>
    <t xml:space="preserve">Lower heating value of CNG</t>
  </si>
  <si>
    <t xml:space="preserve">MJ/kg</t>
  </si>
  <si>
    <t xml:space="preserve">W4-S62</t>
  </si>
  <si>
    <t xml:space="preserve">IPCC natural gas 48.0 TJ/Gg</t>
  </si>
  <si>
    <t xml:space="preserve">petrol_lhv</t>
  </si>
  <si>
    <t xml:space="preserve">Lower heating value of petrol</t>
  </si>
  <si>
    <t xml:space="preserve">MJ/L</t>
  </si>
  <si>
    <t xml:space="preserve">44.3 MJ/kg x 0.74 kg/L</t>
  </si>
  <si>
    <t xml:space="preserve">h2_lhv</t>
  </si>
  <si>
    <t xml:space="preserve">Lower heating value of hydrogen</t>
  </si>
  <si>
    <t xml:space="preserve">W1-S13a</t>
  </si>
  <si>
    <t xml:space="preserve">cyl_vol</t>
  </si>
  <si>
    <t xml:space="preserve">Hydrogen cylinder internal (water) volume</t>
  </si>
  <si>
    <t xml:space="preserve">L</t>
  </si>
  <si>
    <t xml:space="preserve">W1-S2</t>
  </si>
  <si>
    <t xml:space="preserve">Luxfer G-Stor Pro V060H35 (Type III, 350 bar): 60 L, OD 400 mm, length 767 mm, 36 kg, 1.45 kg H2</t>
  </si>
  <si>
    <t xml:space="preserve">h2_density_350</t>
  </si>
  <si>
    <t xml:space="preserve">Hydrogen density at 350 bar, 15 C</t>
  </si>
  <si>
    <t xml:space="preserve">kg/m3</t>
  </si>
  <si>
    <t xml:space="preserve">Full-fill density per SAE J2601 definition</t>
  </si>
  <si>
    <t xml:space="preserve">h2_density_700</t>
  </si>
  <si>
    <t xml:space="preserve">Hydrogen density at 700 bar, 15 C</t>
  </si>
  <si>
    <t xml:space="preserve">fill_soc</t>
  </si>
  <si>
    <t xml:space="preserve">State of charge reached in a non-cooled 350 bar fill (hot ambient)</t>
  </si>
  <si>
    <t xml:space="preserve">W1-S13d</t>
  </si>
  <si>
    <t xml:space="preserve">SAE J2601: 95-100 percent needs pre-cooled dispensing; small tanks may fall outside light-duty tables</t>
  </si>
  <si>
    <t xml:space="preserve">resid_density</t>
  </si>
  <si>
    <t xml:space="preserve">Residual gas density at minimum usable pressure</t>
  </si>
  <si>
    <t xml:space="preserve">W1-S13c</t>
  </si>
  <si>
    <t xml:space="preserve">About 20 bar residual</t>
  </si>
  <si>
    <t xml:space="preserve">fills_day</t>
  </si>
  <si>
    <t xml:space="preserve">Depot fills per day available to the driver</t>
  </si>
  <si>
    <t xml:space="preserve">fills/day</t>
  </si>
  <si>
    <t xml:space="preserve">cyl_mass</t>
  </si>
  <si>
    <t xml:space="preserve">Composite cylinder mass (60 L, 350 bar)</t>
  </si>
  <si>
    <t xml:space="preserve">kg</t>
  </si>
  <si>
    <t xml:space="preserve">Luxfer Type III 36 kg; Type IV similar</t>
  </si>
  <si>
    <t xml:space="preserve">kit_other_mass</t>
  </si>
  <si>
    <t xml:space="preserve">Valve, frame, regulator, lines, ECU mass</t>
  </si>
  <si>
    <t xml:space="preserve">cng_cyl_mass</t>
  </si>
  <si>
    <t xml:space="preserve">Removed CNG cylinder (55 L Type I) mass</t>
  </si>
  <si>
    <t xml:space="preserve">W1-S14a;W1-S14b</t>
  </si>
  <si>
    <t xml:space="preserve">50 L steel cylinder 48 kg; 60 L 61-69 kg</t>
  </si>
  <si>
    <t xml:space="preserve">cng_kit_mass</t>
  </si>
  <si>
    <t xml:space="preserve">Removed CNG regulator, rail, lines mass</t>
  </si>
  <si>
    <t xml:space="preserve">petrol_ps</t>
  </si>
  <si>
    <t xml:space="preserve">Donor engine power on petrol (Tour S 1.2 L)</t>
  </si>
  <si>
    <t xml:space="preserve">PS</t>
  </si>
  <si>
    <t xml:space="preserve">60 kW at 5,700 rpm</t>
  </si>
  <si>
    <t xml:space="preserve">cng_ps</t>
  </si>
  <si>
    <t xml:space="preserve">Donor engine power on CNG</t>
  </si>
  <si>
    <t xml:space="preserve">W1-S6</t>
  </si>
  <si>
    <t xml:space="preserve">Third-party 69 bhp; official CNG rating not captured</t>
  </si>
  <si>
    <t xml:space="preserve">h2_power_factor</t>
  </si>
  <si>
    <t xml:space="preserve">H2 lean-burn peak power relative to petrol</t>
  </si>
  <si>
    <t xml:space="preserve">W1-S9a;W1-S9b</t>
  </si>
  <si>
    <t xml:space="preserve">About 30 percent air displacement (20 percent loss at stoichiometric) plus 35-40 percent loss at lambda 2; strategy uses lambda 1.6-2.2</t>
  </si>
  <si>
    <t xml:space="preserve">petrol_tank</t>
  </si>
  <si>
    <t xml:space="preserve">Petrol tank capacity</t>
  </si>
  <si>
    <t xml:space="preserve">Hydrogen supply and station</t>
  </si>
  <si>
    <t xml:space="preserve">pilot_cars</t>
  </si>
  <si>
    <t xml:space="preserve">Pilot fleet size</t>
  </si>
  <si>
    <t xml:space="preserve">cars</t>
  </si>
  <si>
    <t xml:space="preserve">D</t>
  </si>
  <si>
    <t xml:space="preserve">Statistical spread across three fleets, one dispensing point</t>
  </si>
  <si>
    <t xml:space="preserve">h2_prod_cost</t>
  </si>
  <si>
    <t xml:space="preserve">Green hydrogen production cost at plant gate (2026-28)</t>
  </si>
  <si>
    <t xml:space="preserve">W4-S33;W4-S34;W4-S38</t>
  </si>
  <si>
    <t xml:space="preserve">CEEW USD 3.5-5/kg; industry Rs 397-560; SIGHT ammonia auctions imply up to Rs 302 for the hydrogen molecule</t>
  </si>
  <si>
    <t xml:space="preserve">h2_prod_cost_2030</t>
  </si>
  <si>
    <t xml:space="preserve">Green hydrogen production cost at plant gate (2030)</t>
  </si>
  <si>
    <t xml:space="preserve">W4-S22;W4-S57;W4-S36</t>
  </si>
  <si>
    <t xml:space="preserve">CEEW USD 2-2.5; IEA about USD 3; NITI-RMI best case USD 1.6</t>
  </si>
  <si>
    <t xml:space="preserve">transport_cost</t>
  </si>
  <si>
    <t xml:space="preserve">Tube-trailer transport to station</t>
  </si>
  <si>
    <t xml:space="preserve">W4-S44</t>
  </si>
  <si>
    <t xml:space="preserve">About 150 km, 300 kg payload</t>
  </si>
  <si>
    <t xml:space="preserve">station_capex_pilot</t>
  </si>
  <si>
    <t xml:space="preserve">Dispensing point capex, pilot (compressor, cascade, one dispenser, civil, safety, PESO)</t>
  </si>
  <si>
    <t xml:space="preserve">W4-S56;W4-S43</t>
  </si>
  <si>
    <t xml:space="preserve">Indian trade source Rs 14-20 crore for 200-500 kg/day; delivered hydrogen, no electrolyser</t>
  </si>
  <si>
    <t xml:space="preserve">station_cap_pilot</t>
  </si>
  <si>
    <t xml:space="preserve">Dispensing point design capacity, pilot</t>
  </si>
  <si>
    <t xml:space="preserve">kg/day</t>
  </si>
  <si>
    <t xml:space="preserve">station_util_pilot</t>
  </si>
  <si>
    <t xml:space="preserve">Station utilisation, pilot</t>
  </si>
  <si>
    <t xml:space="preserve">Shared with bus/truck pilot users on the Sahibabad-Faridabad-Delhi route</t>
  </si>
  <si>
    <t xml:space="preserve">station_capex_2030</t>
  </si>
  <si>
    <t xml:space="preserve">Station capex, 2030 hub scale (500 kg/day)</t>
  </si>
  <si>
    <t xml:space="preserve">W4-S56</t>
  </si>
  <si>
    <t xml:space="preserve">station_cap_2030</t>
  </si>
  <si>
    <t xml:space="preserve">Station design capacity, 2030 hub</t>
  </si>
  <si>
    <t xml:space="preserve">station_util_2030</t>
  </si>
  <si>
    <t xml:space="preserve">Station utilisation, 2030 hub</t>
  </si>
  <si>
    <t xml:space="preserve">CEEW assumes 30 percent in 2030 rising to 80 percent by 2050; ICCT 50-70 percent</t>
  </si>
  <si>
    <t xml:space="preserve">station_life</t>
  </si>
  <si>
    <t xml:space="preserve">Station capital recovery period</t>
  </si>
  <si>
    <t xml:space="preserve">station_om</t>
  </si>
  <si>
    <t xml:space="preserve">Fixed operation and maintenance, share of capex per year</t>
  </si>
  <si>
    <t xml:space="preserve">CEEW 5 percent</t>
  </si>
  <si>
    <t xml:space="preserve">comp_kwh</t>
  </si>
  <si>
    <t xml:space="preserve">Compression and dispensing electricity</t>
  </si>
  <si>
    <t xml:space="preserve">kWh/kg</t>
  </si>
  <si>
    <t xml:space="preserve">Delivered gas at 200 bar to 450 bar cascade</t>
  </si>
  <si>
    <t xml:space="preserve">ind_tariff</t>
  </si>
  <si>
    <t xml:space="preserve">Industrial electricity tariff</t>
  </si>
  <si>
    <t xml:space="preserve">h2_loss</t>
  </si>
  <si>
    <t xml:space="preserve">Venting, purge and metering losses</t>
  </si>
  <si>
    <t xml:space="preserve">h2_margin_tax</t>
  </si>
  <si>
    <t xml:space="preserve">Retailer margin and taxes on delivered hydrogen</t>
  </si>
  <si>
    <t xml:space="preserve">GST treatment of hydrogen as automotive fuel to be confirmed</t>
  </si>
  <si>
    <t xml:space="preserve">trailer_kg</t>
  </si>
  <si>
    <t xml:space="preserve">Tube-trailer payload</t>
  </si>
  <si>
    <t xml:space="preserve">Typical 200 bar tube trailer</t>
  </si>
  <si>
    <t xml:space="preserve">Emissions factors</t>
  </si>
  <si>
    <t xml:space="preserve">ef_cng</t>
  </si>
  <si>
    <t xml:space="preserve">Tailpipe CO2 per kg CNG</t>
  </si>
  <si>
    <t xml:space="preserve">kg CO2/kg</t>
  </si>
  <si>
    <t xml:space="preserve">IPCC 2006 default 56.1 t/TJ at 48 TJ/Gg</t>
  </si>
  <si>
    <t xml:space="preserve">wtt_cng</t>
  </si>
  <si>
    <t xml:space="preserve">Well-to-tank uplift for CNG in India</t>
  </si>
  <si>
    <t xml:space="preserve">W4-S63;W4-S17</t>
  </si>
  <si>
    <t xml:space="preserve">Imported spot LNG share raises upstream emissions; India-specific factor not found</t>
  </si>
  <si>
    <t xml:space="preserve">ef_petrol</t>
  </si>
  <si>
    <t xml:space="preserve">Tailpipe CO2 per litre petrol</t>
  </si>
  <si>
    <t xml:space="preserve">kg CO2/L</t>
  </si>
  <si>
    <t xml:space="preserve">IPCC 2006 default</t>
  </si>
  <si>
    <t xml:space="preserve">wtt_petrol</t>
  </si>
  <si>
    <t xml:space="preserve">Well-to-tank uplift for petrol</t>
  </si>
  <si>
    <t xml:space="preserve">W4-S63</t>
  </si>
  <si>
    <t xml:space="preserve">ci_h2_green</t>
  </si>
  <si>
    <t xml:space="preserve">Carbon intensity, green hydrogen incl. compression and delivery</t>
  </si>
  <si>
    <t xml:space="preserve">kg CO2e/kg H2</t>
  </si>
  <si>
    <t xml:space="preserve">W4-S63;W4-S64;W4-S65</t>
  </si>
  <si>
    <t xml:space="preserve">India green hydrogen standard: 2 kg CO2e/kg well-to-gate</t>
  </si>
  <si>
    <t xml:space="preserve">ci_h2_grid</t>
  </si>
  <si>
    <t xml:space="preserve">Carbon intensity, grid-electrolysis hydrogen (India grid 2025)</t>
  </si>
  <si>
    <t xml:space="preserve">W4-S59</t>
  </si>
  <si>
    <t xml:space="preserve">0.71 t/MWh x 50-60 kWh/kg</t>
  </si>
  <si>
    <t xml:space="preserve">ci_h2_grey</t>
  </si>
  <si>
    <t xml:space="preserve">Carbon intensity, grey (SMR) hydrogen</t>
  </si>
  <si>
    <t xml:space="preserve">W4-S64</t>
  </si>
  <si>
    <t xml:space="preserve">grid_now</t>
  </si>
  <si>
    <t xml:space="preserve">Grid emission factor at the meter, 2025</t>
  </si>
  <si>
    <t xml:space="preserve">kg CO2/kWh</t>
  </si>
  <si>
    <t xml:space="preserve">CEA v21 weighted average 0.710 t/MWh (FY2024-25) adjusted for about 17 percent T&amp;D losses</t>
  </si>
  <si>
    <t xml:space="preserve">grid_2030</t>
  </si>
  <si>
    <t xml:space="preserve">Grid emission factor at the meter, 2030</t>
  </si>
  <si>
    <t xml:space="preserve">W4-S60</t>
  </si>
  <si>
    <t xml:space="preserve">CEA NEP path 0.548 (2026-27) to 0.430 (2031-32) net, adjusted for T&amp;D losses; lower grid factor is downside for the retrofit</t>
  </si>
  <si>
    <t xml:space="preserve">bev_mfg</t>
  </si>
  <si>
    <t xml:space="preserve">Manufacturing emissions, compact BEV incl. 27 kWh battery</t>
  </si>
  <si>
    <t xml:space="preserve">t CO2e</t>
  </si>
  <si>
    <t xml:space="preserve">W4-S63;W4-S66</t>
  </si>
  <si>
    <t xml:space="preserve">Glider 4-6 t plus 27 kWh x 70 kg CO2e/kWh</t>
  </si>
  <si>
    <t xml:space="preserve">bev_life_km</t>
  </si>
  <si>
    <t xml:space="preserve">Lifetime km over which BEV manufacturing is amortised</t>
  </si>
  <si>
    <t xml:space="preserve">km</t>
  </si>
  <si>
    <t xml:space="preserve">kit_mfg</t>
  </si>
  <si>
    <t xml:space="preserve">Manufacturing emissions of the retrofit kit</t>
  </si>
  <si>
    <t xml:space="preserve">Carbon-fibre cylinder dominant</t>
  </si>
  <si>
    <t xml:space="preserve">nox_bs6</t>
  </si>
  <si>
    <t xml:space="preserve">BS-VI NOx limit, M1 positive ignition</t>
  </si>
  <si>
    <t xml:space="preserve">mg/km</t>
  </si>
  <si>
    <t xml:space="preserve">W4-S71</t>
  </si>
  <si>
    <t xml:space="preserve">Market sizing</t>
  </si>
  <si>
    <t xml:space="preserve">cng_stock</t>
  </si>
  <si>
    <t xml:space="preserve">CNG vehicles on road in India, all categories (March 2025)</t>
  </si>
  <si>
    <t xml:space="preserve">vehicles</t>
  </si>
  <si>
    <t xml:space="preserve">W3-S2</t>
  </si>
  <si>
    <t xml:space="preserve">81.95 lakh (PNGRB citing Vahan, Aug 2025); 72.10 lakh in Jul 2024 (Lok Sabha reply); Round 1 said 7.5 million</t>
  </si>
  <si>
    <t xml:space="preserve">cng_pv_share</t>
  </si>
  <si>
    <t xml:space="preserve">Share of passenger cars in the CNG stock</t>
  </si>
  <si>
    <t xml:space="preserve">W3-S10;W3-S12;W3-S15</t>
  </si>
  <si>
    <t xml:space="preserve">No official split; estimated from cumulative factory-CNG car sales (Maruti about 2.6 million FY20-FY26 plus others) and aftermarket conversions; Round 1 said 65 percent</t>
  </si>
  <si>
    <t xml:space="preserve">eligible_share</t>
  </si>
  <si>
    <t xml:space="preserve">Share of CNG cars that are factory-fitted, boot-cylinder layout, under 6 years old at 2028</t>
  </si>
  <si>
    <t xml:space="preserve">W3-S10;W3-S12</t>
  </si>
  <si>
    <t xml:space="preserve">Factory CNG sales FY23-FY26 versus total CNG cars</t>
  </si>
  <si>
    <t xml:space="preserve">fleet_share</t>
  </si>
  <si>
    <t xml:space="preserve">Share of eligible cars in commercial or institutional fleets</t>
  </si>
  <si>
    <t xml:space="preserve">W3-S18;W3-S25</t>
  </si>
  <si>
    <t xml:space="preserve">Delhi alone registers about 60,000-85,000 taxis; no national fleet split published</t>
  </si>
  <si>
    <t xml:space="preserve">hub_share</t>
  </si>
  <si>
    <t xml:space="preserve">Share of fleet cars in cities with a hydrogen hub by 2030</t>
  </si>
  <si>
    <t xml:space="preserve">W3-S36;W3-S37</t>
  </si>
  <si>
    <t xml:space="preserve">MNRE corridors: Delhi-NCR (Sahibabad-Faridabad-Delhi), Ahmedabad-Vadodara-Surat, Pune-Mumbai, Kochi and others</t>
  </si>
  <si>
    <t xml:space="preserve">adopter_share</t>
  </si>
  <si>
    <t xml:space="preserve">Plausible early-adopter share (return-to-base fleets)</t>
  </si>
  <si>
    <t xml:space="preserve">Hypothesis; needs customer validation</t>
  </si>
  <si>
    <t xml:space="preserve">hub_stations_2030</t>
  </si>
  <si>
    <t xml:space="preserve">Fleet-hub stations serving cars by 2030</t>
  </si>
  <si>
    <t xml:space="preserve">stations</t>
  </si>
  <si>
    <t xml:space="preserve">W3-S37</t>
  </si>
  <si>
    <t xml:space="preserve">16 MNRE pilot stations sanctioned for buses and trucks; assumes half add light-duty dispensing, conditional on gates</t>
  </si>
  <si>
    <t xml:space="preserve">Retrofit bill of materials and conversion cost</t>
  </si>
  <si>
    <t xml:space="preserve">Pilot batch (about 30 kits) versus commercial volume (about 10,000 kits per year with localised cylinders). Unit costs are estimates unless a source is given.</t>
  </si>
  <si>
    <t xml:space="preserve">#</t>
  </si>
  <si>
    <t xml:space="preserve">Component / activity</t>
  </si>
  <si>
    <t xml:space="preserve">Qty</t>
  </si>
  <si>
    <t xml:space="preserve">Unit cost pilot (Rs)</t>
  </si>
  <si>
    <t xml:space="preserve">Unit cost volume (Rs)</t>
  </si>
  <si>
    <t xml:space="preserve">Pilot total (Rs)</t>
  </si>
  <si>
    <t xml:space="preserve">Volume total (Rs)</t>
  </si>
  <si>
    <t xml:space="preserve">Basis / source</t>
  </si>
  <si>
    <t xml:space="preserve">Storage and mounting</t>
  </si>
  <si>
    <t xml:space="preserve">Composite hydrogen cylinder, 60 L water volume, 350 bar (Type III or IV), 15-year life</t>
  </si>
  <si>
    <t xml:space="preserve">Scaled from DOE/Strategic Analysis Type IV system cost records (S-CYLCOST): about $33/kWh at low volume and $21/kWh at 10k/yr for a 5.6 kg 700 bar system, applied to a 1.45 kg (48 kWh) cylinder with a small-size penalty; example product Luxfer G-Stor Pro V060H35 (S-CYL)</t>
  </si>
  <si>
    <t xml:space="preserve">On-tank valve with solenoid, excess-flow, manual shut-off and TPRD (UN R134 class)</t>
  </si>
  <si>
    <t xml:space="preserve">Production parts exist (S-OTV); no public price; estimate</t>
  </si>
  <si>
    <t xml:space="preserve">Mounting frame, straps, boot bulkhead shield, TPRD vent duct, boot ventilation</t>
  </si>
  <si>
    <t xml:space="preserve">Fabricated steel frame per UN R110-type 20 g / 8 g loads; estimate</t>
  </si>
  <si>
    <t xml:space="preserve">Fuel delivery</t>
  </si>
  <si>
    <t xml:space="preserve">H35 receptacle, check valve, high-pressure filter</t>
  </si>
  <si>
    <t xml:space="preserve">ISO 17268 H35 receptacle; estimate</t>
  </si>
  <si>
    <t xml:space="preserve">Stainless (316L) high-pressure lines and fittings</t>
  </si>
  <si>
    <t xml:space="preserve">Estimate</t>
  </si>
  <si>
    <t xml:space="preserve">Two-stage pressure regulator 350 bar to injection pressure, with pressure and temperature sensors</t>
  </si>
  <si>
    <t xml:space="preserve">Production FCEV regulators exist (S-REG); estimate for ICE outlet pressure</t>
  </si>
  <si>
    <t xml:space="preserve">Hydrogen port-fuel injectors (4) and rail</t>
  </si>
  <si>
    <t xml:space="preserve">Bosch / PHINIA H2 PFI injectors announced 2024-25 (S-INJ); estimate</t>
  </si>
  <si>
    <t xml:space="preserve">Low-pressure hose, fuel shut-off, pressure relief</t>
  </si>
  <si>
    <t xml:space="preserve">Controls and safety</t>
  </si>
  <si>
    <t xml:space="preserve">Hydrogen ECU (dual-map, CAN, automatic petrol fallback, diagnostics) with harness</t>
  </si>
  <si>
    <t xml:space="preserve">Analogous to sequential CNG ECU at volume; pilot uses low-volume controller</t>
  </si>
  <si>
    <t xml:space="preserve">Hydrogen leak sensors (boot and engine bay), controller, cabin warning, vent fan</t>
  </si>
  <si>
    <t xml:space="preserve">Automotive H2 sensors exist (S-SENS); estimate</t>
  </si>
  <si>
    <t xml:space="preserve">Engine and emissions</t>
  </si>
  <si>
    <t xml:space="preserve">Cold-grade spark plugs, PCV/oil-separator upgrade, coolant and knock sensor check</t>
  </si>
  <si>
    <t xml:space="preserve">Backfire and pre-ignition mitigation items (S-H2ICE)</t>
  </si>
  <si>
    <t xml:space="preserve">Lean-NOx aftertreatment provision (lean NOx trap) and lambda sensor</t>
  </si>
  <si>
    <t xml:space="preserve">Needed if lean calibration alone does not meet BS-VI NOx over the cycle (S-NOX); estimate</t>
  </si>
  <si>
    <t xml:space="preserve">Installation and validation</t>
  </si>
  <si>
    <t xml:space="preserve">Removal of CNG kit and cylinder, installation labour (hours)</t>
  </si>
  <si>
    <t xml:space="preserve">Pilot 40 h; volume 14 h at Rs 600/h (see qty note)</t>
  </si>
  <si>
    <t xml:space="preserve">Per-vehicle leak test, commissioning, road test and documentation</t>
  </si>
  <si>
    <t xml:space="preserve">Certification and engineering amortisation per kit</t>
  </si>
  <si>
    <t xml:space="preserve">Volume: one-time development and type-approval cost (Pilot_Budget) spread over 50,000 kits; pilot carries it in the programme budget</t>
  </si>
  <si>
    <t xml:space="preserve">Subtotal parts, labour and validation</t>
  </si>
  <si>
    <t xml:space="preserve">Warranty provision (share of subtotal)</t>
  </si>
  <si>
    <t xml:space="preserve">Installer and kit-maker margin (share of subtotal)</t>
  </si>
  <si>
    <t xml:space="preserve">GST on kit and installation (rate assumed; CNG kits attract 28 percent, hydrogen kit classification to be confirmed)</t>
  </si>
  <si>
    <t xml:space="preserve">Installed conversion cost per vehicle (incl. taxes)</t>
  </si>
  <si>
    <t xml:space="preserve">Pilot (G) / Volume (H):</t>
  </si>
  <si>
    <t xml:space="preserve">Share of cylinder and valve in volume kit cost</t>
  </si>
  <si>
    <t xml:space="preserve">Volume kit cost in Rs lakh</t>
  </si>
  <si>
    <t xml:space="preserve">Pilot kit cost in Rs lakh</t>
  </si>
  <si>
    <t xml:space="preserve">Reference: Round 1 assumed Rs 1.8 to 2.2 lakh installed. Reference: sequential CNG retrofit kit incl. cylinder and fitting in India about Rs 0.6 to 0.9 lakh (S-CNGKIT).</t>
  </si>
  <si>
    <t xml:space="preserve">Energy balance, storage, range, mass and power</t>
  </si>
  <si>
    <t xml:space="preserve">Column vectors of formulas referencing Inputs. Hydrogen consumption is an input cross-checked against the CNG energy balance.</t>
  </si>
  <si>
    <t xml:space="preserve">Quantity</t>
  </si>
  <si>
    <t xml:space="preserve">Value</t>
  </si>
  <si>
    <t xml:space="preserve">Formula / note</t>
  </si>
  <si>
    <t xml:space="preserve">Energy use per km on CNG (fleet real-world)</t>
  </si>
  <si>
    <t xml:space="preserve">MJ/km</t>
  </si>
  <si>
    <t xml:space="preserve">LHV / km per kg</t>
  </si>
  <si>
    <t xml:space="preserve">Energy use per km on petrol (fleet real-world)</t>
  </si>
  <si>
    <t xml:space="preserve">Hydrogen consumption assumed (input)</t>
  </si>
  <si>
    <t xml:space="preserve">Input h2_cons</t>
  </si>
  <si>
    <t xml:space="preserve">Energy use per km on hydrogen</t>
  </si>
  <si>
    <t xml:space="preserve">Implied H2-ICE efficiency relative to CNG operation (&gt;1 = better)</t>
  </si>
  <si>
    <t xml:space="preserve">ratio</t>
  </si>
  <si>
    <t xml:space="preserve">Cross-check: lean PFI hydrogen at part load can match or exceed CNG efficiency; retrofit calibration usually loses some of that</t>
  </si>
  <si>
    <t xml:space="preserve">Hydrogen economy</t>
  </si>
  <si>
    <t xml:space="preserve">Cylinder internal volume</t>
  </si>
  <si>
    <t xml:space="preserve">Nominal hydrogen at 350 bar, 15 C</t>
  </si>
  <si>
    <t xml:space="preserve">Density 24.0 kg/m3 (S-DENS)</t>
  </si>
  <si>
    <t xml:space="preserve">Nominal hydrogen if 700 bar cylinder of same volume</t>
  </si>
  <si>
    <t xml:space="preserve">Design option; needs 700 bar dispensing</t>
  </si>
  <si>
    <t xml:space="preserve">Hydrogen after a non-cooled 350 bar fill</t>
  </si>
  <si>
    <t xml:space="preserve">Fill SOC input; hot ambient, no pre-cooling</t>
  </si>
  <si>
    <t xml:space="preserve">Residual hydrogen at minimum usable pressure</t>
  </si>
  <si>
    <t xml:space="preserve">Usable hydrogen per fill</t>
  </si>
  <si>
    <t xml:space="preserve">Key output</t>
  </si>
  <si>
    <t xml:space="preserve">Range on hydrogen per fill</t>
  </si>
  <si>
    <t xml:space="preserve">Range on hydrogen per fill, 700 bar option</t>
  </si>
  <si>
    <t xml:space="preserve">Petrol backup range</t>
  </si>
  <si>
    <t xml:space="preserve">Existing tank retained</t>
  </si>
  <si>
    <t xml:space="preserve">Daily hydrogen need at full hydrogen operation</t>
  </si>
  <si>
    <t xml:space="preserve">Fills per day needed for 100 percent hydrogen operation</t>
  </si>
  <si>
    <t xml:space="preserve">Maximum share of km on hydrogen with the available depot fills</t>
  </si>
  <si>
    <t xml:space="preserve">Compare with input h2_share</t>
  </si>
  <si>
    <t xml:space="preserve">Share of km on hydrogen used in the model (input)</t>
  </si>
  <si>
    <t xml:space="preserve">Hydrogen used per operating day in the model</t>
  </si>
  <si>
    <t xml:space="preserve">Mass added: cylinder + valve/frame/regulator/lines/ECU</t>
  </si>
  <si>
    <t xml:space="preserve">Mass removed: CNG cylinder + CNG kit</t>
  </si>
  <si>
    <t xml:space="preserve">Net kerb mass change</t>
  </si>
  <si>
    <t xml:space="preserve">Negative = lighter than CNG configuration</t>
  </si>
  <si>
    <t xml:space="preserve">Peak power on petrol</t>
  </si>
  <si>
    <t xml:space="preserve">Donor spec</t>
  </si>
  <si>
    <t xml:space="preserve">Peak power on CNG (factory)</t>
  </si>
  <si>
    <t xml:space="preserve">Third-party figure; official CNG rating not captured</t>
  </si>
  <si>
    <t xml:space="preserve">Estimated peak power on hydrogen (lean PFI)</t>
  </si>
  <si>
    <t xml:space="preserve">About 30 percent air displacement plus lean operation (S-H2PWR)</t>
  </si>
  <si>
    <t xml:space="preserve">Power loss versus petrol</t>
  </si>
  <si>
    <t xml:space="preserve">Power loss versus CNG</t>
  </si>
  <si>
    <t xml:space="preserve">Power-to-mass, hydrogen mode, 4 occupants (kerb 1045 kg + 300 kg)</t>
  </si>
  <si>
    <t xml:space="preserve">PS per tonne</t>
  </si>
  <si>
    <t xml:space="preserve">Urban duty reference: a loaded 800 cc hatchback is about 40 PS per tonne</t>
  </si>
  <si>
    <t xml:space="preserve">HCNG 18 vol% blend: hydrogen share of energy</t>
  </si>
  <si>
    <t xml:space="preserve">Volumetric LHVs 10.8 and 35.8 MJ/Nm3 (S-HCNG); no vehicle modification</t>
  </si>
  <si>
    <t xml:space="preserve">Ownership cost comparison for one vehicle: A continue on CNG, B hydrogen retrofit, C sell and buy BEV</t>
  </si>
  <si>
    <t xml:space="preserve">Nominal cash costs (Rs). Negative values are inflows (residual values). Years in columns; t0 = decision date.</t>
  </si>
  <si>
    <t xml:space="preserve">Year index</t>
  </si>
  <si>
    <t xml:space="preserve">Calendar year</t>
  </si>
  <si>
    <t xml:space="preserve">Discount factor</t>
  </si>
  <si>
    <t xml:space="preserve">Annual km</t>
  </si>
  <si>
    <t xml:space="preserve">Petrol price (Rs/L)</t>
  </si>
  <si>
    <t xml:space="preserve">CNG price (Rs/kg)</t>
  </si>
  <si>
    <t xml:space="preserve">Delivered hydrogen price (Rs/kg)</t>
  </si>
  <si>
    <t xml:space="preserve">Hydrogen price trajectory multiplier (relative to year 1)</t>
  </si>
  <si>
    <t xml:space="preserve">Depot tariff (Rs/kWh)</t>
  </si>
  <si>
    <t xml:space="preserve">Public fast-charge price (Rs/kWh)</t>
  </si>
  <si>
    <t xml:space="preserve">Hydrogen consumed (kg)</t>
  </si>
  <si>
    <t xml:space="preserve">Option A: continue operating the CNG donor</t>
  </si>
  <si>
    <t xml:space="preserve">Capital / transaction at t0</t>
  </si>
  <si>
    <t xml:space="preserve">CNG fuel</t>
  </si>
  <si>
    <t xml:space="preserve">Petrol fuel (share of km)</t>
  </si>
  <si>
    <t xml:space="preserve">Maintenance and tyres</t>
  </si>
  <si>
    <t xml:space="preserve">Insurance</t>
  </si>
  <si>
    <t xml:space="preserve">Cylinder periodic test (annualised)</t>
  </si>
  <si>
    <t xml:space="preserve">In-shift refuelling time cost</t>
  </si>
  <si>
    <t xml:space="preserve">Residual value at end of horizon (inflow)</t>
  </si>
  <si>
    <t xml:space="preserve">Total cash cost</t>
  </si>
  <si>
    <t xml:space="preserve">Present value</t>
  </si>
  <si>
    <t xml:space="preserve">NPV of costs (Rs)</t>
  </si>
  <si>
    <t xml:space="preserve">Option B: retrofit the donor to hydrogen (H2-ICE, petrol backup retained)</t>
  </si>
  <si>
    <t xml:space="preserve">Hydrogen fuel</t>
  </si>
  <si>
    <t xml:space="preserve">Petrol fuel (backup share of km)</t>
  </si>
  <si>
    <t xml:space="preserve">Hydrogen system inspection and cylinder requalification</t>
  </si>
  <si>
    <t xml:space="preserve">In-shift refuelling time and detour cost</t>
  </si>
  <si>
    <t xml:space="preserve">NPV of option B excluding hydrogen fuel (Rs)</t>
  </si>
  <si>
    <t xml:space="preserve">Option C: sell the donor and buy a compact fleet BEV</t>
  </si>
  <si>
    <t xml:space="preserve">Electricity (depot and public mix)</t>
  </si>
  <si>
    <t xml:space="preserve">In-shift charging time cost</t>
  </si>
  <si>
    <t xml:space="preserve">SUMMARY (active scenario)</t>
  </si>
  <si>
    <t xml:space="preserve">Discounted km over horizon</t>
  </si>
  <si>
    <t xml:space="preserve">NPV A: continue CNG (Rs)</t>
  </si>
  <si>
    <t xml:space="preserve">NPV B: hydrogen retrofit (Rs)</t>
  </si>
  <si>
    <t xml:space="preserve">NPV C: sell and buy BEV (Rs)</t>
  </si>
  <si>
    <t xml:space="preserve">Levelised cost per km, A (Rs/km)</t>
  </si>
  <si>
    <t xml:space="preserve">Levelised cost per km, B (Rs/km)</t>
  </si>
  <si>
    <t xml:space="preserve">Levelised cost per km, C (Rs/km)</t>
  </si>
  <si>
    <t xml:space="preserve">Extra cost of B versus A over horizon (Rs)</t>
  </si>
  <si>
    <t xml:space="preserve">Extra cost of B versus C over horizon (Rs)</t>
  </si>
  <si>
    <t xml:space="preserve">Extra cost of C versus A over horizon (Rs)</t>
  </si>
  <si>
    <t xml:space="preserve">Year-1 fuel cost per km, CNG mode (Rs/km)</t>
  </si>
  <si>
    <t xml:space="preserve">Year-1 fuel cost per km, hydrogen mode (Rs/km)</t>
  </si>
  <si>
    <t xml:space="preserve">Year-1 fuel cost per km, petrol mode (Rs/km)</t>
  </si>
  <si>
    <t xml:space="preserve">Year-1 energy cost per km, BEV (Rs/km)</t>
  </si>
  <si>
    <t xml:space="preserve">Year-1 blended fuel cost per km, option B (Rs/km)</t>
  </si>
  <si>
    <t xml:space="preserve">Year-1 blended fuel cost per km, option A (Rs/km)</t>
  </si>
  <si>
    <t xml:space="preserve">Year-1 non-fuel operating cost per km, A (Rs/km)</t>
  </si>
  <si>
    <t xml:space="preserve">Year-1 non-fuel operating cost per km, B (Rs/km)</t>
  </si>
  <si>
    <t xml:space="preserve">Year-1 non-fuel operating cost per km, C (Rs/km)</t>
  </si>
  <si>
    <t xml:space="preserve">Discounted hydrogen kg, trajectory-weighted</t>
  </si>
  <si>
    <t xml:space="preserve">Discounted hydrogen kg, flat</t>
  </si>
  <si>
    <t xml:space="preserve">Break-even year-1 hydrogen price versus A, same trajectory (Rs/kg)</t>
  </si>
  <si>
    <t xml:space="preserve">Break-even flat hydrogen price versus A (Rs/kg)</t>
  </si>
  <si>
    <t xml:space="preserve">Break-even year-1 hydrogen price versus C (BEV), same trajectory (Rs/kg)</t>
  </si>
  <si>
    <t xml:space="preserve">Fuel-parity hydrogen price versus CNG (fuel cost per km equal) (Rs/kg)</t>
  </si>
  <si>
    <t xml:space="preserve">Fuel-parity hydrogen price versus petrol (Rs/kg)</t>
  </si>
  <si>
    <t xml:space="preserve">Maximum conversion cost for parity with A at the active hydrogen price (Rs)</t>
  </si>
  <si>
    <t xml:space="preserve">Maximum conversion cost for parity with C at the active hydrogen price (Rs)</t>
  </si>
  <si>
    <t xml:space="preserve">Year-1 operating saving of B versus A (Rs/yr; negative = B costs more)</t>
  </si>
  <si>
    <t xml:space="preserve">Simple payback of conversion versus A (years)</t>
  </si>
  <si>
    <t xml:space="preserve">Annuity factor (sum of discount factors, years 1-5)</t>
  </si>
  <si>
    <t xml:space="preserve">Minimum annual km for payback within horizon (year-1 prices)</t>
  </si>
  <si>
    <t xml:space="preserve">Coefficient a (B-A): fixed and capital terms (Rs)</t>
  </si>
  <si>
    <t xml:space="preserve">Coefficient b (B-A): per-km non-hydrogen terms (Rs per km)</t>
  </si>
  <si>
    <t xml:space="preserve">Coefficient c: hydrogen term (Rs per km per Rs/kg of year-1 price)</t>
  </si>
  <si>
    <t xml:space="preserve">Check: a + b*km + c*km*P reproduces B-A (should be ~0)</t>
  </si>
  <si>
    <t xml:space="preserve">Coefficient a (B-C): fixed and capital terms (Rs)</t>
  </si>
  <si>
    <t xml:space="preserve">Coefficient b (B-C): per-km non-hydrogen terms (Rs per km)</t>
  </si>
  <si>
    <t xml:space="preserve">Check: a + b*km + c*km*P reproduces B-C (should be ~0)</t>
  </si>
  <si>
    <t xml:space="preserve">Hydrogen supply: fleet demand, station sizing and delivered price build-up</t>
  </si>
  <si>
    <t xml:space="preserve">Delivered price = (production + transport + compression electricity + station capital recovery + O&amp;M) x (1 + losses) x (1 + margin and taxes). Capital is recovered only here.</t>
  </si>
  <si>
    <t xml:space="preserve">Pilot (2028)</t>
  </si>
  <si>
    <t xml:space="preserve">Hub (2030)</t>
  </si>
  <si>
    <t xml:space="preserve">Note</t>
  </si>
  <si>
    <t xml:space="preserve">Cars served</t>
  </si>
  <si>
    <t xml:space="preserve">Hub: cars per station at design utilisation (row 27)</t>
  </si>
  <si>
    <t xml:space="preserve">Hydrogen per car per operating day</t>
  </si>
  <si>
    <t xml:space="preserve">kg/car/day</t>
  </si>
  <si>
    <t xml:space="preserve">From Energy_Range</t>
  </si>
  <si>
    <t xml:space="preserve">Fleet hydrogen demand per operating day</t>
  </si>
  <si>
    <t xml:space="preserve">Station design capacity</t>
  </si>
  <si>
    <t xml:space="preserve">Station utilisation assumed for pricing</t>
  </si>
  <si>
    <t xml:space="preserve">Pilot station shared with bus/truck pilot users</t>
  </si>
  <si>
    <t xml:space="preserve">Hydrogen dispensed per year at that utilisation</t>
  </si>
  <si>
    <t xml:space="preserve">kg/yr</t>
  </si>
  <si>
    <t xml:space="preserve">Fills per day (cars x fills)</t>
  </si>
  <si>
    <t xml:space="preserve">Peak window length</t>
  </si>
  <si>
    <t xml:space="preserve">hours</t>
  </si>
  <si>
    <t xml:space="preserve">Start-of-shift window</t>
  </si>
  <si>
    <t xml:space="preserve">Share of fills in the peak window</t>
  </si>
  <si>
    <t xml:space="preserve">Assumption</t>
  </si>
  <si>
    <t xml:space="preserve">Fills per hour in the peak window</t>
  </si>
  <si>
    <t xml:space="preserve">fills/h</t>
  </si>
  <si>
    <t xml:space="preserve">Dispenser positions needed (6 fills per hour each, 1.2 kg fills at 350 bar)</t>
  </si>
  <si>
    <t xml:space="preserve">dispensers</t>
  </si>
  <si>
    <t xml:space="preserve">Assumption 6 fills/h per H35 dispenser incl. connection</t>
  </si>
  <si>
    <t xml:space="preserve">Compressor throughput needed (16 operating hours)</t>
  </si>
  <si>
    <t xml:space="preserve">kg/h</t>
  </si>
  <si>
    <t xml:space="preserve">Sized on design capacity</t>
  </si>
  <si>
    <t xml:space="preserve">On-site storage buffer (1.5 days of demand)</t>
  </si>
  <si>
    <t xml:space="preserve">Cascade at 450 bar</t>
  </si>
  <si>
    <t xml:space="preserve">Tube-trailer deliveries per week</t>
  </si>
  <si>
    <t xml:space="preserve">deliveries/week</t>
  </si>
  <si>
    <t xml:space="preserve">Production cost at plant gate</t>
  </si>
  <si>
    <t xml:space="preserve">Transport (tube trailer)</t>
  </si>
  <si>
    <t xml:space="preserve">Station capex</t>
  </si>
  <si>
    <t xml:space="preserve">Capital recovery factor</t>
  </si>
  <si>
    <t xml:space="preserve">Station capital recovery per kg</t>
  </si>
  <si>
    <t xml:space="preserve">At the assumed utilisation</t>
  </si>
  <si>
    <t xml:space="preserve">Station fixed O&amp;M per kg</t>
  </si>
  <si>
    <t xml:space="preserve">Delivered price at dispenser</t>
  </si>
  <si>
    <t xml:space="preserve">Key output; compare with Inputs h2_price_y1</t>
  </si>
  <si>
    <t xml:space="preserve">Cars a station can serve at design utilisation</t>
  </si>
  <si>
    <t xml:space="preserve">Utilisation implied by the car fleet alone</t>
  </si>
  <si>
    <t xml:space="preserve">Delivered price versus station utilisation (Rs/kg)</t>
  </si>
  <si>
    <t xml:space="preserve">Utilisation</t>
  </si>
  <si>
    <t xml:space="preserve">Pilot station (2028)</t>
  </si>
  <si>
    <t xml:space="preserve">Hub station (2030)</t>
  </si>
  <si>
    <t xml:space="preserve">Utilisation needed to reach a target delivered price</t>
  </si>
  <si>
    <t xml:space="preserve">Target</t>
  </si>
  <si>
    <t xml:space="preserve">Target price (Rs/kg)</t>
  </si>
  <si>
    <t xml:space="preserve">Pilot station utilisation needed</t>
  </si>
  <si>
    <t xml:space="preserve">Hub station utilisation needed</t>
  </si>
  <si>
    <t xml:space="preserve">CNG fuel-parity price (from TCO)</t>
  </si>
  <si>
    <t xml:space="preserve">Full-TCO break-even versus continuing on CNG (from TCO)</t>
  </si>
  <si>
    <t xml:space="preserve">Petrol fuel-parity price (from TCO)</t>
  </si>
  <si>
    <t xml:space="preserve">Full-TCO break-even versus BEV (from TCO)</t>
  </si>
  <si>
    <t xml:space="preserve">Note: values above 100 percent mean the target cannot be met even at full utilisation; 'not reachable' means production plus transport plus electricity alone exceed the target.</t>
  </si>
  <si>
    <t xml:space="preserve">Bottom-up addressable market and supply-constrained deployment</t>
  </si>
  <si>
    <t xml:space="preserve">Funnel from national CNG stock to what stations can actually serve by 2030.</t>
  </si>
  <si>
    <t xml:space="preserve">Step</t>
  </si>
  <si>
    <t xml:space="preserve">Vehicles</t>
  </si>
  <si>
    <t xml:space="preserve">Share applied</t>
  </si>
  <si>
    <t xml:space="preserve">CNG vehicles in India, all categories</t>
  </si>
  <si>
    <t xml:space="preserve">Input, class A</t>
  </si>
  <si>
    <t xml:space="preserve">Passenger cars among them</t>
  </si>
  <si>
    <t xml:space="preserve">Share input</t>
  </si>
  <si>
    <t xml:space="preserve">Technically eligible: factory-fitted, boot-cylinder layout, under 6 years old at 2028</t>
  </si>
  <si>
    <t xml:space="preserve">Excludes older vehicles and layouts without a compatible cylinder bay</t>
  </si>
  <si>
    <t xml:space="preserve">In commercial fleets (taxi, aggregator, corporate, institutional)</t>
  </si>
  <si>
    <t xml:space="preserve">Private owners excluded from the first segment</t>
  </si>
  <si>
    <t xml:space="preserve">In cities with a hydrogen hub station by 2030</t>
  </si>
  <si>
    <t xml:space="preserve">Delhi-NCR, Gujarat corridor, Pune-Mumbai, Kochi and similar</t>
  </si>
  <si>
    <t xml:space="preserve">Plausible early adopters (return-to-base fleets willing to convert)</t>
  </si>
  <si>
    <t xml:space="preserve">Hypothesis to be validated with fleet interviews</t>
  </si>
  <si>
    <t xml:space="preserve">Supply-constrained capacity: stations x cars per station</t>
  </si>
  <si>
    <t xml:space="preserve">From H2_Supply</t>
  </si>
  <si>
    <t xml:space="preserve">Realistic 2030 converted fleet (minimum of demand and supply)</t>
  </si>
  <si>
    <t xml:space="preserve">Round 1 claim for 2030</t>
  </si>
  <si>
    <t xml:space="preserve">For comparison</t>
  </si>
  <si>
    <t xml:space="preserve">Programme budget by phase and rollout quantities</t>
  </si>
  <si>
    <t xml:space="preserve">Rs. Phases run October 2026 to September 2030. Contingency applied to all phases.</t>
  </si>
  <si>
    <t xml:space="preserve">Phase</t>
  </si>
  <si>
    <t xml:space="preserve">Line item</t>
  </si>
  <si>
    <t xml:space="preserve">Unit cost (Rs)</t>
  </si>
  <si>
    <t xml:space="preserve">Total (Rs)</t>
  </si>
  <si>
    <t xml:space="preserve">Basis</t>
  </si>
  <si>
    <t xml:space="preserve">Phase 0: Feasibility and validation (Oct 2026 - Mar 2027)</t>
  </si>
  <si>
    <t xml:space="preserve">Regulator and test-agency consultations, route definition (AISC, MoRTH, ARAI/ICAT, PESO)</t>
  </si>
  <si>
    <t xml:space="preserve">Engineering time, travel, legal review</t>
  </si>
  <si>
    <t xml:space="preserve">Fleet and fuel-partner validation: 30 operator interviews, duty-cycle telematics on 20 cars</t>
  </si>
  <si>
    <t xml:space="preserve">Customer demand is a hypothesis; this buys the evidence</t>
  </si>
  <si>
    <t xml:space="preserve">Donor inspection, packaging study, CAD and mule vehicle (boot mock-up)</t>
  </si>
  <si>
    <t xml:space="preserve">Phase subtotal</t>
  </si>
  <si>
    <t xml:space="preserve">Phase 1: Engineering and controlled validation (Apr 2027 - Mar 2028)</t>
  </si>
  <si>
    <t xml:space="preserve">Hydrogen engine test-cell time and instrumentation (calibration, NOx, abnormal combustion, 500 h)</t>
  </si>
  <si>
    <t xml:space="preserve">Hydrogen test cells exist at ARAI, iCAT and IOCL R&amp;D (S-TEST)</t>
  </si>
  <si>
    <t xml:space="preserve">Prototype conversions (3 vehicles) at pilot kit cost</t>
  </si>
  <si>
    <t xml:space="preserve">BOM pilot cost</t>
  </si>
  <si>
    <t xml:space="preserve">Prototype donor vehicles (used Tour S CNG)</t>
  </si>
  <si>
    <t xml:space="preserve">Storage system qualification samples and tests (burst, cycling, bonfire, drop, permeation)</t>
  </si>
  <si>
    <t xml:space="preserve">UN GTR 13 / R134 type tests via supplier and PESO</t>
  </si>
  <si>
    <t xml:space="preserve">Vehicle-level safety tests (leak, sled/crash structure, ventilation) at test agency</t>
  </si>
  <si>
    <t xml:space="preserve">Engineering team (8 FTE x 12 months)</t>
  </si>
  <si>
    <t xml:space="preserve">Rs 2.5 lakh per FTE-month fully loaded</t>
  </si>
  <si>
    <t xml:space="preserve">Phase 2: Certification and pilot build (Apr 2028 - Mar 2029)</t>
  </si>
  <si>
    <t xml:space="preserve">Kit type approval and emissions testing at ARAI/ICAT (analogous to CNG kit approval)</t>
  </si>
  <si>
    <t xml:space="preserve">Industry reports Rs 40-50 lakh for CNG kit approval (S-TAFEE); hydrogen scope larger</t>
  </si>
  <si>
    <t xml:space="preserve">Durability demonstration (2 vehicles x 80,000 km accelerated)</t>
  </si>
  <si>
    <t xml:space="preserve">Pilot conversions (30 vehicles) at pilot kit cost</t>
  </si>
  <si>
    <t xml:space="preserve">Instrumentation and telematics (30 cars + 20 comparison cars)</t>
  </si>
  <si>
    <t xml:space="preserve">CAN logger, GPS, hydrogen sensor logging</t>
  </si>
  <si>
    <t xml:space="preserve">Hydrogen dispensing point at partner site (compressor, cascade, one dispenser, safety, PESO)</t>
  </si>
  <si>
    <t xml:space="preserve">Input station_capex_pilot; delivered hydrogen, no on-site electrolyser</t>
  </si>
  <si>
    <t xml:space="preserve">Workshop upgrade (ventilation, detection, training) at 2 service points</t>
  </si>
  <si>
    <t xml:space="preserve">NFPA 2 type ventilation and detection</t>
  </si>
  <si>
    <t xml:space="preserve">Phase 3: Pilot operation and evaluation (Apr 2029 - Sep 2030)</t>
  </si>
  <si>
    <t xml:space="preserve">Hydrogen fuel for 30 cars, 18 months (kg at delivered pilot price)</t>
  </si>
  <si>
    <t xml:space="preserve">Quantity from Energy_Range and H2_Supply</t>
  </si>
  <si>
    <t xml:space="preserve">Operations, safety officer, data analysis and independent evaluation (18 months)</t>
  </si>
  <si>
    <t xml:space="preserve">Per month</t>
  </si>
  <si>
    <t xml:space="preserve">Quarterly emissions and consumption tests at test agency</t>
  </si>
  <si>
    <t xml:space="preserve">Insurance, incident reserve and driver training</t>
  </si>
  <si>
    <t xml:space="preserve">Subtotal all phases</t>
  </si>
  <si>
    <t xml:space="preserve">Contingency (share of subtotal)</t>
  </si>
  <si>
    <t xml:space="preserve">Total programme budget to September 2030 (Rs)</t>
  </si>
  <si>
    <t xml:space="preserve">Total in Rs crore</t>
  </si>
  <si>
    <t xml:space="preserve">Proposed funding split (shares are proposals, not commitments)</t>
  </si>
  <si>
    <t xml:space="preserve">Suzuki R&amp;D Center India / Maruti Suzuki (engineering, prototypes, test cells)</t>
  </si>
  <si>
    <t xml:space="preserve">Public support sought (MNRE NGHM R&amp;D or pilot scheme, state hydrogen policy)</t>
  </si>
  <si>
    <t xml:space="preserve">Fuel and station partner (OMC or gas utility): dispensing point</t>
  </si>
  <si>
    <t xml:space="preserve">Fleet partner (vehicles, drivers, operations)</t>
  </si>
  <si>
    <t xml:space="preserve">Rollout quantities (conditional expansion after gates)</t>
  </si>
  <si>
    <t xml:space="preserve">Item</t>
  </si>
  <si>
    <t xml:space="preserve">2028</t>
  </si>
  <si>
    <t xml:space="preserve">2029</t>
  </si>
  <si>
    <t xml:space="preserve">2030</t>
  </si>
  <si>
    <t xml:space="preserve">Converted cars in operation (cumulative)</t>
  </si>
  <si>
    <t xml:space="preserve">2030 value from Market sheet (supply-constrained scenario, conditional on gates)</t>
  </si>
  <si>
    <t xml:space="preserve">Fleet-hub stations serving cars</t>
  </si>
  <si>
    <t xml:space="preserve">Hydrogen demand from cars (t/yr)</t>
  </si>
  <si>
    <t xml:space="preserve">Emissions per km and at fleet scale, same service boundary for all options</t>
  </si>
  <si>
    <t xml:space="preserve">Tailpipe, well-to-tank and amortised manufacturing. Hydrogen combustion emits NOx (not CO2); see NOx rows.</t>
  </si>
  <si>
    <t xml:space="preserve">A: CNG tailpipe CO2 per km (CNG share of km)</t>
  </si>
  <si>
    <t xml:space="preserve">g/km</t>
  </si>
  <si>
    <t xml:space="preserve">A: petrol tailpipe CO2 per km (petrol share)</t>
  </si>
  <si>
    <t xml:space="preserve">A: well-to-tank CO2e per km</t>
  </si>
  <si>
    <t xml:space="preserve">Uplift factors on tailpipe</t>
  </si>
  <si>
    <t xml:space="preserve">A: total well-to-wheel CO2e per km</t>
  </si>
  <si>
    <t xml:space="preserve">B: hydrogen share of km</t>
  </si>
  <si>
    <t xml:space="preserve">B: hydrogen consumption</t>
  </si>
  <si>
    <t xml:space="preserve">B: well-to-wheel CO2e per km, green hydrogen</t>
  </si>
  <si>
    <t xml:space="preserve">Tailpipe CO2 on hydrogen km is zero; petrol backup km counted</t>
  </si>
  <si>
    <t xml:space="preserve">B: well-to-wheel CO2e per km, grid-electrolysis hydrogen</t>
  </si>
  <si>
    <t xml:space="preserve">Reversal case</t>
  </si>
  <si>
    <t xml:space="preserve">B: well-to-wheel CO2e per km, grey (SMR) hydrogen</t>
  </si>
  <si>
    <t xml:space="preserve">B: retrofit kit manufacturing amortised over horizon km</t>
  </si>
  <si>
    <t xml:space="preserve">B: total per km incl. kit manufacturing, green hydrogen</t>
  </si>
  <si>
    <t xml:space="preserve">C: BEV electricity per km at 2025 grid factor</t>
  </si>
  <si>
    <t xml:space="preserve">Metered kWh already include charging losses</t>
  </si>
  <si>
    <t xml:space="preserve">C: BEV electricity per km at 2030 grid factor</t>
  </si>
  <si>
    <t xml:space="preserve">C: BEV manufacturing amortised per km</t>
  </si>
  <si>
    <t xml:space="preserve">New vehicle and battery; counterfactual is keeping the donor</t>
  </si>
  <si>
    <t xml:space="preserve">C: total per km incl. manufacturing, 2025 grid</t>
  </si>
  <si>
    <t xml:space="preserve">C: total per km incl. manufacturing, 2030 grid</t>
  </si>
  <si>
    <t xml:space="preserve">Reduction of B (green) versus A</t>
  </si>
  <si>
    <t xml:space="preserve">Reduction of C (2030 grid) versus A</t>
  </si>
  <si>
    <t xml:space="preserve">Negative = BEV replacement emits more than continuing on CNG within the horizon</t>
  </si>
  <si>
    <t xml:space="preserve">Grid factor at which BEV equals green-hydrogen retrofit per km</t>
  </si>
  <si>
    <t xml:space="preserve">Reversal threshold</t>
  </si>
  <si>
    <t xml:space="preserve">Hydrogen carbon intensity at which retrofit equals continuing on CNG</t>
  </si>
  <si>
    <t xml:space="preserve">Retrofit is worse than CNG above this hydrogen carbon intensity</t>
  </si>
  <si>
    <t xml:space="preserve">Per-car CO2e avoided over the horizon, B (green) versus A</t>
  </si>
  <si>
    <t xml:space="preserve">Abatement cost of the retrofit versus continuing on CNG (active scenario)</t>
  </si>
  <si>
    <t xml:space="preserve">Rs per t CO2e</t>
  </si>
  <si>
    <t xml:space="preserve">Extra ownership cost divided by CO2e avoided</t>
  </si>
  <si>
    <t xml:space="preserve">Pilot fleet (30 cars) CO2e avoided per year, green hydrogen</t>
  </si>
  <si>
    <t xml:space="preserve">t CO2e/yr</t>
  </si>
  <si>
    <t xml:space="preserve">2030 converted fleet CO2e avoided per year, green hydrogen</t>
  </si>
  <si>
    <t xml:space="preserve">Supply-constrained fleet from Market</t>
  </si>
  <si>
    <t xml:space="preserve">2030 converted fleet hydrogen demand</t>
  </si>
  <si>
    <t xml:space="preserve">t/yr</t>
  </si>
  <si>
    <t xml:space="preserve">NOx: BS-VI limit for M1 petrol</t>
  </si>
  <si>
    <t xml:space="preserve">Applies to the converted vehicle by analogy; test procedure for H2-ICE retrofits does not exist yet</t>
  </si>
  <si>
    <t xml:space="preserve">NOx: lean hydrogen combustion engine-out (lambda above 2) reported range</t>
  </si>
  <si>
    <t xml:space="preserve">5 to 20</t>
  </si>
  <si>
    <t xml:space="preserve">mg/km class</t>
  </si>
  <si>
    <t xml:space="preserve">Literature indicates near-zero NOx above lambda about 2 (S-NOX); transients and high load exceed it, hence aftertreatment provision</t>
  </si>
  <si>
    <t xml:space="preserve">When does the recommendation change? Grids use the closed-form decomposition from the TCO sheet (same trajectory shape, active scenario for all other inputs).</t>
  </si>
  <si>
    <t xml:space="preserve">Values in Rs lakh over the horizon; negative = the hydrogen retrofit is cheaper than the comparator.</t>
  </si>
  <si>
    <t xml:space="preserve">Grid 1: retrofit minus continue-on-CNG (Rs lakh) by year-1 delivered hydrogen price (rows) and annual km (columns)</t>
  </si>
  <si>
    <t xml:space="preserve">Rs/kg \ km/yr</t>
  </si>
  <si>
    <t xml:space="preserve">Grid 2: retrofit minus sell-and-buy-BEV (Rs lakh) by year-1 hydrogen price (rows) and BEV price in Rs lakh (columns)</t>
  </si>
  <si>
    <t xml:space="preserve">Rs/kg \ BEV price</t>
  </si>
  <si>
    <t xml:space="preserve">Grid 3: retrofit minus continue-on-CNG (Rs lakh) by year-1 hydrogen price (rows) and installed kit cost in Rs lakh (columns)</t>
  </si>
  <si>
    <t xml:space="preserve">Rs/kg \ kit cost</t>
  </si>
  <si>
    <t xml:space="preserve">One-at-a-time sensitivities: extra cost of retrofit versus continuing on CNG (Rs lakh), other inputs at active values</t>
  </si>
  <si>
    <t xml:space="preserve">Driver</t>
  </si>
  <si>
    <t xml:space="preserve">Low value</t>
  </si>
  <si>
    <t xml:space="preserve">High value</t>
  </si>
  <si>
    <t xml:space="preserve">Extra cost at low</t>
  </si>
  <si>
    <t xml:space="preserve">Extra cost at high</t>
  </si>
  <si>
    <t xml:space="preserve">Year-1 delivered hydrogen price (Rs/kg)</t>
  </si>
  <si>
    <t xml:space="preserve">Upside and downside inputs</t>
  </si>
  <si>
    <t xml:space="preserve">Installed kit cost (Rs)</t>
  </si>
  <si>
    <t xml:space="preserve">More km increases the fuel-cost penalty at current hydrogen prices</t>
  </si>
  <si>
    <t xml:space="preserve">Hydrogen consumption (kg/100 km)</t>
  </si>
  <si>
    <t xml:space="preserve">Scales the hydrogen term</t>
  </si>
  <si>
    <t xml:space="preserve">Dearer CNG helps the retrofit</t>
  </si>
  <si>
    <t xml:space="preserve">Share of km on hydrogen</t>
  </si>
  <si>
    <t xml:space="preserve">At current prices, more hydrogen km cost more than petrol km</t>
  </si>
  <si>
    <t xml:space="preserve">Donor platform and technology-route comparison</t>
  </si>
  <si>
    <t xml:space="preserve">Donor figures are manufacturer-declared unless marked third-party; hydrogen figures are model outputs.</t>
  </si>
  <si>
    <t xml:space="preserve">Criterion</t>
  </si>
  <si>
    <t xml:space="preserve">Dzire Tour S CNG (primary)</t>
  </si>
  <si>
    <t xml:space="preserve">WagonR S-CNG / Tour H3</t>
  </si>
  <si>
    <t xml:space="preserve">Ertiga S-CNG / Tour M</t>
  </si>
  <si>
    <t xml:space="preserve">Eeco CNG</t>
  </si>
  <si>
    <t xml:space="preserve">Source / note</t>
  </si>
  <si>
    <t xml:space="preserve">Engine</t>
  </si>
  <si>
    <t xml:space="preserve">1197 cc, 4-cyl K12N</t>
  </si>
  <si>
    <t xml:space="preserve">998 cc, 3-cyl K10C</t>
  </si>
  <si>
    <t xml:space="preserve">1462 cc, 4-cyl K15C</t>
  </si>
  <si>
    <t xml:space="preserve">S-DONOR</t>
  </si>
  <si>
    <t xml:space="preserve">Power petrol / CNG (PS)</t>
  </si>
  <si>
    <t xml:space="preserve">81.6 / ~70 (CNG third-party)</t>
  </si>
  <si>
    <t xml:space="preserve">~66 / ~57 (CNG third-party)</t>
  </si>
  <si>
    <t xml:space="preserve">103 / 87.8</t>
  </si>
  <si>
    <t xml:space="preserve">82 / n.a.</t>
  </si>
  <si>
    <t xml:space="preserve">S-DONOR; official CNG ratings for 1.0 and 1.2 L cars not captured</t>
  </si>
  <si>
    <t xml:space="preserve">Kerb mass CNG (kg)</t>
  </si>
  <si>
    <t xml:space="preserve">~1045 (third-party)</t>
  </si>
  <si>
    <t xml:space="preserve">~850-930</t>
  </si>
  <si>
    <t xml:space="preserve">1250-1255</t>
  </si>
  <si>
    <t xml:space="preserve">1085</t>
  </si>
  <si>
    <t xml:space="preserve">Gross vehicle weight (kg)</t>
  </si>
  <si>
    <t xml:space="preserve">1375 (Dzire S-CNG)</t>
  </si>
  <si>
    <t xml:space="preserve">1340</t>
  </si>
  <si>
    <t xml:space="preserve">1820</t>
  </si>
  <si>
    <t xml:space="preserve">n.a.</t>
  </si>
  <si>
    <t xml:space="preserve">CNG cylinder water volume (L) and location</t>
  </si>
  <si>
    <t xml:space="preserve">55, boot, transverse</t>
  </si>
  <si>
    <t xml:space="preserve">60, boot</t>
  </si>
  <si>
    <t xml:space="preserve">65, under rear floor area</t>
  </si>
  <si>
    <t xml:space="preserve">Boot volume without cylinder (L)</t>
  </si>
  <si>
    <t xml:space="preserve">382</t>
  </si>
  <si>
    <t xml:space="preserve">335</t>
  </si>
  <si>
    <t xml:space="preserve">209 (3rd row up)</t>
  </si>
  <si>
    <t xml:space="preserve">van</t>
  </si>
  <si>
    <t xml:space="preserve">Declared CNG economy (km/kg)</t>
  </si>
  <si>
    <t xml:space="preserve">32.1</t>
  </si>
  <si>
    <t xml:space="preserve">34.4</t>
  </si>
  <si>
    <t xml:space="preserve">26.5</t>
  </si>
  <si>
    <t xml:space="preserve">27.0</t>
  </si>
  <si>
    <t xml:space="preserve">S-DONOR (MIDC declared); fleet real-world 24-30</t>
  </si>
  <si>
    <t xml:space="preserve">Ground clearance (mm)</t>
  </si>
  <si>
    <t xml:space="preserve">163</t>
  </si>
  <si>
    <t xml:space="preserve">165</t>
  </si>
  <si>
    <t xml:space="preserve">185</t>
  </si>
  <si>
    <t xml:space="preserve">160</t>
  </si>
  <si>
    <t xml:space="preserve">Under-floor hydrogen cylinders not credible; boot bay only</t>
  </si>
  <si>
    <t xml:space="preserve">Fleet presence (taxi / aggregator)</t>
  </si>
  <si>
    <t xml:space="preserve">Very high (app cabs, airport)</t>
  </si>
  <si>
    <t xml:space="preserve">High (Delhi taxis, private)</t>
  </si>
  <si>
    <t xml:space="preserve">Medium (outstation, 7 seats)</t>
  </si>
  <si>
    <t xml:space="preserve">Medium (tier-2 taxi, school van)</t>
  </si>
  <si>
    <t xml:space="preserve">Qualitative</t>
  </si>
  <si>
    <t xml:space="preserve">Hydrogen cylinder that fits the bay (350 bar)</t>
  </si>
  <si>
    <t xml:space="preserve">60 L composite, OD 400 x 767 mm</t>
  </si>
  <si>
    <t xml:space="preserve">60 L composite</t>
  </si>
  <si>
    <t xml:space="preserve">60-74 L composite</t>
  </si>
  <si>
    <t xml:space="preserve">Luxfer G-Stor Pro V060H35 example: 36 kg, 1.45 kg H2 (S-CYL)</t>
  </si>
  <si>
    <t xml:space="preserve">Power margin after 45 percent hydrogen derate</t>
  </si>
  <si>
    <t xml:space="preserve">adequate for urban duty</t>
  </si>
  <si>
    <t xml:space="preserve">marginal (3-cyl, 41 PS)</t>
  </si>
  <si>
    <t xml:space="preserve">best (48 PS)</t>
  </si>
  <si>
    <t xml:space="preserve">adequate</t>
  </si>
  <si>
    <t xml:space="preserve">Model estimate</t>
  </si>
  <si>
    <t xml:space="preserve">Verdict as first donor</t>
  </si>
  <si>
    <t xml:space="preserve">PRIMARY: fleet workhorse, 4-cyl, sedan boot</t>
  </si>
  <si>
    <t xml:space="preserve">Alternative: private/taxi hatch, weakest power</t>
  </si>
  <si>
    <t xml:space="preserve">Alternative for larger storage (2 cylinders, 5-seat mode)</t>
  </si>
  <si>
    <t xml:space="preserve">Alternative for tier-2 fleets</t>
  </si>
  <si>
    <t xml:space="preserve">Technology route comparison for the same donor and duty (matched criteria)</t>
  </si>
  <si>
    <t xml:space="preserve">H2-ICE retrofit (selected)</t>
  </si>
  <si>
    <t xml:space="preserve">Fuel-cell conversion</t>
  </si>
  <si>
    <t xml:space="preserve">New BEV (sell donor)</t>
  </si>
  <si>
    <t xml:space="preserve">Continue on CNG</t>
  </si>
  <si>
    <t xml:space="preserve">What changes</t>
  </si>
  <si>
    <t xml:space="preserve">Fuel storage and delivery, injectors, ECU, sensors; engine retained</t>
  </si>
  <si>
    <t xml:space="preserve">Entire powertrain: stack, battery, motor, inverter, cooling, tank, controls</t>
  </si>
  <si>
    <t xml:space="preserve">New vehicle</t>
  </si>
  <si>
    <t xml:space="preserve">Nothing</t>
  </si>
  <si>
    <t xml:space="preserve">Engineering scope</t>
  </si>
  <si>
    <t xml:space="preserve">Conversion or purchase cost (Rs lakh, model)</t>
  </si>
  <si>
    <t xml:space="preserve">15 to 25 (pilot), 8 to 12 (volume)</t>
  </si>
  <si>
    <t xml:space="preserve">0</t>
  </si>
  <si>
    <t xml:space="preserve">BOM; fuel-cell figures are estimates from stack and battery cost literature (S-FCCOST)</t>
  </si>
  <si>
    <t xml:space="preserve">Energy cost per km, year 1 (Rs/km)</t>
  </si>
  <si>
    <t xml:space="preserve">about half of H2-ICE per km on hydrogen</t>
  </si>
  <si>
    <t xml:space="preserve">TCO sheet</t>
  </si>
  <si>
    <t xml:space="preserve">Range per fill or charge (km)</t>
  </si>
  <si>
    <t xml:space="preserve">about 2x H2-ICE for same tank</t>
  </si>
  <si>
    <t xml:space="preserve">187 to 260 (Tiago EV, Punch EV tests)</t>
  </si>
  <si>
    <t xml:space="preserve">about 250 on CNG at 25 km/kg</t>
  </si>
  <si>
    <t xml:space="preserve">Energy_Range; Autocar India real-world tests (W3-S30)</t>
  </si>
  <si>
    <t xml:space="preserve">Refuel or recharge time</t>
  </si>
  <si>
    <t xml:space="preserve">3 to 5 min (350 bar, non-cooled fill)</t>
  </si>
  <si>
    <t xml:space="preserve">3 to 5 min</t>
  </si>
  <si>
    <t xml:space="preserve">about 58 min 10-80 percent DC (Tiago EV 24 kWh); 6-8 h AC</t>
  </si>
  <si>
    <t xml:space="preserve">SAE J2601; Tata specifications (W3-S27)</t>
  </si>
  <si>
    <t xml:space="preserve">Peak power versus petrol</t>
  </si>
  <si>
    <t xml:space="preserve">restored (electric drive)</t>
  </si>
  <si>
    <t xml:space="preserve">typically higher</t>
  </si>
  <si>
    <t xml:space="preserve">about 0.85</t>
  </si>
  <si>
    <t xml:space="preserve">Model / spec</t>
  </si>
  <si>
    <t xml:space="preserve">Tailpipe CO2 on hydrogen km</t>
  </si>
  <si>
    <t xml:space="preserve">zero (NOx present)</t>
  </si>
  <si>
    <t xml:space="preserve">zero (water only)</t>
  </si>
  <si>
    <t xml:space="preserve">zero</t>
  </si>
  <si>
    <t xml:space="preserve">about 105 g/km</t>
  </si>
  <si>
    <t xml:space="preserve">Emissions sheet</t>
  </si>
  <si>
    <t xml:space="preserve">Approval route today</t>
  </si>
  <si>
    <t xml:space="preserve">None for retrofit; new-vehicle standard AIS-195 exists</t>
  </si>
  <si>
    <t xml:space="preserve">None for retrofit; AIS-157 covers new FCEVs</t>
  </si>
  <si>
    <t xml:space="preserve">Established</t>
  </si>
  <si>
    <t xml:space="preserve">WS2 findings</t>
  </si>
  <si>
    <t xml:space="preserve">Supplier readiness</t>
  </si>
  <si>
    <t xml:space="preserve">Injectors, valves, regulators production-intent; small cylinders scarce</t>
  </si>
  <si>
    <t xml:space="preserve">Stacks imported; no Indian light-duty supply chain</t>
  </si>
  <si>
    <t xml:space="preserve">Mature</t>
  </si>
  <si>
    <t xml:space="preserve">WS1/WS3</t>
  </si>
  <si>
    <t xml:space="preserve">Verdict</t>
  </si>
  <si>
    <t xml:space="preserve">Selected: only route that is a retrofit at an affordable scope; economics hinge on hydrogen price</t>
  </si>
  <si>
    <t xml:space="preserve">Not a retrofit in cost terms; equals a new vehicle</t>
  </si>
  <si>
    <t xml:space="preserve">Benchmark to beat; lowest running cost</t>
  </si>
  <si>
    <t xml:space="preserve">Baseline</t>
  </si>
  <si>
    <t xml:space="preserve">Source register</t>
  </si>
  <si>
    <t xml:space="preserve">Access date 14 September 2026 unless noted. Status: observed / modelled / target / announced / spec / regulation. 'excerpt' or 'summary' in Limitations means the original could not be opened in the build environment.</t>
  </si>
  <si>
    <t xml:space="preserve">ID</t>
  </si>
  <si>
    <t xml:space="preserve">Claim / input supported</t>
  </si>
  <si>
    <t xml:space="preserve">Publisher</t>
  </si>
  <si>
    <t xml:space="preserve">Document title</t>
  </si>
  <si>
    <t xml:space="preserve">URL</t>
  </si>
  <si>
    <t xml:space="preserve">Publication / data date</t>
  </si>
  <si>
    <t xml:space="preserve">Page / table / section</t>
  </si>
  <si>
    <t xml:space="preserve">Geography</t>
  </si>
  <si>
    <t xml:space="preserve">Status</t>
  </si>
  <si>
    <t xml:space="preserve">Limitations</t>
  </si>
  <si>
    <t xml:space="preserve">W1-S1</t>
  </si>
  <si>
    <t xml:space="preserve">Hexagon Type IV cylinder dimensions/mass/H2 capacity (350 &amp; 700 bar)</t>
  </si>
  <si>
    <t xml:space="preserve">Hexagon Purus</t>
  </si>
  <si>
    <t xml:space="preserve">Hydrogen Type 4 cylinder information</t>
  </si>
  <si>
    <t xml:space="preserve">https://s3.eu-central-1.amazonaws.com/hexagonpurus-website/HPU_0222_12_HydrogenType4_Tabelle_2pages.pdf</t>
  </si>
  <si>
    <t xml:space="preserve">REV. 08/22</t>
  </si>
  <si>
    <t xml:space="preserve">p.2 table</t>
  </si>
  <si>
    <t xml:space="preserve">Global (Canada/Germany/USA plants)</t>
  </si>
  <si>
    <t xml:space="preserve">bar, mm, kg, L</t>
  </si>
  <si>
    <t xml:space="preserve">spec</t>
  </si>
  <si>
    <t xml:space="preserve">"frequently built units; minimum quantities may apply"</t>
  </si>
  <si>
    <t xml:space="preserve">Luxfer Type III 350 bar 60/74/205 L cylinders</t>
  </si>
  <si>
    <t xml:space="preserve">Luxfer Gas Cylinders</t>
  </si>
  <si>
    <t xml:space="preserve">G-Stor Pro H2 Type 3 (EU) spec table</t>
  </si>
  <si>
    <t xml:space="preserve">https://www.luxfercylinders.com/product/g-stor-h2-hydrogen-cylinders/</t>
  </si>
  <si>
    <t xml:space="preserve">2023–25 (page)</t>
  </si>
  <si>
    <t xml:space="preserve">EU table</t>
  </si>
  <si>
    <t xml:space="preserve">EU</t>
  </si>
  <si>
    <t xml:space="preserve">Firecrawl excerpt; Type III not Type IV</t>
  </si>
  <si>
    <t xml:space="preserve">Tour S petrol power/torque, FE, tanks, GC</t>
  </si>
  <si>
    <t xml:space="preserve">Maruti Suzuki</t>
  </si>
  <si>
    <t xml:space="preserve">Dzire Tour S page / Maruti Suzuki Commercial page</t>
  </si>
  <si>
    <t xml:space="preserve">https://www.marutisuzuki.com/tour/dzire ; https://www.marutisuzukicommercial.com/dzire-tour-s</t>
  </si>
  <si>
    <t xml:space="preserve">2025–26</t>
  </si>
  <si>
    <t xml:space="preserve">spec block</t>
  </si>
  <si>
    <t xml:space="preserve">India</t>
  </si>
  <si>
    <t xml:space="preserve">kW, Nm, km/l, L</t>
  </si>
  <si>
    <t xml:space="preserve">excerpt; CNG power not in excerpt</t>
  </si>
  <si>
    <t xml:space="preserve">W1-S3b</t>
  </si>
  <si>
    <t xml:space="preserve">Tour S S-CNG 32.12 km/kg</t>
  </si>
  <si>
    <t xml:space="preserve">Media release: Maruti Suzuki launches the All-new Tour S</t>
  </si>
  <si>
    <t xml:space="preserve">https://www.marutisuzuki.com/content/dam/arena-eds/corporate/press-release/assets/documents/2023/february/Media_Release_Maruti_Suzuki_launches_the_All-new_Tour_S.pdf</t>
  </si>
  <si>
    <t xml:space="preserve">Feb 2023</t>
  </si>
  <si>
    <t xml:space="preserve">body</t>
  </si>
  <si>
    <t xml:space="preserve">spec (declared)</t>
  </si>
  <si>
    <t xml:space="preserve">excerpt</t>
  </si>
  <si>
    <t xml:space="preserve">W1-S3c</t>
  </si>
  <si>
    <t xml:space="preserve">Dzire 4th gen kerb/GVW/FE/boot/tanks</t>
  </si>
  <si>
    <t xml:space="preserve">Arena Dzire brochure; Dzire price page</t>
  </si>
  <si>
    <t xml:space="preserve">https://www.marutisuzuki.com/content/dam/msil/arena/in/en/assets/cars/dzire/documents/Arena-Dzire-Brochure.pdf ; https://www.marutisuzuki.com/arena/dzire/price</t>
  </si>
  <si>
    <t xml:space="preserve">2024–26</t>
  </si>
  <si>
    <t xml:space="preserve">spec table</t>
  </si>
  <si>
    <t xml:space="preserve">kg, L, km/l, km/kg</t>
  </si>
  <si>
    <t xml:space="preserve">W1-S3d</t>
  </si>
  <si>
    <t xml:space="preserve">WagonR kerb 850, GVW 1340, tank 32, boot 335; engines K10C/K12N</t>
  </si>
  <si>
    <t xml:space="preserve">WagonR price page; WagonR page</t>
  </si>
  <si>
    <t xml:space="preserve">https://www.marutisuzuki.com/arena/wagon-r/price ; https://www.marutisuzuki.com/arena/wagon-r</t>
  </si>
  <si>
    <t xml:space="preserve">kg, L</t>
  </si>
  <si>
    <t xml:space="preserve">excerpt; variant for kerb/GVW not stated</t>
  </si>
  <si>
    <t xml:space="preserve">W1-S3d2</t>
  </si>
  <si>
    <t xml:space="preserve">WagonR Tour H3 25.22 km/l, 34.41 km/kg</t>
  </si>
  <si>
    <t xml:space="preserve">WagonR Tour H3 page</t>
  </si>
  <si>
    <t xml:space="preserve">https://www.marutisuzuki.com/tour/wagonr</t>
  </si>
  <si>
    <t xml:space="preserve">FAQ</t>
  </si>
  <si>
    <t xml:space="preserve">km/l, km/kg</t>
  </si>
  <si>
    <t xml:space="preserve">W1-S3e</t>
  </si>
  <si>
    <t xml:space="preserve">Swift 1197 cc 60 kW @5700</t>
  </si>
  <si>
    <t xml:space="preserve">Swift page</t>
  </si>
  <si>
    <t xml:space="preserve">https://www.marutisuzuki.com/arena/swift</t>
  </si>
  <si>
    <t xml:space="preserve">kW</t>
  </si>
  <si>
    <t xml:space="preserve">W1-S3f</t>
  </si>
  <si>
    <t xml:space="preserve">Ertiga 1462 cc, 75.8 kW @6000, 139 Nm @4300</t>
  </si>
  <si>
    <t xml:space="preserve">Ertiga page</t>
  </si>
  <si>
    <t xml:space="preserve">https://www.marutisuzuki.com/arena/ertiga</t>
  </si>
  <si>
    <t xml:space="preserve">kW, Nm</t>
  </si>
  <si>
    <t xml:space="preserve">W1-S3g</t>
  </si>
  <si>
    <t xml:space="preserve">1.5 L K-series S-CNG 64.6 kW @5500, 121.5 Nm</t>
  </si>
  <si>
    <t xml:space="preserve">Press release: All New Brezza S-CNG</t>
  </si>
  <si>
    <t xml:space="preserve">https://www.marutisuzuki.com/corporate/media/press-releases/2023/march/maruti-suzuki-introduces-all-new-brezza-s-cng</t>
  </si>
  <si>
    <t xml:space="preserve">Mar 2023</t>
  </si>
  <si>
    <t xml:space="preserve">same engine as Ertiga S-CNG; excerpt</t>
  </si>
  <si>
    <t xml:space="preserve">W1-S3h</t>
  </si>
  <si>
    <t xml:space="preserve">Ertiga CNG 121.5 Nm @4200</t>
  </si>
  <si>
    <t xml:space="preserve">Arena Ertiga brochure</t>
  </si>
  <si>
    <t xml:space="preserve">https://www.marutisuzuki.com/content/dam/msil/arena/in/en/assets/cars/ertiga/document/Arena-Ertiga-Brochure.pdf</t>
  </si>
  <si>
    <t xml:space="preserve">2024</t>
  </si>
  <si>
    <t xml:space="preserve">Nm</t>
  </si>
  <si>
    <t xml:space="preserve">W1-S3i</t>
  </si>
  <si>
    <t xml:space="preserve">Ertiga kerb 1150–1205/1250–1255, GVW 1760/1820, tanks 45/60</t>
  </si>
  <si>
    <t xml:space="preserve">Ertiga price page; 6-page brochure</t>
  </si>
  <si>
    <t xml:space="preserve">https://www.marutisuzuki.com/arena/ertiga/price ; https://www.marutisuzuki.com/content/dam/msil/arena/in/en/assets/cars/ertiga/document/ErtigaBrochure_6_Pgs_High_Res.pdf</t>
  </si>
  <si>
    <t xml:space="preserve">W1-S3j</t>
  </si>
  <si>
    <t xml:space="preserve">Ertiga 20.51 km/l, 26.11 km/kg</t>
  </si>
  <si>
    <t xml:space="preserve">Press release Next-Gen Ertiga</t>
  </si>
  <si>
    <t xml:space="preserve">https://www.marutisuzuki.com/corporate/media/press-releases/2022/april/inspire-togetherness-again-maruti-suzuki-next-gen-ertiga-arrives-at-arena-showrooms</t>
  </si>
  <si>
    <t xml:space="preserve">Apr 2022</t>
  </si>
  <si>
    <t xml:space="preserve">W1-S3k</t>
  </si>
  <si>
    <t xml:space="preserve">Ertiga Tour M 21.10 km/l, 26.54 km/kg, 45 L</t>
  </si>
  <si>
    <t xml:space="preserve">Ertiga Tour M page</t>
  </si>
  <si>
    <t xml:space="preserve">https://www.marutisuzuki.com/tour/ertiga</t>
  </si>
  <si>
    <t xml:space="preserve">W1-S3l</t>
  </si>
  <si>
    <t xml:space="preserve">Eeco Tour V 60.5 kW @6000, 105.5 Nm @3000, 20.20 km/l</t>
  </si>
  <si>
    <t xml:space="preserve">Eeco Tour V page</t>
  </si>
  <si>
    <t xml:space="preserve">https://www.marutisuzuki.com/tour/eeco</t>
  </si>
  <si>
    <t xml:space="preserve">kW, Nm, km/l</t>
  </si>
  <si>
    <t xml:space="preserve">W1-S3m</t>
  </si>
  <si>
    <t xml:space="preserve">Eeco S-CNG 27.05 km/kg, 104.4 Nm @3000</t>
  </si>
  <si>
    <t xml:space="preserve">Press release New Eeco</t>
  </si>
  <si>
    <t xml:space="preserve">https://www.marutisuzuki.com/corporate/media/press-releases/2022/november/maruti-suzuki-new-eeco-more-power-more-fuel-efficient-and-more-style</t>
  </si>
  <si>
    <t xml:space="preserve">Nov 2022</t>
  </si>
  <si>
    <t xml:space="preserve">km/kg, Nm</t>
  </si>
  <si>
    <t xml:space="preserve">W1-S3n</t>
  </si>
  <si>
    <t xml:space="preserve">Eeco kerb 970, 19.71 km/l, price from ₹5,20,900</t>
  </si>
  <si>
    <t xml:space="preserve">Eeco price page</t>
  </si>
  <si>
    <t xml:space="preserve">https://www.marutisuzuki.com/arena/eeco/price</t>
  </si>
  <si>
    <t xml:space="preserve">kg, km/l, ₹</t>
  </si>
  <si>
    <t xml:space="preserve">W1-S3o</t>
  </si>
  <si>
    <t xml:space="preserve">Eeco CNG kerb 1085, 26.78 km/kg</t>
  </si>
  <si>
    <t xml:space="preserve">Arena Eeco brochure</t>
  </si>
  <si>
    <t xml:space="preserve">https://www.marutisuzuki.com/content/dam/msil/arena/in/en/assets/cars/eeco/document/Arena-Eeco-Brochure.pdf</t>
  </si>
  <si>
    <t xml:space="preserve">2024–25</t>
  </si>
  <si>
    <t xml:space="preserve">kg, km/kg</t>
  </si>
  <si>
    <t xml:space="preserve">W1-S3p</t>
  </si>
  <si>
    <t xml:space="preserve">Eeco S-CNG 65 L tank</t>
  </si>
  <si>
    <t xml:space="preserve">Arena Eeco page</t>
  </si>
  <si>
    <t xml:space="preserve">https://www.marutisuzuki.com/arena/eeco</t>
  </si>
  <si>
    <t xml:space="preserve">W1-S3q</t>
  </si>
  <si>
    <t xml:space="preserve">Swift 24.8/25.75 km/l</t>
  </si>
  <si>
    <t xml:space="preserve">km/l</t>
  </si>
  <si>
    <t xml:space="preserve">W1-S3r</t>
  </si>
  <si>
    <t xml:space="preserve">Swift S-CNG 32.85 km/kg</t>
  </si>
  <si>
    <t xml:space="preserve">Press release Epic New Swift S-CNG; Swift S-CNG brochure</t>
  </si>
  <si>
    <t xml:space="preserve">https://www.marutisuzuki.com/corporate/media/press-releases/2024/september/epic-new-swift-s-cng ; https://www.marutisuzuki.com/content/dam/msil/arena/in/en/assets/cars/swift/document/Swift_SCNG_VerticalBrochure.pdf</t>
  </si>
  <si>
    <t xml:space="preserve">Sep 2024</t>
  </si>
  <si>
    <t xml:space="preserve">excerpt; torque truncated</t>
  </si>
  <si>
    <t xml:space="preserve">W1-S3s</t>
  </si>
  <si>
    <t xml:space="preserve">Swift kerb 920/990, GVW 1355/1425, tanks 37/55</t>
  </si>
  <si>
    <t xml:space="preserve">Swift price page</t>
  </si>
  <si>
    <t xml:space="preserve">https://www.marutisuzuki.com/arena/swift/price</t>
  </si>
  <si>
    <t xml:space="preserve">W1-S4</t>
  </si>
  <si>
    <t xml:space="preserve">Aura CNG 50.5 kW, 95.2 Nm, tanks 37/65, dims, price</t>
  </si>
  <si>
    <t xml:space="preserve">Hyundai Motor India</t>
  </si>
  <si>
    <t xml:space="preserve">Aura specification/performance/price pages</t>
  </si>
  <si>
    <t xml:space="preserve">https://www.hyundai.com/in/en/find-a-car/aura/specification ; https://www.hyundai.com/in/en/find-a-car/aura/performance ; https://www.hyundai.com/in/en/find-a-car/aura/price</t>
  </si>
  <si>
    <t xml:space="preserve">2026</t>
  </si>
  <si>
    <t xml:space="preserve">kW, Nm, L, ₹</t>
  </si>
  <si>
    <t xml:space="preserve">excerpt; kerb weight absent</t>
  </si>
  <si>
    <t xml:space="preserve">W1-S5</t>
  </si>
  <si>
    <t xml:space="preserve">Tigor iCNG specs, ARAI mileage, tanks, price</t>
  </si>
  <si>
    <t xml:space="preserve">CarDekho (third party)</t>
  </si>
  <si>
    <t xml:space="preserve">Tata Tigor specifications</t>
  </si>
  <si>
    <t xml:space="preserve">https://www.cardekho.com/tata/tigor/specs</t>
  </si>
  <si>
    <t xml:space="preserve">bhp, Nm, km/kg, L, ₹</t>
  </si>
  <si>
    <t xml:space="preserve">spec (third party)</t>
  </si>
  <si>
    <t xml:space="preserve">not OEM page</t>
  </si>
  <si>
    <t xml:space="preserve">W1-S5b</t>
  </si>
  <si>
    <t xml:space="preserve">Twin-cylinder frees 200–205 L boot</t>
  </si>
  <si>
    <t xml:space="preserve">carandbike (third party)</t>
  </si>
  <si>
    <t xml:space="preserve">Tata Tigor page</t>
  </si>
  <si>
    <t xml:space="preserve">https://www.carandbike.com/tata-cars/tigor</t>
  </si>
  <si>
    <t xml:space="preserve">claimed</t>
  </si>
  <si>
    <t xml:space="preserve">third party</t>
  </si>
  <si>
    <t xml:space="preserve">Tour S CNG 69 bhp/101.8 Nm, 34.3 km/kg, kerb 1045, boot 382, GC 163</t>
  </si>
  <si>
    <t xml:space="preserve">CarDekho / ZigWheels (third party)</t>
  </si>
  <si>
    <t xml:space="preserve">Dzire Tour S CNG overview; Tour S specs</t>
  </si>
  <si>
    <t xml:space="preserve">https://www.cardekho.com/overview/Maruti_Dzire_Tour_S/Maruti_Dzire_Tour_S_CNG.htm ; https://www.zigwheels.com/maruti-suzuki-cars/dzire-tour-s/specifications/</t>
  </si>
  <si>
    <t xml:space="preserve">bhp, Nm, km/kg, kg</t>
  </si>
  <si>
    <t xml:space="preserve">search-summary</t>
  </si>
  <si>
    <t xml:space="preserve">W1-S7</t>
  </si>
  <si>
    <t xml:space="preserve">2025–26 ex-showroom prices (Tour S CNG ₹7.10 L; WagonR CNG ₹5.79–7.62 L; Ertiga CNG ~₹9.5 L; Eeco AC CNG ₹6.46 L; Swift VXi CNG ₹7.57 L)</t>
  </si>
  <si>
    <t xml:space="preserve">CarDekho/CarWale/ZigWheels (aggregators)</t>
  </si>
  <si>
    <t xml:space="preserve">various price pages</t>
  </si>
  <si>
    <t xml:space="preserve">https://www.cardekho.com/overview/Maruti_Dzire_Tour_S/Maruti_Dzire_Tour_S_CNG.htm ; https://www.carwale.com/maruti-suzuki-cars/wagon-r/cng/ ; https://www.carwale.com/maruti-suzuki-cars/ertiga/cng/ ; https://www.cardekho.com/overview/Maruti_Eeco/Maruti_Eeco_5_Seater_AC_CNG.htm ; https://www.cardekho.com/overview/Maruti_Swift/Maruti_Swift_VXi_CNG.htm</t>
  </si>
  <si>
    <t xml:space="preserve">Sep 2026 snapshot</t>
  </si>
  <si>
    <t xml:space="preserve">price block</t>
  </si>
  <si>
    <t xml:space="preserve">₹</t>
  </si>
  <si>
    <t xml:space="preserve">third-party</t>
  </si>
  <si>
    <t xml:space="preserve">search-summary; unverified</t>
  </si>
  <si>
    <t xml:space="preserve">W1-S7b</t>
  </si>
  <si>
    <t xml:space="preserve">WagonR CNG 56 bhp/82.1 Nm, 60 L, 33.47 km/kg</t>
  </si>
  <si>
    <t xml:space="preserve">CarWale (third party)</t>
  </si>
  <si>
    <t xml:space="preserve">WagonR CNG page</t>
  </si>
  <si>
    <t xml:space="preserve">https://www.carwale.com/maruti-suzuki-cars/wagon-r/cng/</t>
  </si>
  <si>
    <t xml:space="preserve">bhp, Nm, L, km/kg</t>
  </si>
  <si>
    <t xml:space="preserve">W1-S8a</t>
  </si>
  <si>
    <t xml:space="preserve">Dzire CNG real-world 28–30 km/kg city</t>
  </si>
  <si>
    <t xml:space="preserve">Cars24 (blog)</t>
  </si>
  <si>
    <t xml:space="preserve">Maruti Suzuki Dzire Real World Mileage</t>
  </si>
  <si>
    <t xml:space="preserve">https://www.cars24.com/article/maruti-suzuki-dzire-real-world-mileage/</t>
  </si>
  <si>
    <t xml:space="preserve">anecdotal</t>
  </si>
  <si>
    <t xml:space="preserve">not a fleet study</t>
  </si>
  <si>
    <t xml:space="preserve">W1-S8b</t>
  </si>
  <si>
    <t xml:space="preserve">WagonR CNG real 24–28 km/kg; 3-yr hydrotest</t>
  </si>
  <si>
    <t xml:space="preserve">VahanBazaar (blog)</t>
  </si>
  <si>
    <t xml:space="preserve">CNG Mileage Real-World India</t>
  </si>
  <si>
    <t xml:space="preserve">https://vahanbazaar.in/tips/cng-mileage-real-world-india-vahanbazaar</t>
  </si>
  <si>
    <t xml:space="preserve">low confidence</t>
  </si>
  <si>
    <t xml:space="preserve">W1-S9a</t>
  </si>
  <si>
    <t xml:space="preserve">H2 ≈30 % of mixture volume; ~20 % power loss at stoich PFI</t>
  </si>
  <si>
    <t xml:space="preserve">Int. J. Hydrogen Energy (Elsevier)</t>
  </si>
  <si>
    <t xml:space="preserve">Hydrogen-fuelled ICEs: Direct Injection versus Port-Fuel Injection</t>
  </si>
  <si>
    <t xml:space="preserve">https://www.sciencedirect.com/science/article/pii/S0360319924028106</t>
  </si>
  <si>
    <t xml:space="preserve">intro/results</t>
  </si>
  <si>
    <t xml:space="preserve">lab</t>
  </si>
  <si>
    <t xml:space="preserve">%, kg/m³</t>
  </si>
  <si>
    <t xml:space="preserve">observed/reviewed</t>
  </si>
  <si>
    <t xml:space="preserve">excerpt + search-summary; full text blocked</t>
  </si>
  <si>
    <t xml:space="preserve">W1-S9b</t>
  </si>
  <si>
    <t xml:space="preserve">λ=2 torque −34.9–40.7 %; BTE 40.4 % (DI e-turbo); NOx &lt;10 ppm above λ 2.7; BTE ~38 % lean</t>
  </si>
  <si>
    <t xml:space="preserve">multiple (ACS Omega 2024; IJHE 2025; Springer IJAT 2026)</t>
  </si>
  <si>
    <t xml:space="preserve">see URLs</t>
  </si>
  <si>
    <t xml:space="preserve">https://pubs.acs.org/doi/10.1021/acsomega.4c02222 ; https://www.sciencedirect.com/science/article/pii/S036031992501715X ; https://link.springer.com/article/10.1007/s12239-026-00469-z</t>
  </si>
  <si>
    <t xml:space="preserve">abstracts</t>
  </si>
  <si>
    <t xml:space="preserve">%, ppm</t>
  </si>
  <si>
    <t xml:space="preserve">observed</t>
  </si>
  <si>
    <t xml:space="preserve">search-summary; attribution to individual papers not verified</t>
  </si>
  <si>
    <t xml:space="preserve">W1-S9c</t>
  </si>
  <si>
    <t xml:space="preserve">Supercharging + EGR power recovery</t>
  </si>
  <si>
    <t xml:space="preserve">Int. J. Hydrogen Energy</t>
  </si>
  <si>
    <t xml:space="preserve">Increasing the power output of hydrogen ICEs by means of supercharging and EGR (Verhelst et al.)</t>
  </si>
  <si>
    <t xml:space="preserve">https://www.sciencedirect.com/science/article/abs/pii/S036031990900442X</t>
  </si>
  <si>
    <t xml:space="preserve">2009</t>
  </si>
  <si>
    <t xml:space="preserve">title/abstract</t>
  </si>
  <si>
    <t xml:space="preserve">—</t>
  </si>
  <si>
    <t xml:space="preserve">content blocked</t>
  </si>
  <si>
    <t xml:space="preserve">W1-S9d</t>
  </si>
  <si>
    <t xml:space="preserve">"&gt;30 % of gasoline" power with supercharged stoich + EGR</t>
  </si>
  <si>
    <t xml:space="preserve">LAPSE/PSE Community (review preprint)</t>
  </si>
  <si>
    <t xml:space="preserve">Progress of Performance, Emission, and Technical Measures of H2 ICEs</t>
  </si>
  <si>
    <t xml:space="preserve">https://psecommunity.org/wp-content/plugins/wpor/includes/file/2302/LAPSE-2023.9491-1v1.pdf</t>
  </si>
  <si>
    <t xml:space="preserve">2023</t>
  </si>
  <si>
    <t xml:space="preserve">review</t>
  </si>
  <si>
    <t xml:space="preserve">%</t>
  </si>
  <si>
    <t xml:space="preserve">reviewed</t>
  </si>
  <si>
    <t xml:space="preserve">wording ambiguous</t>
  </si>
  <si>
    <t xml:space="preserve">W1-S9e</t>
  </si>
  <si>
    <t xml:space="preserve">Backfire mitigation by injection control (review exists)</t>
  </si>
  <si>
    <t xml:space="preserve">Hydrogen port fuel injection: Review of fuel injection control strategies to mitigate backfire</t>
  </si>
  <si>
    <t xml:space="preserve">https://www.sciencedirect.com/science/article/abs/pii/S036031992401348X</t>
  </si>
  <si>
    <t xml:space="preserve">title</t>
  </si>
  <si>
    <t xml:space="preserve">W1-S9f</t>
  </si>
  <si>
    <t xml:space="preserve">Timed manifold injection overcomes backfire (IIT Delhi)</t>
  </si>
  <si>
    <t xml:space="preserve">Performance characteristics of a hydrogen fuelled S.I. engine using timed manifold injection (Das) ; Hydrogen engine: R&amp;D programmes in IIT Delhi</t>
  </si>
  <si>
    <t xml:space="preserve">https://www.sciencedirect.com/science/article/abs/pii/036031999190038K ; https://www.sciencedirect.com/science/article/abs/pii/S0360319901001781</t>
  </si>
  <si>
    <t xml:space="preserve">1991; 2002</t>
  </si>
  <si>
    <t xml:space="preserve">India (lab)</t>
  </si>
  <si>
    <t xml:space="preserve">W1-S9g</t>
  </si>
  <si>
    <t xml:space="preserve">Knock at spark &gt;26° CA; smaller advance than gasoline</t>
  </si>
  <si>
    <t xml:space="preserve">OSTI ETDE record (Indian study)</t>
  </si>
  <si>
    <t xml:space="preserve">Implications of combustion parameters on the ...</t>
  </si>
  <si>
    <t xml:space="preserve">https://www.osti.gov/etdeweb/servlets/purl/21400931</t>
  </si>
  <si>
    <t xml:space="preserve">n.d.</t>
  </si>
  <si>
    <t xml:space="preserve">abstract</t>
  </si>
  <si>
    <t xml:space="preserve">° CA</t>
  </si>
  <si>
    <t xml:space="preserve">search-summary; blocked</t>
  </si>
  <si>
    <t xml:space="preserve">W1-S9h</t>
  </si>
  <si>
    <t xml:space="preserve">NOx peak at λ=1.3, ~2.7× λ=1</t>
  </si>
  <si>
    <t xml:space="preserve">KAUST repository (Onorati et al., Int. J. Engine Res.)</t>
  </si>
  <si>
    <t xml:space="preserve">The potential of hydrogen ICEs for heavy-duty ... / role of H2 for future ICEs</t>
  </si>
  <si>
    <t xml:space="preserve">https://repository.kaust.edu.sa/bitstreams/e16f5716-15c8-4c8f-9951-bab74c8db2c9/download</t>
  </si>
  <si>
    <t xml:space="preserve">2022</t>
  </si>
  <si>
    <t xml:space="preserve">excerpt only</t>
  </si>
  <si>
    <t xml:space="preserve">W1-S10a</t>
  </si>
  <si>
    <t xml:space="preserve">Bosch PFI for H2 engines product page</t>
  </si>
  <si>
    <t xml:space="preserve">Bosch Mobility</t>
  </si>
  <si>
    <t xml:space="preserve">Port fuel injection for hydrogen engines</t>
  </si>
  <si>
    <t xml:space="preserve">https://www.bosch-mobility.com/en/solutions/powertrain/gas/port-fuel-injection-for-hydrogen-engines/</t>
  </si>
  <si>
    <t xml:space="preserve">page</t>
  </si>
  <si>
    <t xml:space="preserve">Global</t>
  </si>
  <si>
    <t xml:space="preserve">announced</t>
  </si>
  <si>
    <t xml:space="preserve">blocked; title via search</t>
  </si>
  <si>
    <t xml:space="preserve">W1-S10b</t>
  </si>
  <si>
    <t xml:space="preserve">PHINIA low-pressure H2 PFI injectors; DI-CHG10/15 ratings</t>
  </si>
  <si>
    <t xml:space="preserve">PHINIA; MarkLines</t>
  </si>
  <si>
    <t xml:space="preserve">Hydrogen Fuel Injectors; IAA 2024 note</t>
  </si>
  <si>
    <t xml:space="preserve">https://www.phinia.com/technologies/technologies/hydrogen-solutions/fuel-injectors ; https://www.marklines.com/en/news/314084</t>
  </si>
  <si>
    <t xml:space="preserve">kW/cyl</t>
  </si>
  <si>
    <t xml:space="preserve">W1-S10c</t>
  </si>
  <si>
    <t xml:space="preserve">Bosch DI injector 17 g/s @40 bar, 2026; Liebherr H964/H966; ~60 bar limit</t>
  </si>
  <si>
    <t xml:space="preserve">Power Progress; Mobility Engineering Tech</t>
  </si>
  <si>
    <t xml:space="preserve">Fuel injection must follow the hydrogen; Liebherr Q&amp;A</t>
  </si>
  <si>
    <t xml:space="preserve">https://www.powerprogress.com/news/fuel-injection-must-follow-the-hydrogen/8036089.article ; https://www.mobilityengineeringtech.com/component/content/article/tohe/pub/regulars/q-a/47237</t>
  </si>
  <si>
    <t xml:space="preserve">g/s, bar</t>
  </si>
  <si>
    <t xml:space="preserve">W1-S10d</t>
  </si>
  <si>
    <t xml:space="preserve">OMB Saleri HPR 350 two-stage regulator; Bosch–OMB agreement; H2 valve catalogue</t>
  </si>
  <si>
    <t xml:space="preserve">OMB Saleri; Green Car Congress</t>
  </si>
  <si>
    <t xml:space="preserve">Hydrogen valves; catalogue 2023; Bosch partners with OMB Saleri</t>
  </si>
  <si>
    <t xml:space="preserve">https://www.omb-saleri.it/products/hydrogen/ ; https://www.omb-saleri.it/uploads/categories/catalogo2023h2.pdf ; https://www.greencarcongress.com/2021/11/20211118-bosch.html</t>
  </si>
  <si>
    <t xml:space="preserve">2021–23</t>
  </si>
  <si>
    <t xml:space="preserve">page/catalogue</t>
  </si>
  <si>
    <t xml:space="preserve">bar</t>
  </si>
  <si>
    <t xml:space="preserve">production</t>
  </si>
  <si>
    <t xml:space="preserve">W1-S10e</t>
  </si>
  <si>
    <t xml:space="preserve">Lexier 350 bar HPR and OTV</t>
  </si>
  <si>
    <t xml:space="preserve">Lexier</t>
  </si>
  <si>
    <t xml:space="preserve">Pressure Regulator 350 bar; On Tank Valve 350 bar</t>
  </si>
  <si>
    <t xml:space="preserve">https://lexierweb.com/en/hydrogen/valves/pressure-regulators/hpr-350bar/ ; https://lexierweb.com/en/hydrogen/vehicles-components/on-tank-valve-350bar/</t>
  </si>
  <si>
    <t xml:space="preserve">2025</t>
  </si>
  <si>
    <t xml:space="preserve">W1-S10f</t>
  </si>
  <si>
    <t xml:space="preserve">Poppe+Potthoff TOPAQ OTV 2.0, R134/HGV 3.1 tests, TPRD variants</t>
  </si>
  <si>
    <t xml:space="preserve">Poppe + Potthoff; Hydrogen Central</t>
  </si>
  <si>
    <t xml:space="preserve">On Tank Valve; certification news</t>
  </si>
  <si>
    <t xml:space="preserve">https://www.poppe-potthoff.com/hydrogen/on-tank-valve/ ; https://hydrogen-central.com/hydrogen-tank-valves-by-poppe-potthoff-successfully-complete-required-as-part-of-the-certification-according-to-r134/</t>
  </si>
  <si>
    <t xml:space="preserve">production-intent</t>
  </si>
  <si>
    <t xml:space="preserve">W1-S10g</t>
  </si>
  <si>
    <t xml:space="preserve">Sensirion STC42A automotive H2 sensor specs</t>
  </si>
  <si>
    <t xml:space="preserve">Sensirion</t>
  </si>
  <si>
    <t xml:space="preserve">STC42A product page / press</t>
  </si>
  <si>
    <t xml:space="preserve">https://sensirion.com/products/catalog/STC42A ; https://sensirion.com/company/news/press-releases-and-news/article/sensirion-announces-global-availability-of-the-stc42a-automotive-h2-sensor-for-thermal-runaway-detection</t>
  </si>
  <si>
    <t xml:space="preserve">datasheet summary</t>
  </si>
  <si>
    <t xml:space="preserve">vol %</t>
  </si>
  <si>
    <t xml:space="preserve">W1-S10h</t>
  </si>
  <si>
    <t xml:space="preserve">Bosch H2 leak-detection sensors</t>
  </si>
  <si>
    <t xml:space="preserve">Sensors for fuel cell-electric systems</t>
  </si>
  <si>
    <t xml:space="preserve">https://www.bosch-mobility.com/en/solutions/powertrain/fuel-cell-electric/sensors-for-fuel-cell-electric-systems/</t>
  </si>
  <si>
    <t xml:space="preserve">W1-S10i</t>
  </si>
  <si>
    <t xml:space="preserve">NTM SenseH2</t>
  </si>
  <si>
    <t xml:space="preserve">NTM Sensors / AZoSensors</t>
  </si>
  <si>
    <t xml:space="preserve">SenseH2 Hydrogen Sensor</t>
  </si>
  <si>
    <t xml:space="preserve">https://www.azosensors.com/equipment-details.aspx?EquipID=339</t>
  </si>
  <si>
    <t xml:space="preserve">US</t>
  </si>
  <si>
    <t xml:space="preserve">W1-S11a</t>
  </si>
  <si>
    <t xml:space="preserve">ISO 11439: ≤2 % H2 for steel UTS &gt;950 MPa; 0.1 % wet gas</t>
  </si>
  <si>
    <t xml:space="preserve">iso11439.com FAQ (secondary)</t>
  </si>
  <si>
    <t xml:space="preserve">CNG Cylinder standard ISO 11439 – FAQ</t>
  </si>
  <si>
    <t xml:space="preserve">http://www.iso11439.com/faq.php</t>
  </si>
  <si>
    <t xml:space="preserve">Intl</t>
  </si>
  <si>
    <t xml:space="preserve">standard text (secondary)</t>
  </si>
  <si>
    <t xml:space="preserve">standard itself not opened</t>
  </si>
  <si>
    <t xml:space="preserve">W1-S11b</t>
  </si>
  <si>
    <t xml:space="preserve">MoRTH allowed 18 % H-CNG in CNG engines; CMVR amendment</t>
  </si>
  <si>
    <t xml:space="preserve">Autocar Professional</t>
  </si>
  <si>
    <t xml:space="preserve">MoRTH allows use of H-CNG in CNG engines</t>
  </si>
  <si>
    <t xml:space="preserve">https://www.autocarpro.in/news-national/morth-allows-use-of-hcng-in-cng-engines-67299</t>
  </si>
  <si>
    <t xml:space="preserve">Sep 2020</t>
  </si>
  <si>
    <t xml:space="preserve">policy</t>
  </si>
  <si>
    <t xml:space="preserve">W1-S11c</t>
  </si>
  <si>
    <t xml:space="preserve">ARAI: 18 % HCNG −70 % CO, −25 % HC, +4–5 % fuel economy (HD BS-IV)</t>
  </si>
  <si>
    <t xml:space="preserve">IAS Gyan (secondary, quoting PIB)</t>
  </si>
  <si>
    <t xml:space="preserve">Notification allowing use of H-CNG issued</t>
  </si>
  <si>
    <t xml:space="preserve">https://www.iasgyan.in/daily-current-affairs/notification-allowing-use-of-h-cng-issued</t>
  </si>
  <si>
    <t xml:space="preserve">2020</t>
  </si>
  <si>
    <t xml:space="preserve">reported</t>
  </si>
  <si>
    <t xml:space="preserve">secondary; PIB blocked</t>
  </si>
  <si>
    <t xml:space="preserve">W1-S11d</t>
  </si>
  <si>
    <t xml:space="preserve">IOCL reformer + 50 DTC buses, Rajghat Depot-1, Oct 2020</t>
  </si>
  <si>
    <t xml:space="preserve">IndianOil; pv magazine India</t>
  </si>
  <si>
    <t xml:space="preserve">IndianOil press release 58744; Delhi HCNG trial</t>
  </si>
  <si>
    <t xml:space="preserve">https://iocl.com/NewsDetails/58744 ; https://www.pv-magazine-india.com/2020/10/21/pollution-hit-delhi-starts-hydrogen-enhanced-cng-trial-for-buses/</t>
  </si>
  <si>
    <t xml:space="preserve">Oct 2020</t>
  </si>
  <si>
    <t xml:space="preserve">IOCL page blocked</t>
  </si>
  <si>
    <t xml:space="preserve">W1-S11e</t>
  </si>
  <si>
    <t xml:space="preserve">SIAM-led trial: 18 % chosen; NMHC −58 %, THC −23 %, NOx −50 %</t>
  </si>
  <si>
    <t xml:space="preserve">NPC / DOE (topic paper)</t>
  </si>
  <si>
    <t xml:space="preserve">NPC Future Transportation Fuels Study – Topic paper 25 HCNG</t>
  </si>
  <si>
    <t xml:space="preserve">https://www.npc.org/FTF_Topic_papers/25-HCNG.pdf ; https://www.energy.gov/sites/default/files/2022-10/25-HCNG.pdf</t>
  </si>
  <si>
    <t xml:space="preserve">2012 (data ~2010)</t>
  </si>
  <si>
    <t xml:space="preserve">US paper on Indian trial</t>
  </si>
  <si>
    <t xml:space="preserve">blocked; search-summary</t>
  </si>
  <si>
    <t xml:space="preserve">W1-S12a</t>
  </si>
  <si>
    <t xml:space="preserve">BMW Hydrogen 7: 191 kW, 8 kg LH2, ~201 km, 3.7 / 2.1 kg/100 km</t>
  </si>
  <si>
    <t xml:space="preserve">Wikipedia summarising Wallner et al., IJHE 2008; BMW press</t>
  </si>
  <si>
    <t xml:space="preserve">BMW Hydrogen 7; Fuel economy and emissions evaluation of BMW Hydrogen 7 Mono-Fuel demonstration vehicles</t>
  </si>
  <si>
    <t xml:space="preserve">https://en.wikipedia.org/wiki/BMW_Hydrogen_7 ; https://www.sciencedirect.com/science/article/abs/pii/S0360319908011439 ; https://www.press.bmwgroup.com/global/article/detail/T0012215EN/</t>
  </si>
  <si>
    <t xml:space="preserve">2006–08</t>
  </si>
  <si>
    <t xml:space="preserve">Germany/US (ANL test)</t>
  </si>
  <si>
    <t xml:space="preserve">kW, kg, km, kg/100 km</t>
  </si>
  <si>
    <t xml:space="preserve">observed (lab cycle)</t>
  </si>
  <si>
    <t xml:space="preserve">primary blocked; summary</t>
  </si>
  <si>
    <t xml:space="preserve">W1-S12b</t>
  </si>
  <si>
    <t xml:space="preserve">Mazda RX-8 Hydrogen RE: 110 L @350 bar, 2.4 kg, ~107 hp, ~100 km</t>
  </si>
  <si>
    <t xml:space="preserve">Wikipedia; Green Car Journal</t>
  </si>
  <si>
    <t xml:space="preserve">Mazda RX-8 Hydrogen RE</t>
  </si>
  <si>
    <t xml:space="preserve">https://en.wikipedia.org/wiki/Mazda_RX-8_Hydrogen_RE ; https://greencarjournal.com/dont-miss/mazdas-hydrogen-rx-8-re/</t>
  </si>
  <si>
    <t xml:space="preserve">2006</t>
  </si>
  <si>
    <t xml:space="preserve">Japan</t>
  </si>
  <si>
    <t xml:space="preserve">L, bar, kg, hp, km</t>
  </si>
  <si>
    <t xml:space="preserve">secondary</t>
  </si>
  <si>
    <t xml:space="preserve">W1-S12c</t>
  </si>
  <si>
    <t xml:space="preserve">Ford Focus H2RV: 2.3 L SC H2 ICE, 110 hp + 33 hp, 45 mi/kg, 125 mi</t>
  </si>
  <si>
    <t xml:space="preserve">EE Power; AutoIntell</t>
  </si>
  <si>
    <t xml:space="preserve">Ford Unveils Hydrogen ICE; H2ICE Ford Focus</t>
  </si>
  <si>
    <t xml:space="preserve">https://eepower.com/news/ford-unveils-hydrogen-internal-combustion-engine/ ; https://www.autointell.com/News-2003/September-2003/September-2003-4/September-24-03-p4.htm</t>
  </si>
  <si>
    <t xml:space="preserve">2003</t>
  </si>
  <si>
    <t xml:space="preserve">hp, mi/kg, mi</t>
  </si>
  <si>
    <t xml:space="preserve">W1-S12c2</t>
  </si>
  <si>
    <t xml:space="preserve">Ford E-450 H2ICE shuttle: 6.8 L V10 SC, 350 bar 26 GGE tank, ~150 mi</t>
  </si>
  <si>
    <t xml:space="preserve">Green Car Congress; TRID</t>
  </si>
  <si>
    <t xml:space="preserve">Ford H2ICE Shuttle Bus; Engineering the Ford H2 IC Engine Powered E-450</t>
  </si>
  <si>
    <t xml:space="preserve">https://www.greencarcongress.com/2004/09/ford_hsub2subic.html ; https://trid.trb.org/view/1813766</t>
  </si>
  <si>
    <t xml:space="preserve">2004–06</t>
  </si>
  <si>
    <t xml:space="preserve">mi, bar</t>
  </si>
  <si>
    <t xml:space="preserve">hp not confirmed</t>
  </si>
  <si>
    <t xml:space="preserve">W1-S12d</t>
  </si>
  <si>
    <t xml:space="preserve">Toyota Hydrogen HiAce: 3.4 L V6, 120 kW, 354 Nm, SCR/Euro VI, 7 vehicles, Nov 2023</t>
  </si>
  <si>
    <t xml:space="preserve">Toyota Australia (via RACQ/CarExpert/WhichCar)</t>
  </si>
  <si>
    <t xml:space="preserve">Toyota unveils Hydrogen HiAce; reviews</t>
  </si>
  <si>
    <t xml:space="preserve">https://www.toyota.com.au/discover/news/toyota-unveils-hydrogen-powertrain-technology-for-pilot-program-in-australia ; https://www.racq.com.au/articles/drive/2023/11/toyota-tests-hydrogen-fuelled-v6-powered-hiace ; https://www.whichcar.com.au/news/hydrogen-powered-toyota-hiace-revealed-with-200km-range</t>
  </si>
  <si>
    <t xml:space="preserve">Nov 2023</t>
  </si>
  <si>
    <t xml:space="preserve">Australia</t>
  </si>
  <si>
    <t xml:space="preserve">Toyota pages blocked</t>
  </si>
  <si>
    <t xml:space="preserve">W1-S12e</t>
  </si>
  <si>
    <t xml:space="preserve">HiAce ~6.2 kg, 141 L, &lt;200 km, &gt;70 L/100 km; CPB month-long pilot</t>
  </si>
  <si>
    <t xml:space="preserve">Drive.com.au; CarExpert; CPB Contractors</t>
  </si>
  <si>
    <t xml:space="preserve">2024 Toyota HiAce hydrogen prototype review; CPB pilot news</t>
  </si>
  <si>
    <t xml:space="preserve">https://www.drive.com.au/reviews/2024-toyota-hiace-hydrogen-prototype-quick-drive/ ; https://www.carexpert.com.au/car-reviews/2024-toyota-hydrogen-hiace-prototype-review-quick-drive ; https://www.cpbcon.com.au/news-and-media/2024/cpb-contractors-completes-australian-first-toyota-hydrogen-fuelled-vehicle-pilot</t>
  </si>
  <si>
    <t xml:space="preserve">kg, L, km</t>
  </si>
  <si>
    <t xml:space="preserve">claimed/derived</t>
  </si>
  <si>
    <t xml:space="preserve">consumption derived by me</t>
  </si>
  <si>
    <t xml:space="preserve">W1-S12f</t>
  </si>
  <si>
    <t xml:space="preserve">GR Corolla H2 liquid hydrogen; range doubled; tank &gt;220 L; 2026 superconducting pump</t>
  </si>
  <si>
    <t xml:space="preserve">Toyota Global Newsroom / Toyota Europe</t>
  </si>
  <si>
    <t xml:space="preserve">Super Taikyu releases</t>
  </si>
  <si>
    <t xml:space="preserve">https://global.toyota/en/newsroom/corporate/43550115.html ; https://newsroom.toyota.eu/evolved-liquid-hydrogen-powered-gr-corolla-to-participate-in-super-taikyu-fuji-24-hours-race/</t>
  </si>
  <si>
    <t xml:space="preserve">2023–26</t>
  </si>
  <si>
    <t xml:space="preserve">no kg/100 km</t>
  </si>
  <si>
    <t xml:space="preserve">W1-S12g</t>
  </si>
  <si>
    <t xml:space="preserve">HySE formation and member roles</t>
  </si>
  <si>
    <t xml:space="preserve">Honda Global</t>
  </si>
  <si>
    <t xml:space="preserve">Ministerial approval granted to form HySE</t>
  </si>
  <si>
    <t xml:space="preserve">https://global.honda/en/newsroom/news/2023/c230517eng.html</t>
  </si>
  <si>
    <t xml:space="preserve">17 May 2023</t>
  </si>
  <si>
    <t xml:space="preserve">W1-S12h</t>
  </si>
  <si>
    <t xml:space="preserve">Ashok Leyland/RIL H2-ICE truck; &gt;20 trucks ~250,000 km</t>
  </si>
  <si>
    <t xml:space="preserve">Business Standard; Hydrogen Central</t>
  </si>
  <si>
    <t xml:space="preserve">Indian CV majors drive hydrogen transition; AL &amp; RIL unveil</t>
  </si>
  <si>
    <t xml:space="preserve">https://www.business-standard.com/industry/auto/indian-cv-majors-drive-hydrogen-transition-with-h2-vehicles-125061600725_1.html ; https://hydrogen-central.com/ashok-leyland-ril-unveil-indias-first-hydrogen-powered-heavy-duty-truck/</t>
  </si>
  <si>
    <t xml:space="preserve">2023–25</t>
  </si>
  <si>
    <t xml:space="preserve">press</t>
  </si>
  <si>
    <t xml:space="preserve">W1-S12i</t>
  </si>
  <si>
    <t xml:space="preserve">IIT Delhi H2 SI genset with KOEL and IOCL R&amp;D</t>
  </si>
  <si>
    <t xml:space="preserve">IIT Delhi</t>
  </si>
  <si>
    <t xml:space="preserve">Technology for Hydrogen Utilization in SI Engine Generator</t>
  </si>
  <si>
    <t xml:space="preserve">https://home.iitd.ac.in/show.php?id=16&amp;in_sections=Press</t>
  </si>
  <si>
    <t xml:space="preserve">n.d. (2023–24)</t>
  </si>
  <si>
    <t xml:space="preserve">W1-S12j</t>
  </si>
  <si>
    <t xml:space="preserve">Delhi hydrogen 3-wheeler fleet (15 vehicles)</t>
  </si>
  <si>
    <t xml:space="preserve">capacity4dev (EU)</t>
  </si>
  <si>
    <t xml:space="preserve">World's first hydrogen-powered three-wheelers launched in New Delhi</t>
  </si>
  <si>
    <t xml:space="preserve">https://capacity4dev.europa.eu/discussions/worlds-first-hydrogen-powered-three-wheelers-launched-new-delhi_en</t>
  </si>
  <si>
    <t xml:space="preserve">2012</t>
  </si>
  <si>
    <t xml:space="preserve">old</t>
  </si>
  <si>
    <t xml:space="preserve">24.0 g/L (35 MPa) and 40.2 g/L (70 MPa) at 15 °C</t>
  </si>
  <si>
    <t xml:space="preserve">MDPI Energies</t>
  </si>
  <si>
    <t xml:space="preserve">Effect of Hydrogen Refueling Parameters on Final State of Charge</t>
  </si>
  <si>
    <t xml:space="preserve">https://www.mdpi.com/1996-1073/12/4/645</t>
  </si>
  <si>
    <t xml:space="preserve">2019</t>
  </si>
  <si>
    <t xml:space="preserve">§2</t>
  </si>
  <si>
    <t xml:space="preserve">g/L</t>
  </si>
  <si>
    <t xml:space="preserve">modelled (EOS)</t>
  </si>
  <si>
    <t xml:space="preserve">W1-S13b</t>
  </si>
  <si>
    <t xml:space="preserve">39.75 kg/m³ at 700 barg, 20 °C</t>
  </si>
  <si>
    <t xml:space="preserve">Demaco</t>
  </si>
  <si>
    <t xml:space="preserve">The energy density of hydrogen</t>
  </si>
  <si>
    <t xml:space="preserve">https://demaco-cryogenics.com/blog/energy-density-of-hydrogen/</t>
  </si>
  <si>
    <t xml:space="preserve">kg/m³</t>
  </si>
  <si>
    <t xml:space="preserve">modelled</t>
  </si>
  <si>
    <t xml:space="preserve">vendor blog</t>
  </si>
  <si>
    <t xml:space="preserve">Regulator to ≤20 bar; ~5 % unusable; 20 bar min</t>
  </si>
  <si>
    <t xml:space="preserve">USPTO patents (Hyundai/Toyota-type)</t>
  </si>
  <si>
    <t xml:space="preserve">e.g. US 8927171; US 11394041; US 10868315</t>
  </si>
  <si>
    <t xml:space="preserve">https://image-ppubs.uspto.gov/dirsearch-public/print/downloadPdf/8927171</t>
  </si>
  <si>
    <t xml:space="preserve">2010s–2020s</t>
  </si>
  <si>
    <t xml:space="preserve">descriptions</t>
  </si>
  <si>
    <t xml:space="preserve">bar, %</t>
  </si>
  <si>
    <t xml:space="preserve">design practice</t>
  </si>
  <si>
    <t xml:space="preserve">patents, not standards</t>
  </si>
  <si>
    <t xml:space="preserve">J2601 scope ≥49.7 L; 85 °C; T40 3-min 95–100 % SOC; T20/T30 slower</t>
  </si>
  <si>
    <t xml:space="preserve">SAE / ANSI store; CEC</t>
  </si>
  <si>
    <t xml:space="preserve">SAE J2601-2020 abstract; SAE J2601 status presentation</t>
  </si>
  <si>
    <t xml:space="preserve">https://webstore.ansi.org/standards/sae/sae26012020 ; https://efiling.energy.ca.gov/GetDocument.aspx?tn=66608</t>
  </si>
  <si>
    <t xml:space="preserve">2020; 2014</t>
  </si>
  <si>
    <t xml:space="preserve">L, °C, min</t>
  </si>
  <si>
    <t xml:space="preserve">standard</t>
  </si>
  <si>
    <t xml:space="preserve">full tables not accessible</t>
  </si>
  <si>
    <t xml:space="preserve">W1-S13e</t>
  </si>
  <si>
    <t xml:space="preserve">Non-communication fills need tight pre-cooling tolerance; 85 °C liner limit</t>
  </si>
  <si>
    <t xml:space="preserve">OSTI (NREL); Atawey</t>
  </si>
  <si>
    <t xml:space="preserve">Impact of hydrogen SAE J2601 fueling methods; Understanding SAE J2601</t>
  </si>
  <si>
    <t xml:space="preserve">https://www.osti.gov/servlets/purl/1389635 ; https://atawey.com/en/sae-j2601-understanding-the-international-standard-for-gaseous-hydrogen-refueling/</t>
  </si>
  <si>
    <t xml:space="preserve">2017; 2025</t>
  </si>
  <si>
    <t xml:space="preserve">W1-S13f</t>
  </si>
  <si>
    <t xml:space="preserve">Time Technoplast PESO approvals (250 L Type IV H2; BV 150 L)</t>
  </si>
  <si>
    <t xml:space="preserve">Business Standard; Machine Maker; Upstox</t>
  </si>
  <si>
    <t xml:space="preserve">PESO approval news</t>
  </si>
  <si>
    <t xml:space="preserve">https://www.business-standard.com/markets/capital-market-news/time-technoplast-gets-final-approval-from-peso-for-manufacturing-composite-cylinders-124062100121_1.html ; https://themachinemaker.com/news/time-technoplast-receives-peso-approval-to-make-hydrogen-cylinders/</t>
  </si>
  <si>
    <t xml:space="preserve">Mar–Jun 2024; May 2025</t>
  </si>
  <si>
    <t xml:space="preserve">W1-S13g</t>
  </si>
  <si>
    <t xml:space="preserve">Everest Kanto Type-4 composite cylinders</t>
  </si>
  <si>
    <t xml:space="preserve">Everest Kanto (via search)</t>
  </si>
  <si>
    <t xml:space="preserve">Type IV cylinders</t>
  </si>
  <si>
    <t xml:space="preserve">https://ekcuae.com/3d-flip-book/type-4-composite-cylinder/</t>
  </si>
  <si>
    <t xml:space="preserve">India/UAE</t>
  </si>
  <si>
    <t xml:space="preserve">blocked</t>
  </si>
  <si>
    <t xml:space="preserve">W1-S13h</t>
  </si>
  <si>
    <t xml:space="preserve">Mirai 2021: 5.6 kg; 52/25.3/64.9 L = 142.2 L</t>
  </si>
  <si>
    <t xml:space="preserve">Encyclopedia.pub (citing Toyota 2022 Mirai product guide)</t>
  </si>
  <si>
    <t xml:space="preserve">Application of Hydrogen Storage Tanks</t>
  </si>
  <si>
    <t xml:space="preserve">https://encyclopedia.pub/entry/47333</t>
  </si>
  <si>
    <t xml:space="preserve">§3</t>
  </si>
  <si>
    <t xml:space="preserve">Japan/US</t>
  </si>
  <si>
    <t xml:space="preserve">spec (secondary)</t>
  </si>
  <si>
    <t xml:space="preserve">Toyota guide not opened</t>
  </si>
  <si>
    <t xml:space="preserve">W1-S13i</t>
  </si>
  <si>
    <t xml:space="preserve">Nexo 156.6 L / 6.33 kg; new Nexo 162.2 L / 6.69 kg</t>
  </si>
  <si>
    <t xml:space="preserve">Encyclopedia.pub; InsideEVs; Hyundai News</t>
  </si>
  <si>
    <t xml:space="preserve">https://encyclopedia.pub/entry/47333 ; https://insideevs.com/news/755466/2026-hyundai-nexo-hydrogen-fuel-cell-official-specs/ ; https://www.hyundainews.com/assets/documents/original/52348-2023NEXOProductSpecifications20220720.pdf</t>
  </si>
  <si>
    <t xml:space="preserve">2018–2025</t>
  </si>
  <si>
    <t xml:space="preserve">Korea/US</t>
  </si>
  <si>
    <t xml:space="preserve">L, kg</t>
  </si>
  <si>
    <t xml:space="preserve">W1-S13j</t>
  </si>
  <si>
    <t xml:space="preserve">DOE Record 19008 costs/capacities</t>
  </si>
  <si>
    <t xml:space="preserve">US DOE HFTO (Strategic Analysis)</t>
  </si>
  <si>
    <t xml:space="preserve">Onboard Type IV Compressed Hydrogen Storage System – Cost and Performance Status 2019</t>
  </si>
  <si>
    <t xml:space="preserve">https://www.hydrogen.energy.gov/docs/hydrogenprogramlibraries/pdfs/19008_onboard_storage_cost_performance_status.pdf</t>
  </si>
  <si>
    <t xml:space="preserve">25 Nov 2019</t>
  </si>
  <si>
    <t xml:space="preserve">p.1–2</t>
  </si>
  <si>
    <t xml:space="preserve">$/kWh, kWh/kg, kWh/L</t>
  </si>
  <si>
    <t xml:space="preserve">modelled (DFMA)</t>
  </si>
  <si>
    <t xml:space="preserve">W1-S13k</t>
  </si>
  <si>
    <t xml:space="preserve">DOE Record 24006 costs</t>
  </si>
  <si>
    <t xml:space="preserve">Onboard Type IV Compressed Hydrogen Storage System – Cost and Performance Status</t>
  </si>
  <si>
    <t xml:space="preserve">https://www.hydrogen.energy.gov/docs/hydrogenprogramlibraries/pdfs/24006-onboard-storage-cost-performance-status.pdf</t>
  </si>
  <si>
    <t xml:space="preserve">28 Apr 2025</t>
  </si>
  <si>
    <t xml:space="preserve">$/kWh</t>
  </si>
  <si>
    <t xml:space="preserve">W1-S13l</t>
  </si>
  <si>
    <t xml:space="preserve">~$33/kWh low-volume (2013 basis)</t>
  </si>
  <si>
    <t xml:space="preserve">US DOE Record 13010 / SA 2013 final report</t>
  </si>
  <si>
    <t xml:space="preserve">Onboard storage performance and cost</t>
  </si>
  <si>
    <t xml:space="preserve">https://www.hydrogen.energy.gov/docs/hydrogenprogramlibraries/pdfs/13010_onboard_storage_performance_cost.pdf ; https://www.osti.gov/servlets/purl/1082754</t>
  </si>
  <si>
    <t xml:space="preserve">2013</t>
  </si>
  <si>
    <t xml:space="preserve">W1-S13m</t>
  </si>
  <si>
    <t xml:space="preserve">15-yr life / 11,000 cycles (GTR 13, GB/T 42612)</t>
  </si>
  <si>
    <t xml:space="preserve">ResearchGate (comparative analysis paper); UNECE GTR 13</t>
  </si>
  <si>
    <t xml:space="preserve">A comparative analysis of the RCS for on-board high-pressure hydrogen storage cylinders; GTR 13 Amend.1</t>
  </si>
  <si>
    <t xml:space="preserve">https://www.researchgate.net/publication/374204598 ; https://unece.org/sites/default/files/2023-07/ECE-TRANS-180-Add.13-Amend1e.pdf</t>
  </si>
  <si>
    <t xml:space="preserve">yr, cycles</t>
  </si>
  <si>
    <t xml:space="preserve">W1-S13n</t>
  </si>
  <si>
    <t xml:space="preserve">AIS-195A: GCR 2016; PESO may use IS 16735, ISO 19881, R134, GTR 13</t>
  </si>
  <si>
    <t xml:space="preserve">ARAI (HMR)</t>
  </si>
  <si>
    <t xml:space="preserve">AIS-195A Safety and Procedural Requirements for hydrogen vehicles</t>
  </si>
  <si>
    <t xml:space="preserve">https://hmr.araiindia.com/api/AISFiles/AIS-195A_dc4d3241-c4b7-466f-8c37-6bd23851f0cc.pdf</t>
  </si>
  <si>
    <t xml:space="preserve">2023–24</t>
  </si>
  <si>
    <t xml:space="preserve">clause on containers</t>
  </si>
  <si>
    <t xml:space="preserve">W1-S13o</t>
  </si>
  <si>
    <t xml:space="preserve">PESO Gas Cylinders (Amendment) Rules 2024 (Hydrogen)</t>
  </si>
  <si>
    <t xml:space="preserve">PESO</t>
  </si>
  <si>
    <t xml:space="preserve">Gas Cylinders (Amendment) Rules, 2024 (Hydrogen)</t>
  </si>
  <si>
    <t xml:space="preserve">https://peso.gov.in/web/en/gas-cylinders-amendment-rules-2024-hydrogen</t>
  </si>
  <si>
    <t xml:space="preserve">regulation</t>
  </si>
  <si>
    <t xml:space="preserve">W1-S14a</t>
  </si>
  <si>
    <t xml:space="preserve">50 L CNG cylinder: 48 kg, 835 mm, 316 mm</t>
  </si>
  <si>
    <t xml:space="preserve">GAIL Gas (CGD)</t>
  </si>
  <si>
    <t xml:space="preserve">CNG FAQ</t>
  </si>
  <si>
    <t xml:space="preserve">https://gailcgd.gail.co.in/CGD/Entry/CNGfaq</t>
  </si>
  <si>
    <t xml:space="preserve">kg, mm</t>
  </si>
  <si>
    <t xml:space="preserve">spec (typical)</t>
  </si>
  <si>
    <t xml:space="preserve">W1-S14b</t>
  </si>
  <si>
    <t xml:space="preserve">60 L Type 1: OD 325 mm, 61.4 kg, ISO 11439, 200 bar</t>
  </si>
  <si>
    <t xml:space="preserve">Anhui Clean Energy (vendor)</t>
  </si>
  <si>
    <t xml:space="preserve">Diameter 325 mm 60L CNG cylinder</t>
  </si>
  <si>
    <t xml:space="preserve">https://www.gascylindersupplier.com/diameter-325-mm-60l-cng-cylinder</t>
  </si>
  <si>
    <t xml:space="preserve">China</t>
  </si>
  <si>
    <t xml:space="preserve">mm, kg</t>
  </si>
  <si>
    <t xml:space="preserve">non-Indian vendor</t>
  </si>
  <si>
    <t xml:space="preserve">W1-S14c</t>
  </si>
  <si>
    <t xml:space="preserve">60 L Type 1: 69 kg</t>
  </si>
  <si>
    <t xml:space="preserve">PWENT (vendor)</t>
  </si>
  <si>
    <t xml:space="preserve">Steel 60 Liter CNG Gas Cylinder 200 Bar</t>
  </si>
  <si>
    <t xml:space="preserve">https://pwent.eu/en/products/products/gas-cylinder-products-high-pressure-low-pressure/cng-gas-cylinder/steel-60-liter-cng-gas-cylinder-200-bar/</t>
  </si>
  <si>
    <t xml:space="preserve">vendor</t>
  </si>
  <si>
    <t xml:space="preserve">W1-S14d</t>
  </si>
  <si>
    <t xml:space="preserve">R110: 20 g / 8 g for M1, N1 (10/5 M2,N2; 6.6/5 M3,N3)</t>
  </si>
  <si>
    <t xml:space="preserve">UNECE</t>
  </si>
  <si>
    <t xml:space="preserve">Regulation No. 110 Rev.3</t>
  </si>
  <si>
    <t xml:space="preserve">https://www.unece.org/fileadmin/DAM/trans/main/wp29/wp29regs/2015/R110r3e.pdf</t>
  </si>
  <si>
    <t xml:space="preserve">2015</t>
  </si>
  <si>
    <t xml:space="preserve">container installation clause</t>
  </si>
  <si>
    <t xml:space="preserve">g</t>
  </si>
  <si>
    <t xml:space="preserve">excerpt (verbatim)</t>
  </si>
  <si>
    <t xml:space="preserve">W1-S14e</t>
  </si>
  <si>
    <t xml:space="preserve">AIS-024 / AIS-028 Ver.4 CNG code of practice</t>
  </si>
  <si>
    <t xml:space="preserve">ARAI (HMR) / MoRTH</t>
  </si>
  <si>
    <t xml:space="preserve">AIS-024 (Version 4) AIS-028 (Version 4)</t>
  </si>
  <si>
    <t xml:space="preserve">https://hmr.araiindia.com/Control/AIS/825201593205AM4_AIS-024_and_AIS-028_CNG-Ver4_F.pdf</t>
  </si>
  <si>
    <t xml:space="preserve">W2-S1</t>
  </si>
  <si>
    <t xml:space="preserve">H-CNG added to CMVR Rule 115; IS 17314:2019</t>
  </si>
  <si>
    <t xml:space="preserve">MoRTH (Gazette); PIB</t>
  </si>
  <si>
    <t xml:space="preserve">G.S.R. 585(E) "hydrogen CNG"; PIB "Notification allowing use of H-CNG issued"</t>
  </si>
  <si>
    <t xml:space="preserve">https://morth.nic.in/sites/default/files/notifications_document/GSR%20585(E)%2025%20September%202020%20hydrogen%20CNG.pdf ; https://www.pib.gov.in/PressReleasePage.aspx?PRID=1659706</t>
  </si>
  <si>
    <t xml:space="preserve">25-09-2020</t>
  </si>
  <si>
    <t xml:space="preserve">Rule 115 insertion</t>
  </si>
  <si>
    <t xml:space="preserve">In force</t>
  </si>
  <si>
    <t xml:space="preserve">Blocked; wording from search summary</t>
  </si>
  <si>
    <t xml:space="preserve">W2-S2</t>
  </si>
  <si>
    <t xml:space="preserve">IS 17314:2019 H-CNG spec, 18 % H2</t>
  </si>
  <si>
    <t xml:space="preserve">BIS (via PIB/press)</t>
  </si>
  <si>
    <t xml:space="preserve">IS 17314:2019 Hydrogen enriched CNG for automotive purposes</t>
  </si>
  <si>
    <t xml:space="preserve">(BIS catalogue; not accessed)</t>
  </si>
  <si>
    <t xml:space="preserve">18 % figure from press, not standard text</t>
  </si>
  <si>
    <t xml:space="preserve">W2-S3</t>
  </si>
  <si>
    <t xml:space="preserve">Rule 115 CNG kit provisions; s.52 14-day endorsement</t>
  </si>
  <si>
    <t xml:space="preserve">Indian Kanoon (CMVR text)</t>
  </si>
  <si>
    <t xml:space="preserve">Section 115 / 115B, CMVR 1989</t>
  </si>
  <si>
    <t xml:space="preserve">https://indiankanoon.org/doc/10585089/ ; https://indiankanoon.org/doc/67316961/</t>
  </si>
  <si>
    <t xml:space="preserve">Rule 115 (sub-rules not numbered here)</t>
  </si>
  <si>
    <t xml:space="preserve">Summary only</t>
  </si>
  <si>
    <t xml:space="preserve">W2-S4</t>
  </si>
  <si>
    <t xml:space="preserve">ARAI retrofitment certification (Rule 115, Rule 126 agencies)</t>
  </si>
  <si>
    <t xml:space="preserve">ARAI</t>
  </si>
  <si>
    <t xml:space="preserve">Vehicle Retrofitment Certification in India</t>
  </si>
  <si>
    <t xml:space="preserve">https://www.araiindia.com/certification/certification/retrofitment</t>
  </si>
  <si>
    <t xml:space="preserve">Current</t>
  </si>
  <si>
    <t xml:space="preserve">Blocked</t>
  </si>
  <si>
    <t xml:space="preserve">W2-S5</t>
  </si>
  <si>
    <t xml:space="preserve">Retrofit framework (CNG/LPG/EV; AIS-123)</t>
  </si>
  <si>
    <t xml:space="preserve">EVreporter (ARAI compiled)</t>
  </si>
  <si>
    <t xml:space="preserve">Regulatory Framework for Retrofitting in India</t>
  </si>
  <si>
    <t xml:space="preserve">https://evreporter.com/regulatory-framework-for-retrofitting-in-india/</t>
  </si>
  <si>
    <t xml:space="preserve">Secondary</t>
  </si>
  <si>
    <t xml:space="preserve">W2-S6</t>
  </si>
  <si>
    <t xml:space="preserve">BS-VI CNG/LPG retrofit permitted</t>
  </si>
  <si>
    <t xml:space="preserve">MoRTH; PIB; Business Standard</t>
  </si>
  <si>
    <t xml:space="preserve">G.S.R. 625(E) "retrofitment in BS VI"</t>
  </si>
  <si>
    <t xml:space="preserve">https://morth.gov.in/sites/default/files/notifications_document/7GSR%20625(E)%2011th%20August%202022%20retrofitment%20in%20BS%20VI.pdf ; https://pib.gov.in/PressReleasePage.aspx?PRID=1853835</t>
  </si>
  <si>
    <t xml:space="preserve">11-08-2022</t>
  </si>
  <si>
    <t xml:space="preserve">W2-S7</t>
  </si>
  <si>
    <t xml:space="preserve">AIS-024/028 Version 4 exist</t>
  </si>
  <si>
    <t xml:space="preserve">AIS-024 (Version 4) / AIS-028 (Version 4)</t>
  </si>
  <si>
    <t xml:space="preserve">Published</t>
  </si>
  <si>
    <t xml:space="preserve">Blocked; title only</t>
  </si>
  <si>
    <t xml:space="preserve">W2-S8</t>
  </si>
  <si>
    <t xml:space="preserve">TA cost Rs 40–50 lakh, 3-yr validity</t>
  </si>
  <si>
    <t xml:space="preserve">Delays in MoRTH guidelines for BS VI CNG kits hurting retrofit business</t>
  </si>
  <si>
    <t xml:space="preserve">https://www.autocarpro.in/news-national/delays-in-morth-guidelines-for-bs-vi-cng-kits-hurting-retrofit-business-92660</t>
  </si>
  <si>
    <t xml:space="preserve">2022 (approx.)</t>
  </si>
  <si>
    <t xml:space="preserve">Industry claim</t>
  </si>
  <si>
    <t xml:space="preserve">W2-S9</t>
  </si>
  <si>
    <t xml:space="preserve">Rule 126 provisos (retrofit self-certification; imported CBUs for testing/research)</t>
  </si>
  <si>
    <t xml:space="preserve">Commercial Law Publishers (CMVR e-book)</t>
  </si>
  <si>
    <t xml:space="preserve">The Central Motor Vehicles Rules, 1989 — page 335 (Rule 126)</t>
  </si>
  <si>
    <t xml:space="preserve">https://ebook.commerciallawpublishers.com/fa/cmvr/files/basic-html/page335.html</t>
  </si>
  <si>
    <t xml:space="preserve">ed. incl. GSR 221(E) 30-03-2021</t>
  </si>
  <si>
    <t xml:space="preserve">Rule 126 provisos</t>
  </si>
  <si>
    <t xml:space="preserve">In force (pre-2026 text)</t>
  </si>
  <si>
    <t xml:space="preserve">Verbatim via Firecrawl; may pre-date 2026 amendment</t>
  </si>
  <si>
    <t xml:space="preserve">W2-S10</t>
  </si>
  <si>
    <t xml:space="preserve">2026 amendment substituting Rule 126 provisos; self-certification</t>
  </si>
  <si>
    <t xml:space="preserve">The Bar Bulletin; TeamLease RegTech</t>
  </si>
  <si>
    <t xml:space="preserve">Centre Notifies Changes to Motor Vehicle Type Approval Norms…; Draft CMV (…Amendment) Rules 2025</t>
  </si>
  <si>
    <t xml:space="preserve">https://thebarbulletin.com/centre-revises-motor-vehicle-type-approval-norms-self-certification-retrofitted-vehicles/ ; https://teamleaseregtech.com/updates/article/52441/draft-central-motor-vehicles-amendment-rules-2025/</t>
  </si>
  <si>
    <t xml:space="preserve">Rule 126</t>
  </si>
  <si>
    <t xml:space="preserve">In force (per source)</t>
  </si>
  <si>
    <t xml:space="preserve">GSR no./date NOT FOUND</t>
  </si>
  <si>
    <t xml:space="preserve">W2-S11</t>
  </si>
  <si>
    <t xml:space="preserve">AIS 157:2020 notified for M/N FCEVs; ISO 14687</t>
  </si>
  <si>
    <t xml:space="preserve">MoRTH via India Code; GKToday; Mercom</t>
  </si>
  <si>
    <t xml:space="preserve">9th GSR 579(E) dated 23 September 2020 hydrogen fuel cell</t>
  </si>
  <si>
    <t xml:space="preserve">https://www.indiacode.nic.in/ViewFileUploaded?path=AC_CEN_30_42_00009_198859_1517807326286/notificationindividualfile/&amp;file=9th_gsr_579%28e%29_dated_23_september_2020_hydrogen_fuel_cell.pdf ; https://indiacode.ecourtsindia.com/rules/7ec3e5bb/ ; https://gktoday.in/current-affairs/standards-for-safety-evaluation-of-vehicles-propelled-by-hydrogen-fuel-cells ; https://www.mercomindia.com/inclusion-hydrogen-fuel-central-motor-vehicles-act</t>
  </si>
  <si>
    <t xml:space="preserve">23-09-2020</t>
  </si>
  <si>
    <t xml:space="preserve">new rule (see S12)</t>
  </si>
  <si>
    <t xml:space="preserve">Blocked; snippet</t>
  </si>
  <si>
    <t xml:space="preserve">W2-S12</t>
  </si>
  <si>
    <t xml:space="preserve">FCEV rule numbered 125MA; fuel IS 16061:2021; H2-ICE Rule 125M</t>
  </si>
  <si>
    <t xml:space="preserve">Applus IDIADA</t>
  </si>
  <si>
    <t xml:space="preserve">IRIS Highlights – July 2026</t>
  </si>
  <si>
    <t xml:space="preserve">https://www.digitalsolutions.applusidiada.com/blogs/news/iris-highlighs-july-2026</t>
  </si>
  <si>
    <t xml:space="preserve">07-2026</t>
  </si>
  <si>
    <t xml:space="preserve">Secondary digest</t>
  </si>
  <si>
    <t xml:space="preserve">W2-S13</t>
  </si>
  <si>
    <t xml:space="preserve">Rule 125M; AIS 195:2023; M &amp; N</t>
  </si>
  <si>
    <t xml:space="preserve">MoRTH</t>
  </si>
  <si>
    <t xml:space="preserve">8th GSR 746(E) dated 16 October 2023 Hydrogen ICE</t>
  </si>
  <si>
    <t xml:space="preserve">https://morth.nic.in/sites/default/files/notifications_document/8th%20GSR%20746(E)%20dated%2016th%20october%202023%20Hydrogen%20ICE.pdf</t>
  </si>
  <si>
    <t xml:space="preserve">16-10-2023</t>
  </si>
  <si>
    <t xml:space="preserve">Rule 125M</t>
  </si>
  <si>
    <t xml:space="preserve">Blocked; summary</t>
  </si>
  <si>
    <t xml:space="preserve">W2-S14</t>
  </si>
  <si>
    <t xml:space="preserve">GSR 720(E) 04-10-2023 also cites AIS 195:2023</t>
  </si>
  <si>
    <t xml:space="preserve">(search index; MoRTH)</t>
  </si>
  <si>
    <t xml:space="preserve">04-10-2023</t>
  </si>
  <si>
    <t xml:space="preserve">Unresolved</t>
  </si>
  <si>
    <t xml:space="preserve">Not verified</t>
  </si>
  <si>
    <t xml:space="preserve">W2-S15</t>
  </si>
  <si>
    <t xml:space="preserve">AIS-195 with Amd 1 exists; Annexure VIII LH2</t>
  </si>
  <si>
    <t xml:space="preserve">ARAI (HMR); Scribd copy</t>
  </si>
  <si>
    <t xml:space="preserve">AIS-195 with Amd 1</t>
  </si>
  <si>
    <t xml:space="preserve">https://hmr.araiindia.com/api/AISFiles/AIS-195%20with%20Amd%201_eccd18bd-9eae-4e08-bbb2-7823b7964666.pdf ; https://www.scribd.com/document/856143651/AIS-195-cc6897f6-30be-4dc9-b188-b7c52017bebb</t>
  </si>
  <si>
    <t xml:space="preserve">2023 / Amd 1 05-2025</t>
  </si>
  <si>
    <t xml:space="preserve">1.0 Scope; Annex VIII</t>
  </si>
  <si>
    <t xml:space="preserve">Blocked; scope not captured</t>
  </si>
  <si>
    <t xml:space="preserve">W2-S16</t>
  </si>
  <si>
    <t xml:space="preserve">AIS-195A CEV; TPRD definitions/tests</t>
  </si>
  <si>
    <t xml:space="preserve">ARAI (HMR); Scribd</t>
  </si>
  <si>
    <t xml:space="preserve">AIS-195A Safety and Procedural Requirements for … Hydrogen Powered CEV</t>
  </si>
  <si>
    <t xml:space="preserve">https://hmr.araiindia.com/api/AISFiles/AIS-195A_dc4d3241-c4b7-466f-8c37-6bd23851f0cc.pdf ; https://www.scribd.com/document/1057373433/AIS-195-A</t>
  </si>
  <si>
    <t xml:space="preserve">1.0 Scope; TPRD clauses</t>
  </si>
  <si>
    <t xml:space="preserve">Fragments only</t>
  </si>
  <si>
    <t xml:space="preserve">W2-S17</t>
  </si>
  <si>
    <t xml:space="preserve">AIS-206 L-category scope; "AIS 157 and AIS 195 published for M &amp; N"</t>
  </si>
  <si>
    <t xml:space="preserve">Scribd (AIS-206 copy)</t>
  </si>
  <si>
    <t xml:space="preserve">Hydrogen Vehicle Safety Standards AIS-206</t>
  </si>
  <si>
    <t xml:space="preserve">https://www.scribd.com/document/902873977/AIS-206</t>
  </si>
  <si>
    <t xml:space="preserve">1.0 Scope</t>
  </si>
  <si>
    <t xml:space="preserve">Published/draft</t>
  </si>
  <si>
    <t xml:space="preserve">Fragment</t>
  </si>
  <si>
    <t xml:space="preserve">W2-S18</t>
  </si>
  <si>
    <t xml:space="preserve">AIS-157A/DF (FC CEV) draft</t>
  </si>
  <si>
    <t xml:space="preserve">Draft AIS-157A/DF June 2024</t>
  </si>
  <si>
    <t xml:space="preserve">https://hmr.araiindia.com/api/AISFiles/AIS157A_CEV_DF_67e85335-2f04-40ee-ac66-ecb704d7bd46.pdf</t>
  </si>
  <si>
    <t xml:space="preserve">06-2024</t>
  </si>
  <si>
    <t xml:space="preserve">Scope</t>
  </si>
  <si>
    <t xml:space="preserve">Draft</t>
  </si>
  <si>
    <t xml:space="preserve">W2-S19</t>
  </si>
  <si>
    <t xml:space="preserve">ARAI AIS list updated 7 May 2026</t>
  </si>
  <si>
    <t xml:space="preserve">List of published AIS (07-05-2026)</t>
  </si>
  <si>
    <t xml:space="preserve">https://hmr.araiindia.com/storage/ais-details/1778147654_0_List_of_AIS_published-07_05_2026.pdf</t>
  </si>
  <si>
    <t xml:space="preserve">07-05-2026</t>
  </si>
  <si>
    <t xml:space="preserve">W2-S20</t>
  </si>
  <si>
    <t xml:space="preserve">Hydrogen registration mark</t>
  </si>
  <si>
    <t xml:space="preserve">MoRTH via Complinity/autopdp</t>
  </si>
  <si>
    <t xml:space="preserve">CMV (Fourth Amendment) Rules 2025, G.S.R. 819(E)</t>
  </si>
  <si>
    <t xml:space="preserve">https://complinity.com/legal-update/central-motor-vehicles-fourth-amendment-rules-2025-21166/</t>
  </si>
  <si>
    <t xml:space="preserve">03-11-2025</t>
  </si>
  <si>
    <t xml:space="preserve">W2-S21</t>
  </si>
  <si>
    <t xml:space="preserve">7-year permit exemption incl. hydrogen</t>
  </si>
  <si>
    <t xml:space="preserve">MoRTH via Autocar Pro/ChiniMandi</t>
  </si>
  <si>
    <t xml:space="preserve">Electric, Ethanol, Hydrogen CVs Get 7 Year Permit Exemption</t>
  </si>
  <si>
    <t xml:space="preserve">https://www.autocarpro.in/news/electric-ethanol-hydrogen-cvs-get-7-year-permit-exemption-133500</t>
  </si>
  <si>
    <t xml:space="preserve">07-2026 (Gazette 6 July)</t>
  </si>
  <si>
    <t xml:space="preserve">s.66(1) MV Act</t>
  </si>
  <si>
    <t xml:space="preserve">GSR no. not captured</t>
  </si>
  <si>
    <t xml:space="preserve">W2-S22</t>
  </si>
  <si>
    <t xml:space="preserve">Draft +5 yr age limit (Rule 88)</t>
  </si>
  <si>
    <t xml:space="preserve">MoRTH via Business Standard/FPJ</t>
  </si>
  <si>
    <t xml:space="preserve">Govt proposes 5-yr age extension for EV, CNG, hydrogen CVs</t>
  </si>
  <si>
    <t xml:space="preserve">https://www.business-standard.com/industry/auto/govt-proposes-5-yr-age-extension-for-ev-cng-hydrogen-commercial-vehicles-126081800231_1.html</t>
  </si>
  <si>
    <t xml:space="preserve">18-08-2026</t>
  </si>
  <si>
    <t xml:space="preserve">Rule 88</t>
  </si>
  <si>
    <t xml:space="preserve">W2-S23</t>
  </si>
  <si>
    <t xml:space="preserve">Draft GCR 2024 GSR 157(E) hydrogen provisions</t>
  </si>
  <si>
    <t xml:space="preserve">DPIIT/PESO via TaxGuru, Lexplosion, RenewableWatch</t>
  </si>
  <si>
    <t xml:space="preserve">Draft Gas Cylinders (Amendment) Rules, 2024</t>
  </si>
  <si>
    <t xml:space="preserve">https://taxguru.in/corporate-law/draft-gas-cylinders-amendment-rules-2024.html ; https://peso.gov.in/web/en/gas-cylinders-amendment-rules-2024-hydrogen</t>
  </si>
  <si>
    <t xml:space="preserve">05-03-2024</t>
  </si>
  <si>
    <t xml:space="preserve">defs; rule 4; Sch. I</t>
  </si>
  <si>
    <t xml:space="preserve">Draft (superseded by 2025 rules)</t>
  </si>
  <si>
    <t xml:space="preserve">GCR 2025 GSR 225(E): H2 cylinder on vehicle; 3-yr test; 15-yr life; codes</t>
  </si>
  <si>
    <t xml:space="preserve">DPIIT via Lexplosion, LegalitySimplified, TeamLease, Sparrow RMS</t>
  </si>
  <si>
    <t xml:space="preserve">Gas Cylinders (Amendment) Rules, 2025</t>
  </si>
  <si>
    <t xml:space="preserve">https://lexplosion.in/ministry-of-commerce-and-industry-notifies-the-gas-cylinders-amendment-rules-2025/ ; https://www.legalitysimplified.com/gas-cylinders-amendment-rules-2025/ ; https://sparrowrms.in/sparrow-rms/wp-content/uploads/2025/04/GCR-amendment-2025-1.pdf</t>
  </si>
  <si>
    <t xml:space="preserve">11-04-2025</t>
  </si>
  <si>
    <t xml:space="preserve">rule 2, 4, 35(?), Sch. I/IV</t>
  </si>
  <si>
    <t xml:space="preserve">Blocked; clause numbers unverified</t>
  </si>
  <si>
    <t xml:space="preserve">W2-S25</t>
  </si>
  <si>
    <t xml:space="preserve">GSR 386(E), 501(E), 839(E) 2025 amendments</t>
  </si>
  <si>
    <t xml:space="preserve">DPIIT via Worldtradescanner, LegalitySimplified, TeamLease</t>
  </si>
  <si>
    <t xml:space="preserve">GCR Third/Fourth Amendment Rules 2025</t>
  </si>
  <si>
    <t xml:space="preserve">https://worldtradescanner.com/DPIIT%20Notification%20G.S.R.%20501(E)%20dated%2028%20July,%202025.htm ; https://worldtradescanner.com/DPIIT%20Notification%20G.S.R.%20839(E)%20dated%2012%20November%202025.htm</t>
  </si>
  <si>
    <t xml:space="preserve">16-06 / 28-07 / 12-11-2025</t>
  </si>
  <si>
    <t xml:space="preserve">rule 4</t>
  </si>
  <si>
    <t xml:space="preserve">W2-S26</t>
  </si>
  <si>
    <t xml:space="preserve">SMPV(U) 2025 amendment hydrogen</t>
  </si>
  <si>
    <t xml:space="preserve">PESO; TaxGuru</t>
  </si>
  <si>
    <t xml:space="preserve">SMPV(Unfired)(Amendment) Rules, 2025</t>
  </si>
  <si>
    <t xml:space="preserve">https://peso.gov.in/web/en/smpvunfiredamendment-rules-2025 ; https://taxguru.in/corporate-law/static-mobile-pressure-vessels-unfired-amendment-rules-2025.html</t>
  </si>
  <si>
    <t xml:space="preserve">eff. 05-06-2025</t>
  </si>
  <si>
    <t xml:space="preserve">defs; Form AS-1</t>
  </si>
  <si>
    <t xml:space="preserve">W2-S27</t>
  </si>
  <si>
    <t xml:space="preserve">PESO Form-H online module for H2 dispensing stations</t>
  </si>
  <si>
    <t xml:space="preserve">IndiaLaw; LegalitySimplified; VahanBazaar</t>
  </si>
  <si>
    <t xml:space="preserve">PESO's New Online Module for Licensing Compressed Hydrogen Dispensing Stations</t>
  </si>
  <si>
    <t xml:space="preserve">https://www.indialaw.in/blog/civil/pesos-module-hydrogen-stations-in-india/</t>
  </si>
  <si>
    <t xml:space="preserve">14-05-2025</t>
  </si>
  <si>
    <t xml:space="preserve">GCR Form H</t>
  </si>
  <si>
    <t xml:space="preserve">W2-S28</t>
  </si>
  <si>
    <t xml:space="preserve">PESO SOPs (SMPV 02-12-2024; GCR Jan 2025)</t>
  </si>
  <si>
    <t xml:space="preserve">SOP for SMPV(U) Rules 2016; GCR SOP</t>
  </si>
  <si>
    <t xml:space="preserve">https://peso.gov.in/web/sites/default/files/2024-12/SOP%20for%20SMPV(U)%20Rules,%202016-Final%20-%2002.12.2024.pdf ; https://www.peso.gov.in/web/sites/default/files/2025-01/GCR%20SOP.pdf</t>
  </si>
  <si>
    <t xml:space="preserve">W2-S29</t>
  </si>
  <si>
    <t xml:space="preserve">PESO licence to IOCL Faridabad for H-CNG dispensing</t>
  </si>
  <si>
    <t xml:space="preserve">Business Standard</t>
  </si>
  <si>
    <t xml:space="preserve">PESO grants permission to Indian Oil to set up hydrogen plant</t>
  </si>
  <si>
    <t xml:space="preserve">https://www.business-standard.com/content/b2b-chemicals/peso-grants-permission-to-indian-oil-to-set-up-hydrogen-plant-115051100485_1.html</t>
  </si>
  <si>
    <t xml:space="preserve">05-2015</t>
  </si>
  <si>
    <t xml:space="preserve">Historical</t>
  </si>
  <si>
    <t xml:space="preserve">W2-S30</t>
  </si>
  <si>
    <t xml:space="preserve">Type IV H2 cylinder PESO approvals (Time Technoplast)</t>
  </si>
  <si>
    <t xml:space="preserve">Business Standard; Autocar Pro; company PR</t>
  </si>
  <si>
    <t xml:space="preserve">Time Technoplast gets final approval from PESO…; 250 L approval</t>
  </si>
  <si>
    <t xml:space="preserve">https://www.business-standard.com/markets/capital-market-news/time-technoplast-gets-final-approval-from-peso-for-manufacturing-composite-cylinders-124062100121_1.html ; https://www.timetechnoplast.com/pdf/investors-calendar/press-release/approval-for-manufacturing-of-type-iv-composite-cylinders-for-hydrogen.pdf</t>
  </si>
  <si>
    <t xml:space="preserve">03-2024 / 06-2024 / 01-2026</t>
  </si>
  <si>
    <t xml:space="preserve">Company-reported</t>
  </si>
  <si>
    <t xml:space="preserve">W2-S31</t>
  </si>
  <si>
    <t xml:space="preserve">Indian hydrogen standards landscape (AIS 195A, AIS 206, IS 19036, IS 16061, IS 18538-8)</t>
  </si>
  <si>
    <t xml:space="preserve">MNRE with CEEW (PIB-hosted)</t>
  </si>
  <si>
    <t xml:space="preserve">Green Hydrogen Standards and Approval Systems in India</t>
  </si>
  <si>
    <t xml:space="preserve">https://static.pib.gov.in/WriteReadData/specificdocs/documents/2024/may/doc2024510336201.pdf ; https://nghm.mnre.gov.in/admin/uploads/resources/171557269282523Green%20Hydrogen%20Standards%20and%20Approval%20Systems%20in%20India.pdf</t>
  </si>
  <si>
    <t xml:space="preserve">05-2024</t>
  </si>
  <si>
    <t xml:space="preserve">tables</t>
  </si>
  <si>
    <t xml:space="preserve">W2-S32</t>
  </si>
  <si>
    <t xml:space="preserve">BIS hydrogen standards list (23)</t>
  </si>
  <si>
    <t xml:space="preserve">BIS</t>
  </si>
  <si>
    <t xml:space="preserve">List of Indian Standards related to Hydrogen</t>
  </si>
  <si>
    <t xml:space="preserve">https://www.bis.gov.in/wp-content/uploads/2023/10/List_Standards_Hydrogen.pdf</t>
  </si>
  <si>
    <t xml:space="preserve">10-2023</t>
  </si>
  <si>
    <t xml:space="preserve">W2-S33</t>
  </si>
  <si>
    <t xml:space="preserve">MNRE transport pilot guidelines</t>
  </si>
  <si>
    <t xml:space="preserve">MNRE; JSA; Business Standard</t>
  </si>
  <si>
    <t xml:space="preserve">Scheme Guidelines for pilot projects … green hydrogen in the transport sector</t>
  </si>
  <si>
    <t xml:space="preserve">https://mnre.gov.in/en/notice/scheme-guidelines-for-implementation-of-pilot-projects-for-use-of-hydrogen-in-the-transport-sector-under-the-national-green-hydrogen-mission-nghm/</t>
  </si>
  <si>
    <t xml:space="preserve">14-02-2024</t>
  </si>
  <si>
    <t xml:space="preserve">objectives; steering committee</t>
  </si>
  <si>
    <t xml:space="preserve">W2-S34</t>
  </si>
  <si>
    <t xml:space="preserve">5 pilots, 37 vehicles, 9 HRS, 10 routes, Rs 208 cr</t>
  </si>
  <si>
    <t xml:space="preserve">Lok/Rajya Sabha reply via DownToEarth, DD News, Elets</t>
  </si>
  <si>
    <t xml:space="preserve">As told to Parliament (25 March 2025)</t>
  </si>
  <si>
    <t xml:space="preserve">https://www.downtoearth.org.in/environment/as-told-to-parliament-march-25-2025-37-cross-country-vehicles-9-fuelling-stations-planned-under-green-hydrogen-mission ; https://ddnews.gov.in/en/india-rolls-out-pilot-projects-for-hydrogen-powered-buses-and-trucks/</t>
  </si>
  <si>
    <t xml:space="preserve">25-03-2025</t>
  </si>
  <si>
    <t xml:space="preserve">W2-S35</t>
  </si>
  <si>
    <t xml:space="preserve">Mirai pilot with ICAT</t>
  </si>
  <si>
    <t xml:space="preserve">Zee News; BusinessToday</t>
  </si>
  <si>
    <t xml:space="preserve">Gadkari inaugurates pilot project … Toyota Mirai</t>
  </si>
  <si>
    <t xml:space="preserve">https://zeenews.india.com/electric-vehicles/nitin-gadkari-inaugurates-pilot-project-to-test-viability-of-hydrogen-vehicles-in-india-2445693.html</t>
  </si>
  <si>
    <t xml:space="preserve">16-03-2022</t>
  </si>
  <si>
    <t xml:space="preserve">Press</t>
  </si>
  <si>
    <t xml:space="preserve">W2-S36</t>
  </si>
  <si>
    <t xml:space="preserve">Tata H2 truck trials, 16 vehicles, 24 months</t>
  </si>
  <si>
    <t xml:space="preserve">Tata Motors; News on AIR</t>
  </si>
  <si>
    <t xml:space="preserve">Tata Motors Drives India's Green Future with Country's First Hydrogen Truck Trials</t>
  </si>
  <si>
    <t xml:space="preserve">https://www.tatamotors.com/press-releases/tata-motors-drives-indias-green-future-with-countrys-first-hydrogen-truck-trials/ ; https://www.newsonair.gov.in/first-trials-of-hydrogen-powered-heavy-duty-trucks-flagged-off</t>
  </si>
  <si>
    <t xml:space="preserve">04-03-2025</t>
  </si>
  <si>
    <t xml:space="preserve">Company/press</t>
  </si>
  <si>
    <t xml:space="preserve">W2-S37</t>
  </si>
  <si>
    <t xml:space="preserve">ISO 14687 grades; 2025 edition</t>
  </si>
  <si>
    <t xml:space="preserve">ISO</t>
  </si>
  <si>
    <t xml:space="preserve">ISO 14687:2019 / ISO 14687:2025 Hydrogen fuel quality — Product specification</t>
  </si>
  <si>
    <t xml:space="preserve">https://www.iso.org/standard/69539.html ; https://www.iso.org/standard/82660.html</t>
  </si>
  <si>
    <t xml:space="preserve">2019 / 2025</t>
  </si>
  <si>
    <t xml:space="preserve">Table 1 grades</t>
  </si>
  <si>
    <t xml:space="preserve">2025 current</t>
  </si>
  <si>
    <t xml:space="preserve">Blocked; abstract</t>
  </si>
  <si>
    <t xml:space="preserve">W2-S38</t>
  </si>
  <si>
    <t xml:space="preserve">ISO 17268 pressure classes</t>
  </si>
  <si>
    <t xml:space="preserve">ISO 17268:2020; ISO 17268-1:2025</t>
  </si>
  <si>
    <t xml:space="preserve">https://www.iso.org/standard/68442.html</t>
  </si>
  <si>
    <t xml:space="preserve">2020 / 2025</t>
  </si>
  <si>
    <t xml:space="preserve">scope</t>
  </si>
  <si>
    <t xml:space="preserve">Abstract</t>
  </si>
  <si>
    <t xml:space="preserve">W2-S39</t>
  </si>
  <si>
    <t xml:space="preserve">SAE J2601 scope, edition</t>
  </si>
  <si>
    <t xml:space="preserve">H2Tools (PNNL)</t>
  </si>
  <si>
    <t xml:space="preserve">SAE J2601 Fueling Protocols for Light Duty Gaseous Hydrogen Surface Vehicles</t>
  </si>
  <si>
    <t xml:space="preserve">https://h2tools.org/fuel-cell-codes-and-standards/sae-j2601-fueling-protocols-light-duty-gaseous-hydrogen-surface</t>
  </si>
  <si>
    <t xml:space="preserve">4th ed. 05-2020</t>
  </si>
  <si>
    <t xml:space="preserve">Current (revision open)</t>
  </si>
  <si>
    <t xml:space="preserve">Verbatim page text captured</t>
  </si>
  <si>
    <t xml:space="preserve">W2-S40</t>
  </si>
  <si>
    <t xml:space="preserve">ISO 19881:2025; ISO 19880-1/-2</t>
  </si>
  <si>
    <t xml:space="preserve">ISO; iTeh; H2Tools</t>
  </si>
  <si>
    <t xml:space="preserve">ISO 19881:2025; ISO/AWI 19880-1; ISO 19880-2:2025</t>
  </si>
  <si>
    <t xml:space="preserve">https://www.iso.org/standard/19881 ; https://www.iso.org/standard/93897.html ; https://www.iso.org/obp/ui/en/#!iso:std:85839:en</t>
  </si>
  <si>
    <t xml:space="preserve">Abstracts</t>
  </si>
  <si>
    <t xml:space="preserve">W2-S41</t>
  </si>
  <si>
    <t xml:space="preserve">GTR 13 Amend. 1 (2023); R134 02 series</t>
  </si>
  <si>
    <t xml:space="preserve">UNECE; InterRegs; GAR</t>
  </si>
  <si>
    <t xml:space="preserve">ECE/TRANS/180/Add.13/Amend.1</t>
  </si>
  <si>
    <t xml:space="preserve">https://unece.org/sites/default/files/2023-07/ECE-TRANS-180-Add.13-Amend1e.pdf ; https://www.interregs.com/articles/spotlight/297/updated-un-ece-regulations-relating-to-hydrogen-fuelled-vehicles-published</t>
  </si>
  <si>
    <t xml:space="preserve">21-06-2023</t>
  </si>
  <si>
    <t xml:space="preserve">W2-S42</t>
  </si>
  <si>
    <t xml:space="preserve">GTR 13 numeric limits (4 %/8 %; leak; single failure)</t>
  </si>
  <si>
    <t xml:space="preserve">Frontiers in Energy Research</t>
  </si>
  <si>
    <t xml:space="preserve">Analysis of safety technical standards for hydrogen storage in fuel cell vehicles</t>
  </si>
  <si>
    <t xml:space="preserve">https://www.frontiersin.org/journals/energy-research/articles/10.3389/fenrg.2024.1376739/full</t>
  </si>
  <si>
    <t xml:space="preserve">Review; "118 NL/h" vs NL/min discrepancy</t>
  </si>
  <si>
    <t xml:space="preserve">W2-S43</t>
  </si>
  <si>
    <t xml:space="preserve">H2 properties</t>
  </si>
  <si>
    <t xml:space="preserve">Basic Hydrogen Properties Chart; Flammability; Auto-Ignition</t>
  </si>
  <si>
    <t xml:space="preserve">https://h2tools.org/basic-hydrogen-properties-chart ; https://h2tools.org/faq-keywords/flammability</t>
  </si>
  <si>
    <t xml:space="preserve">W2-S44</t>
  </si>
  <si>
    <t xml:space="preserve">H2 vs other fuels (relative)</t>
  </si>
  <si>
    <t xml:space="preserve">US DOE EERE</t>
  </si>
  <si>
    <t xml:space="preserve">Hydrogen: Similar but Different (fact sheet)</t>
  </si>
  <si>
    <t xml:space="preserve">https://www1.eere.energy.gov/hydrogenandfuelcells/pdfs/h2_safety_fsheet.pdf</t>
  </si>
  <si>
    <t xml:space="preserve">W2-S45</t>
  </si>
  <si>
    <t xml:space="preserve">NFPA 2 repair-garage ventilation</t>
  </si>
  <si>
    <t xml:space="preserve">NFPA via UpCodes; NFPA</t>
  </si>
  <si>
    <t xml:space="preserve">NFPA 2 (2023) Hydrogen Technologies Code — repair garages</t>
  </si>
  <si>
    <t xml:space="preserve">https://up.codes/s/repair-garages-for-vehicles-fueled-by-lighter-than-air-motor-fuels ; https://www.nfpa.org/product/nfpa-2-hydrogen-technologies-code/p0002code</t>
  </si>
  <si>
    <t xml:space="preserve">2023 ed.</t>
  </si>
  <si>
    <t xml:space="preserve">Ch. 6; repair garages</t>
  </si>
  <si>
    <t xml:space="preserve">W2-S46</t>
  </si>
  <si>
    <t xml:space="preserve">ISO/TR 15916:2015 → ISO/TS 15916:2026</t>
  </si>
  <si>
    <t xml:space="preserve">Basic considerations for the safety of hydrogen systems</t>
  </si>
  <si>
    <t xml:space="preserve">https://www.iso.org/standard/56546.html ; https://www.iso.org/standard/89423.html</t>
  </si>
  <si>
    <t xml:space="preserve">2015 / 2026</t>
  </si>
  <si>
    <t xml:space="preserve">TS current</t>
  </si>
  <si>
    <t xml:space="preserve">W2-S47</t>
  </si>
  <si>
    <t xml:space="preserve">UK guidance (HSG261; hydrogen hub; withdrawn C&amp;U note)</t>
  </si>
  <si>
    <t xml:space="preserve">HSE; GOV.UK</t>
  </si>
  <si>
    <t xml:space="preserve">HSG261; Hydrogen Safety; Construction and use of hydrogen-powered vehicles [withdrawn]</t>
  </si>
  <si>
    <t xml:space="preserve">https://www.hse.gov.uk/pubns/books/hsg261.htm ; https://solutions.hse.gov.uk/safe-net-zero/hydrogen-safety ; https://www.gov.uk/government/publications/construction-and-use-of-hydrogen-powered-vehicles/construction-and-use-of-hydrogen-powered-vehicles</t>
  </si>
  <si>
    <t xml:space="preserve">UK</t>
  </si>
  <si>
    <t xml:space="preserve">HSG261 current; GOV.UK note withdrawn</t>
  </si>
  <si>
    <t xml:space="preserve">W2-S48</t>
  </si>
  <si>
    <t xml:space="preserve">Kjørbo root cause</t>
  </si>
  <si>
    <t xml:space="preserve">Nel ASA; gasworld; Gexcon</t>
  </si>
  <si>
    <t xml:space="preserve">Status and Q&amp;A regarding the Kjørbo incident; Root cause … identified</t>
  </si>
  <si>
    <t xml:space="preserve">https://nelhydrogen.com/status-and-qa-regarding-the-kjorbo-incident/ ; https://www.gasworld.com/story/root-cause-of-norway-hydrogen-station-explosion-identified/</t>
  </si>
  <si>
    <t xml:space="preserve">06/07-2019</t>
  </si>
  <si>
    <t xml:space="preserve">Norway</t>
  </si>
  <si>
    <t xml:space="preserve">Company statements</t>
  </si>
  <si>
    <t xml:space="preserve">W2-S49</t>
  </si>
  <si>
    <t xml:space="preserve">Santa Clara causes</t>
  </si>
  <si>
    <t xml:space="preserve">Air Products (via H2Tools); Gexcon</t>
  </si>
  <si>
    <t xml:space="preserve">Report on the June 2019 Hydrogen Explosion and Fire Incident in Santa Clara</t>
  </si>
  <si>
    <t xml:space="preserve">https://h2tools.org/sites/default/files/2021-06/AP_Santa_Clara_Incident_Review_Report_Rev1.pdf</t>
  </si>
  <si>
    <t xml:space="preserve">2021</t>
  </si>
  <si>
    <t xml:space="preserve">W2-S50</t>
  </si>
  <si>
    <t xml:space="preserve">Gangneung 2019; Busan 2024; HIAD</t>
  </si>
  <si>
    <t xml:space="preserve">ScienceDirect (IJHE); CleanTechnica</t>
  </si>
  <si>
    <t xml:space="preserve">Evaluating hydrogen risk management policy PR: Lessons learned from three hydrogen accidents in South Korea</t>
  </si>
  <si>
    <t xml:space="preserve">https://www.sciencedirect.com/science/article/abs/pii/S0360319923012132 ; https://cleantechnica.com/2025/01/16/korean-hydrogen-explosions-leaks-auction-failure-impeachment-may-cause-pivot/</t>
  </si>
  <si>
    <t xml:space="preserve">2023 / 2025</t>
  </si>
  <si>
    <t xml:space="preserve">Korea</t>
  </si>
  <si>
    <t xml:space="preserve">Abstract/press</t>
  </si>
  <si>
    <t xml:space="preserve">W2-S51</t>
  </si>
  <si>
    <t xml:space="preserve">Euro NCAP Mirai 2021; Nexo 2018</t>
  </si>
  <si>
    <t xml:space="preserve">Euro NCAP; Hyundai</t>
  </si>
  <si>
    <t xml:space="preserve">Toyota Mirai — Euro NCAP 2021 results — 5 stars; Hyundai Nexo 5-star</t>
  </si>
  <si>
    <t xml:space="preserve">https://www.euroncap.com/en/results/toyota/mirai/43501 ; https://www.hyundai.com/worldwide/en/newsroom/detail/all-new-hyundai-nexo-achieves-maximum-five-star-rating-in-euro-ncap-safety-assessment-0000001089</t>
  </si>
  <si>
    <t xml:space="preserve">2021 / 2018</t>
  </si>
  <si>
    <t xml:space="preserve">W2-S52</t>
  </si>
  <si>
    <t xml:space="preserve">DOE on NOx from hydrogen combustion</t>
  </si>
  <si>
    <t xml:space="preserve">Does the use of hydrogen produce air pollutants such as nitrogen oxides?</t>
  </si>
  <si>
    <t xml:space="preserve">https://www.energy.gov/eere/fuelcells/does-use-hydrogen-produce-air-pollutants-such-nitrogen-oxides</t>
  </si>
  <si>
    <t xml:space="preserve">Requested /cmei/fuels/ URL not found; content from summary</t>
  </si>
  <si>
    <t xml:space="preserve">IMT-25; Rs 60 TP loading</t>
  </si>
  <si>
    <t xml:space="preserve">India Motor Tariff via GoDigit; IRDAI policy wordings; Acko; HDFC Ergo</t>
  </si>
  <si>
    <t xml:space="preserve">India Motor Tariff (IMT) Endorsements — IMT.25</t>
  </si>
  <si>
    <t xml:space="preserve">https://www.godigit.com/content/dam/godigit/directportal/en/downloads/car/Motor-IMT%20Endorsements.pdf ; https://www.hdfcergo.com/blogs/car-insurance/insurance-guide-for-cng-lpg-converted-cars-2025</t>
  </si>
  <si>
    <t xml:space="preserve">IMT-25</t>
  </si>
  <si>
    <t xml:space="preserve">W2-S54</t>
  </si>
  <si>
    <t xml:space="preserve">Form 22D (Rule 47B(1)); RTO documents</t>
  </si>
  <si>
    <t xml:space="preserve">MoRTH (Parivahan); Policybazaar; RTOIndiaHelp</t>
  </si>
  <si>
    <t xml:space="preserve">FORM 22D — Endorsement of alteration/retrofitment</t>
  </si>
  <si>
    <t xml:space="preserve">https://parivahan.gov.in/sites/default/files/DownloadForm/cmvr/FORM-22D.pdf ; https://www.policybazaar.com/rto/form-22d/</t>
  </si>
  <si>
    <t xml:space="preserve">Rule 47B(1)</t>
  </si>
  <si>
    <t xml:space="preserve">W2-S55</t>
  </si>
  <si>
    <t xml:space="preserve">Maruti warranty exclusion for retrofitted CNG</t>
  </si>
  <si>
    <t xml:space="preserve">Maruti owner's manual (via GoMechanic/RideNRepair)</t>
  </si>
  <si>
    <t xml:space="preserve">Dzire Owner's Manual (warranty section)</t>
  </si>
  <si>
    <t xml:space="preserve">https://marutistoragenew.blob.core.windows.net/msilintiwebpdf/Dzire_Owners_Manual_1.pdf</t>
  </si>
  <si>
    <t xml:space="preserve">warranty exclusions</t>
  </si>
  <si>
    <t xml:space="preserve">W2-S56</t>
  </si>
  <si>
    <t xml:space="preserve">Rule 41 trade-certificate purposes</t>
  </si>
  <si>
    <t xml:space="preserve">Indian Kanoon; transportinfo.in</t>
  </si>
  <si>
    <t xml:space="preserve">The Central Motor Vehicles Rules, 1989 — Rule 41</t>
  </si>
  <si>
    <t xml:space="preserve">https://indiankanoon.org/doc/28072254/ ; https://www.transportinfo.in/simba/cmvr/cmvr.htm</t>
  </si>
  <si>
    <t xml:space="preserve">Rule 41</t>
  </si>
  <si>
    <t xml:space="preserve">Summary</t>
  </si>
  <si>
    <t xml:space="preserve">W2-S57</t>
  </si>
  <si>
    <t xml:space="preserve">Rule 126 test agencies</t>
  </si>
  <si>
    <t xml:space="preserve">PIB; TÜV</t>
  </si>
  <si>
    <t xml:space="preserve">Rule 126 CMVR</t>
  </si>
  <si>
    <t xml:space="preserve">https://www.pib.gov.in/newsite/erelcontent.aspx?relid=279664 ; https://www.tuv.com/market-access-services/en/certification-filter/cmvr-(central-motor-vehicle-rules-notified-by-the-government-of-india).html</t>
  </si>
  <si>
    <t xml:space="preserve">W2-S58</t>
  </si>
  <si>
    <t xml:space="preserve">AIS-137 (Part 9) draft Amd 1 for CNG/LPG retrofit</t>
  </si>
  <si>
    <t xml:space="preserve">Scribd (regulatory update)</t>
  </si>
  <si>
    <t xml:space="preserve">Regulatory Updates: CMVR Nov–Dec 2022</t>
  </si>
  <si>
    <t xml:space="preserve">https://www.scribd.com/document/930900675/Regulatory-Update-Nov-Dec-2022</t>
  </si>
  <si>
    <t xml:space="preserve">12-2022</t>
  </si>
  <si>
    <t xml:space="preserve">W2-S59</t>
  </si>
  <si>
    <t xml:space="preserve">CMVR-TSC minutes (ARAI hydrogen projects)</t>
  </si>
  <si>
    <t xml:space="preserve">ACMA</t>
  </si>
  <si>
    <t xml:space="preserve">MoM 62nd CMVR-TSC</t>
  </si>
  <si>
    <t xml:space="preserve">https://www.acma.in/uploads/docmanager/MoM_62_CMVR-TSC.pdf</t>
  </si>
  <si>
    <t xml:space="preserve">W2-S60</t>
  </si>
  <si>
    <t xml:space="preserve">Analyst: H2-ICE retrofit not yet legalised</t>
  </si>
  <si>
    <t xml:space="preserve">S&amp;P Global Mobility</t>
  </si>
  <si>
    <t xml:space="preserve">Hydrogen trucks in India: green hydrogen potential</t>
  </si>
  <si>
    <t xml:space="preserve">https://www.spglobal.com/automotive-insights/en/blogs/2025/03/hydrogen-trucks-in-india-green-hydrogen-potential</t>
  </si>
  <si>
    <t xml:space="preserve">03-2025</t>
  </si>
  <si>
    <t xml:space="preserve">Opinion</t>
  </si>
  <si>
    <t xml:space="preserve">W2-S61</t>
  </si>
  <si>
    <t xml:space="preserve">CV OEM hydrogen shift</t>
  </si>
  <si>
    <t xml:space="preserve">India's vehicles industry quietly begins shift to hydrogen-powered vehicles</t>
  </si>
  <si>
    <t xml:space="preserve">https://www.business-standard.com/industry/auto/indian-cv-majors-drive-hydrogen-transition-with-h2-vehicles-125061600725_1.html</t>
  </si>
  <si>
    <t xml:space="preserve">16-06-2025</t>
  </si>
  <si>
    <t xml:space="preserve">W2-S62</t>
  </si>
  <si>
    <t xml:space="preserve">Gazette 27-03-2026 doc citing AIS 157:2020</t>
  </si>
  <si>
    <t xml:space="preserve">Gazette of India via Scribd</t>
  </si>
  <si>
    <t xml:space="preserve">CG-DL-E-27032026-…</t>
  </si>
  <si>
    <t xml:space="preserve">https://www.scribd.com/document/1019065447/271279</t>
  </si>
  <si>
    <t xml:space="preserve">27-03-2026</t>
  </si>
  <si>
    <t xml:space="preserve">Unknown</t>
  </si>
  <si>
    <t xml:space="preserve">Content unresolved</t>
  </si>
  <si>
    <t xml:space="preserve">W2-S63</t>
  </si>
  <si>
    <t xml:space="preserve">MNRE NGHM regulations directory</t>
  </si>
  <si>
    <t xml:space="preserve">MNRE</t>
  </si>
  <si>
    <t xml:space="preserve">National Green Hydrogen Mission Portal — Regulations</t>
  </si>
  <si>
    <t xml:space="preserve">https://nghm.mnre.gov.in/regulations?language=en</t>
  </si>
  <si>
    <t xml:space="preserve">W2-S64</t>
  </si>
  <si>
    <t xml:space="preserve">State regulation of retrofit centres</t>
  </si>
  <si>
    <t xml:space="preserve">Kerala MVD</t>
  </si>
  <si>
    <t xml:space="preserve">Conversion of vehicles into CNG/LPG mode — Regulation and control of Retro fitment centres</t>
  </si>
  <si>
    <t xml:space="preserve">https://mvd.kerala.gov.in/en/node/1386</t>
  </si>
  <si>
    <t xml:space="preserve">Kerala</t>
  </si>
  <si>
    <t xml:space="preserve">W2-S65</t>
  </si>
  <si>
    <t xml:space="preserve">NCR age restrictions after CNG conversion</t>
  </si>
  <si>
    <t xml:space="preserve">Delhi Govt (Switch Delhi) / press</t>
  </si>
  <si>
    <t xml:space="preserve">Switch Delhi — retro-fitment</t>
  </si>
  <si>
    <t xml:space="preserve">https://ev.delhi.gov.in/retro-fitment</t>
  </si>
  <si>
    <t xml:space="preserve">Delhi</t>
  </si>
  <si>
    <t xml:space="preserve">W2-S66</t>
  </si>
  <si>
    <t xml:space="preserve">87 standards adopted / 59 under development</t>
  </si>
  <si>
    <t xml:space="preserve">CEEW</t>
  </si>
  <si>
    <t xml:space="preserve">How can India fix gaps for green hydrogen safety standards?</t>
  </si>
  <si>
    <t xml:space="preserve">https://www.ceew.in/publications/how-can-india-adopt-international-standards-for-national-green-hydrogen-mission</t>
  </si>
  <si>
    <t xml:space="preserve">Think-tank</t>
  </si>
  <si>
    <t xml:space="preserve">W2-S67</t>
  </si>
  <si>
    <t xml:space="preserve">PESO hydrogen presentations at PNGRB</t>
  </si>
  <si>
    <t xml:space="preserve">PESO via PNGRB</t>
  </si>
  <si>
    <t xml:space="preserve">Statutory rules/regulations for CNG stations (PESO); Stakeholders interaction on hydrogen</t>
  </si>
  <si>
    <t xml:space="preserve">https://www.pngrb.gov.in/pdf/press-note/PESO_15032024.pdf ; https://pngrb.gov.in/pdf/press-note/20250306_PESO.pdf</t>
  </si>
  <si>
    <t xml:space="preserve">03-2024 / 03-2025</t>
  </si>
  <si>
    <t xml:space="preserve">W3-S1</t>
  </si>
  <si>
    <t xml:space="preserve">72.10 lakh CNG vehicles registered</t>
  </si>
  <si>
    <t xml:space="preserve">AIR News (newsonair.gov.in) reporting Lok Sabha written reply, MoS PNG Suresh Gopi</t>
  </si>
  <si>
    <t xml:space="preserve">Total sales of CNG vehicles have increased over the past few years: Suresh Gopi</t>
  </si>
  <si>
    <t xml:space="preserve">https://www.newsonair.gov.in/total-sales-of-cng-vehicles-have-increased-over-the-past-few-years-suresh-gopi</t>
  </si>
  <si>
    <t xml:space="preserve">observed (Vahan)</t>
  </si>
  <si>
    <t xml:space="preserve">page blocked; figure from search passage</t>
  </si>
  <si>
    <t xml:space="preserve">58.61 lakh (Mar 2023) → 81.95 lakh (Mar 2025) CNG vehicles; +25% FY25; PNGRB VAT plea</t>
  </si>
  <si>
    <t xml:space="preserve">ET Energyworld / UNI / The Hindu BusinessLine / Energywatch quoting PNGRB</t>
  </si>
  <si>
    <t xml:space="preserve">PNGRB expands CGD network to 784 districts, sets 2034 target of 12.6 crore PNG connections; City Gas Distribution network now covers nearly 100 pc…; PNGRB in talks with states to rationalise VAT</t>
  </si>
  <si>
    <t xml:space="preserve">https://energy.economictimes.indiatimes.com/news/oil-and-gas/pngrb-expands-cgd-network-to-784-districts-sets-2034-target-of-12-6-crore-png-connections/123553997 ; https://www.thehindubusinessline.com/markets/commodities/pngrb-in-talks-with-states-to-rationalise-vat-on-natural-gas-cng/article69991018.ece</t>
  </si>
  <si>
    <t xml:space="preserve">observed (PNGRB citing Vahan)</t>
  </si>
  <si>
    <t xml:space="preserve">secondary reporting of PNGRB statement</t>
  </si>
  <si>
    <t xml:space="preserve">W3-S3</t>
  </si>
  <si>
    <t xml:space="preserve">18,336 CNG stations &amp; 12.63 crore PNG by 2034; ~1,206 stations added FY25</t>
  </si>
  <si>
    <t xml:space="preserve">Business Standard; IBEF</t>
  </si>
  <si>
    <t xml:space="preserve">PNGRB targets 12.6 crore PNG connections, 18,336 CNG stations by 2034</t>
  </si>
  <si>
    <t xml:space="preserve">https://www.business-standard.com/economy/news/pngrb-targets-12-6-crore-png-connections-18336-cng-stations-by-2034-125082700329_1.html ; https://www.ibef.org/news/india-eyes-126-million-png-connections-18-000-cng-stations-by-2034</t>
  </si>
  <si>
    <t xml:space="preserve">target / observed</t>
  </si>
  <si>
    <t xml:space="preserve">W3-S4</t>
  </si>
  <si>
    <t xml:space="preserve">738 (2014) → 8,150+ CNG stations; 18,000 by 2030</t>
  </si>
  <si>
    <t xml:space="preserve">Hardeep Singh Puri (MoPNG) on X; The Hindu BusinessLine</t>
  </si>
  <si>
    <t xml:space="preserve">One Nation, One Gas Grid (X post); India to double CNG stations to 18,000 by 2030 amid One Nation One Gas Grid plan: Puri</t>
  </si>
  <si>
    <t xml:space="preserve">https://x.com/HardeepSPuri/status/1961324393344491893 ; https://www.thehindubusinessline.com/economy/logistics/india-to-double-cng-stations-to-18000-by-2030-amid-one-nation-one-gas-grid-plan-puri/article69988711.ece</t>
  </si>
  <si>
    <t xml:space="preserve">observed (ministerial) / target</t>
  </si>
  <si>
    <t xml:space="preserve">ministerial statement, not a PNGRB table</t>
  </si>
  <si>
    <t xml:space="preserve">W3-S5</t>
  </si>
  <si>
    <t xml:space="preserve">outdated "2,830 stations" figure</t>
  </si>
  <si>
    <t xml:space="preserve">PRS Legislative Research</t>
  </si>
  <si>
    <t xml:space="preserve">National Gas Grid Including PNG and CNG (Standing Committee report summary)</t>
  </si>
  <si>
    <t xml:space="preserve">https://prsindia.org/policy/report-summaries/national-gas-grid-including-png-and-cng</t>
  </si>
  <si>
    <t xml:space="preserve">outdated</t>
  </si>
  <si>
    <t xml:space="preserve">used only to flag staleness</t>
  </si>
  <si>
    <t xml:space="preserve">W3-S6</t>
  </si>
  <si>
    <t xml:space="preserve">17,700 stations by 2030 (MWP, rounds to 11A); "17,500 by 2030"; "7,400 in 2025"</t>
  </si>
  <si>
    <t xml:space="preserve">Autocar Professional; Construction World</t>
  </si>
  <si>
    <t xml:space="preserve">India's CNG infra development in high gear; India Plans 17,500 CNG-PNG Stations… by 2030</t>
  </si>
  <si>
    <t xml:space="preserve">https://www.autocarpro.in/feature/indias-auto-industry-set-for-a-cng-boom-as-gas-infra-inches-to-100-penetration-117791 ; https://www.constructionworld.in/policy-updates-and-economic-news/india-plans-17500-cng-png-stations-aims-for-120-million-connections-by-2030/52110</t>
  </si>
  <si>
    <t xml:space="preserve">commitment/target</t>
  </si>
  <si>
    <t xml:space="preserve">industry press citing MoPNG/PNGRB</t>
  </si>
  <si>
    <t xml:space="preserve">W3-S7</t>
  </si>
  <si>
    <t xml:space="preserve">CNG ₹86.98/kg Delhi (IGL, +₹3.89); ₹88/kg Mumbai (MGL, +₹2); reasons</t>
  </si>
  <si>
    <t xml:space="preserve">Goodreturns; Equentis; ETV Bharat; Infralog</t>
  </si>
  <si>
    <t xml:space="preserve">CNG Price in New Delhi Today; CNG, PNG Price Hike: New Rates in Mumbai and Delhi-NCR; CNG Price Hiked By Rs 2 Per Kg In Mumbai; MGL hikes CNG… amid rising spot RLNG costs</t>
  </si>
  <si>
    <t xml:space="preserve">https://www.goodreturns.in/cng-price-in-new-delhi.html ; https://www.equentis.com/blog/cng-png-price-hike-new-rates-in-mumbai-and-delhi-ncr/ ; https://www.etvbharat.com/en/business/cng-price-hiked-by-rs-2-per-kg-in-mumbai-enn26090104129</t>
  </si>
  <si>
    <t xml:space="preserve">Delhi; Mumbai</t>
  </si>
  <si>
    <t xml:space="preserve">₹/kg</t>
  </si>
  <si>
    <t xml:space="preserve">observed (retail)</t>
  </si>
  <si>
    <t xml:space="preserve">aggregator pages; IGL/MGL notices not opened</t>
  </si>
  <si>
    <t xml:space="preserve">W3-S8</t>
  </si>
  <si>
    <t xml:space="preserve">Pune CNG ₹97.75/kg from 1 Sep 2026</t>
  </si>
  <si>
    <t xml:space="preserve">MNGL (official rate card); Times of India</t>
  </si>
  <si>
    <t xml:space="preserve">CNG Rate Card — Revision in Prices w.e.f. midnight of 1st Sep 2026: Pune GA Rs 97.75/kg; MNGL hikes CNG price by Rs2 per kg in Pune</t>
  </si>
  <si>
    <t xml:space="preserve">https://mngl.in/cng/rate-card ; https://timesofindia.indiatimes.com/city/pune/mngl-hikes-cng-price-by-rs2-per-kg-in-pune/articleshow/133662320.cms</t>
  </si>
  <si>
    <t xml:space="preserve">Pune GA</t>
  </si>
  <si>
    <t xml:space="preserve">primary text visible in passage</t>
  </si>
  <si>
    <t xml:space="preserve">W3-S9</t>
  </si>
  <si>
    <t xml:space="preserve">Ahmedabad CNG ₹94.02/kg</t>
  </si>
  <si>
    <t xml:space="preserve">CarDekho / Goodreturns city price pages</t>
  </si>
  <si>
    <t xml:space="preserve">CNG price in India Today</t>
  </si>
  <si>
    <t xml:space="preserve">https://www.cardekho.com/cng-price ; https://www.goodreturns.in/cng-price.html</t>
  </si>
  <si>
    <t xml:space="preserve">Ahmedabad</t>
  </si>
  <si>
    <t xml:space="preserve">observed (aggregator)</t>
  </si>
  <si>
    <t xml:space="preserve">supplier notice not verified</t>
  </si>
  <si>
    <t xml:space="preserve">W3-S10</t>
  </si>
  <si>
    <t xml:space="preserve">Maruti FY25 CNG 6.12–6.2 lakh, 33%; 71.6% CNG-segment share (2024)</t>
  </si>
  <si>
    <t xml:space="preserve">Autocar India; Autocar Professional</t>
  </si>
  <si>
    <t xml:space="preserve">One in every three Maruti sold in FY2025 was a CNG; One-in-Three Maruti Vehicles Sold in FY25 Ran on CNG</t>
  </si>
  <si>
    <t xml:space="preserve">https://www.autocarindia.com/industry/one-in-every-three-maruti-sold-in-fy2025-was-a-cng-434994 ; https://www.autocarpro.in/news/one-in-three-maruti-vehicles-sold-in-fy25-ran-on-cng-125695</t>
  </si>
  <si>
    <t xml:space="preserve">units; %</t>
  </si>
  <si>
    <t xml:space="preserve">observed (company/industry data)</t>
  </si>
  <si>
    <t xml:space="preserve">W3-S11</t>
  </si>
  <si>
    <t xml:space="preserve">Maruti FY26 sales 24.22 lakh, exports 4.47 lakh; biogas plants ₹561 crore</t>
  </si>
  <si>
    <t xml:space="preserve">Maruti Suzuki (press releases, not accessible); Automotive World; scanx</t>
  </si>
  <si>
    <t xml:space="preserve">Maruti Suzuki announces Financial Results for FY2025-26; Annual Integrated Report 2025-26</t>
  </si>
  <si>
    <t xml:space="preserve">https://www.marutisuzuki.com/corporate/media/press-releases/2026/april/maruti-suzuki-announces-financial-results-for-fy2025-26 ; https://www.marutisuzuki.com/corporate/media/press-releases/2026/august/maruti-suzuki-annual-integrated-report-2025-26 ; https://www.automotiveworld.com/news/annual-integrated-report-maps-maruti-suzukis-growth-push/</t>
  </si>
  <si>
    <t xml:space="preserve">units</t>
  </si>
  <si>
    <t xml:space="preserve">primary blocked; via secondary</t>
  </si>
  <si>
    <t xml:space="preserve">W3-S12</t>
  </si>
  <si>
    <t xml:space="preserve">Maruti FY26 CNG &gt;7 lakh; 42% share "last month"; FY27 target 9 lakh</t>
  </si>
  <si>
    <t xml:space="preserve">ET Auto; Business Standard; Moneycontrol</t>
  </si>
  <si>
    <t xml:space="preserve">Maruti Suzuki targets nearly 30% jump in CNG sales to 9 lakh units in FY27; Maruti Suzuki targets 900,000 units of CNG vehicle sales this fiscal</t>
  </si>
  <si>
    <t xml:space="preserve">https://auto.economictimes.indiatimes.com/news/passenger-vehicle/maruti-suzuki-aims-for-30-increase-in-cng-vehicle-sales/132637759 ; https://www.business-standard.com/companies/news/maruti-suzuki-targets-900-000-units-of-cng-vehicle-sales-this-fiscal-126072600153_1.html</t>
  </si>
  <si>
    <t xml:space="preserve">observed / target</t>
  </si>
  <si>
    <t xml:space="preserve">42% is a monthly figure</t>
  </si>
  <si>
    <t xml:space="preserve">W3-S13</t>
  </si>
  <si>
    <t xml:space="preserve">PV fuel mix FY26: petrol 52.6% (24.61 of 46.83 lakh), CNG 21.7%; Jul 2026 CNG 24.67%</t>
  </si>
  <si>
    <t xml:space="preserve">Autopunditz (Vahan-based analyst)</t>
  </si>
  <si>
    <t xml:space="preserve">Passenger Cars Fuel-wise Sales Analysis – India FY2026</t>
  </si>
  <si>
    <t xml:space="preserve">https://www.autopunditz.com/post/india-passenger-vehicle-fuelwise-sales-analysis-fy2026</t>
  </si>
  <si>
    <t xml:space="preserve">% of retail registrations</t>
  </si>
  <si>
    <t xml:space="preserve">observed (analyst compilation)</t>
  </si>
  <si>
    <t xml:space="preserve">not SIAM; CNG % seen via social summary</t>
  </si>
  <si>
    <t xml:space="preserve">W3-S14</t>
  </si>
  <si>
    <t xml:space="preserve">SIAM quarterly highlights FY26 (not accessible)</t>
  </si>
  <si>
    <t xml:space="preserve">SIAM</t>
  </si>
  <si>
    <t xml:space="preserve">Key Highlights from Q1/Q2 FY2025-26</t>
  </si>
  <si>
    <t xml:space="preserve">https://www.siam.in/pressrelease-details.aspx?mpgid=48&amp;pgidtrail=50&amp;pid=583 ; …pid=591</t>
  </si>
  <si>
    <t xml:space="preserve">blocked; no CNG split retrieved</t>
  </si>
  <si>
    <t xml:space="preserve">W3-S15</t>
  </si>
  <si>
    <t xml:space="preserve">"4,000+ authorised installation centres"; aftermarket ₹2,500–3,500 crore/yr; brand shares</t>
  </si>
  <si>
    <t xml:space="preserve">LetsGO CNG (vendor blog)</t>
  </si>
  <si>
    <t xml:space="preserve">CNG Conversion Statistics India 2026: 50 Key Facts</t>
  </si>
  <si>
    <t xml:space="preserve">https://letsgocng.in/cng-conversion-statistics-india-2026/</t>
  </si>
  <si>
    <t xml:space="preserve">count; ₹ crore</t>
  </si>
  <si>
    <t xml:space="preserve">vendor estimate</t>
  </si>
  <si>
    <t xml:space="preserve">unofficial; low confidence</t>
  </si>
  <si>
    <t xml:space="preserve">W3-S16</t>
  </si>
  <si>
    <t xml:space="preserve">RFC registries (Vahan CNG Maker portal; IGL list; Delhi RFC application)</t>
  </si>
  <si>
    <t xml:space="preserve">MoRTH Vahan; IGL; Delhi Transport Dept</t>
  </si>
  <si>
    <t xml:space="preserve">Available Fitment Center (CNG Maker); RTO Approved CNG Kit Retrofit Centres; Application for CNG Retro Fitment</t>
  </si>
  <si>
    <t xml:space="preserve">https://vahan.parivahan.gov.in/cngmaker/vahan/user/retrofitment/availableFitmentCenter.xhtml ; https://www.iglonline.net/cng-retrofitment-center ; https://transport.delhi.gov.in/transport/application-cng-retro-fitment</t>
  </si>
  <si>
    <t xml:space="preserve">India / Delhi</t>
  </si>
  <si>
    <t xml:space="preserve">registry</t>
  </si>
  <si>
    <t xml:space="preserve">no totals retrievable</t>
  </si>
  <si>
    <t xml:space="preserve">W3-S17</t>
  </si>
  <si>
    <t xml:space="preserve">Delhi aggregator scheme EV milestones; notified 21 Nov 2023</t>
  </si>
  <si>
    <t xml:space="preserve">Legitquest (text reproduction); Hindustan Times; Delhi Transport Dept (X); Medianama</t>
  </si>
  <si>
    <t xml:space="preserve">Delhi Motor Vehicle Aggregator and Delivery Service Provider Scheme, 2023</t>
  </si>
  <si>
    <t xml:space="preserve">https://www.legitquest.com/act/delhi-motor-vehicle-aggregator-and-delivery-service-provider-scheme-2023/D483 ; https://www.hindustantimes.com/cities/delhi-news/delhi-govt-notifies-cab-aggregator-policy-fleets-to-switch-to-electric-101701281802617.html ; https://x.com/TransportDelhi/status/1730101116590059896</t>
  </si>
  <si>
    <t xml:space="preserve">% of new onboarding</t>
  </si>
  <si>
    <t xml:space="preserve">rule</t>
  </si>
  <si>
    <t xml:space="preserve">6-month/1-year milestones only via HT</t>
  </si>
  <si>
    <t xml:space="preserve">W3-S18</t>
  </si>
  <si>
    <t xml:space="preserve">~60,000 taxis registered in Delhi; CNG/clean-fuel taxi permits 15 years; SC CNG requirement</t>
  </si>
  <si>
    <t xml:space="preserve">Outlook India</t>
  </si>
  <si>
    <t xml:space="preserve">Delhi: All Taxis Running On CNG, Other Clean Fuels To Have Permit Validity Of 15 Years</t>
  </si>
  <si>
    <t xml:space="preserve">https://www.outlookindia.com/national/delhi-all-taxis-running-on-cng-other-clean-fuels-to-have-permit-validity-of-15-years-news-296571</t>
  </si>
  <si>
    <t xml:space="preserve">observed (dept data, undated)</t>
  </si>
  <si>
    <t xml:space="preserve">W3-S19</t>
  </si>
  <si>
    <t xml:space="preserve">CAQM: only CNG/EV new aggregator/delivery vehicles in NCR from 1 Jan 2026; Haryana rules</t>
  </si>
  <si>
    <t xml:space="preserve">Deccan Herald; Free Press Journal; Swarajya</t>
  </si>
  <si>
    <t xml:space="preserve">No new petrol or diesel vehicles for cab aggregators, delivery firms in NCR from January 2026: CAQM; Haryana Cabinet Mandates CNG, EV Or Cleaner Fuel For All New Aggregator Vehicles In NCR From 2026</t>
  </si>
  <si>
    <t xml:space="preserve">https://www.deccanherald.com/amp/story/india%2Fno-new-petrol-or-diesel-vehicles-for-cab-aggregators-delivery-firms-in-ncr-from-january-2026-caqm-3571433 ; https://www.freepressjournal.in/amp/india/haryana-cabinet-mandates-cng-ev-or-cleaner-fuel-for-all-new-aggregator-vehicles-in-ncr-from-2026</t>
  </si>
  <si>
    <t xml:space="preserve">NCR</t>
  </si>
  <si>
    <t xml:space="preserve">W3-S20</t>
  </si>
  <si>
    <t xml:space="preserve">Delhi 8.76 m vehicles (19 Mar 2026); taxis limited growth; e-buses 4,338</t>
  </si>
  <si>
    <t xml:space="preserve">The Wire (reporting Delhi Economic Survey 2025-26); Delhi Planning Dept PDF (blocked)</t>
  </si>
  <si>
    <t xml:space="preserve">Service Sector, Transport, Water: Highlights of Delhi's Economic Survey 2025-26</t>
  </si>
  <si>
    <t xml:space="preserve">https://m.thewire.in/article/economy/service-sector-transport-water-highlights-of-delhis-economic-survey-2025-26/amp ; https://delhiplanning.delhi.gov.in/sites/default/files/2026-03/economic_survey_english_0.pdf</t>
  </si>
  <si>
    <t xml:space="preserve">PDF blocked</t>
  </si>
  <si>
    <t xml:space="preserve">W3-S21</t>
  </si>
  <si>
    <t xml:space="preserve">60-driver Delhi study; longer hours</t>
  </si>
  <si>
    <t xml:space="preserve">Springer (book chapter)</t>
  </si>
  <si>
    <t xml:space="preserve">Are Ride-Sharing Platforms Good for Indian Drivers? An Investigation of Taxi and Auto-Rickshaw Drivers in Delhi</t>
  </si>
  <si>
    <t xml:space="preserve">https://link.springer.com/chapter/10.1007/978-3-030-64697-4_10</t>
  </si>
  <si>
    <t xml:space="preserve">observed (survey)</t>
  </si>
  <si>
    <t xml:space="preserve">small sample</t>
  </si>
  <si>
    <t xml:space="preserve">W3-S22</t>
  </si>
  <si>
    <t xml:space="preserve">ICCT ride-hailing TCO; BEV ₹8.8→5.8/km (2019→2020); 2019 not competitive</t>
  </si>
  <si>
    <t xml:space="preserve">ICCT</t>
  </si>
  <si>
    <t xml:space="preserve">Updated analysis of incentives for electrifying India's four-wheeler ride-hailing fleet; Are electric four-wheelers becoming more cost attractive as ride-hailing vehicles in India?; (vendor rule-of-thumb: Zevpoint EV fleet charging guide)</t>
  </si>
  <si>
    <t xml:space="preserve">https://theicct.org/publication/updated-analysis-of-incentives-for-electrifying-indias-four-wheeler-ride-hailing-fleet/ ; https://theicct.org/are-electric-four-wheelers-becoming-more-cost-attractive-as-ride-hailing-vehicles-in-india/ ; https://www.zevpoint.com/blogs/guides/ev-fleet-charging-solutions-taxi-logistics-india</t>
  </si>
  <si>
    <t xml:space="preserve">Delhi; Telangana</t>
  </si>
  <si>
    <t xml:space="preserve">₹/km</t>
  </si>
  <si>
    <t xml:space="preserve">PDFs blocked; daily-km assumption not seen</t>
  </si>
  <si>
    <t xml:space="preserve">W3-S23</t>
  </si>
  <si>
    <t xml:space="preserve">BluSmart collapse; SEBI order 15 Apr 2025; ₹978 crore diversion; leasing model</t>
  </si>
  <si>
    <t xml:space="preserve">Business Today; Down To Earth; Zentrum Law</t>
  </si>
  <si>
    <t xml:space="preserve">SEBI turns heat on Gensol, BluSmart's house of cards wobbles; What BluSmart got wrong—and right</t>
  </si>
  <si>
    <t xml:space="preserve">https://www.businesstoday.in/latest/corporate/story/sebi-turns-heat-on-gensol-blusmarts-house-of-cards-wobbles-472292-2025-04-16 ; https://www.downtoearth.org.in/air/what-blusmart-got-wrongand-right</t>
  </si>
  <si>
    <t xml:space="preserve">₹ crore</t>
  </si>
  <si>
    <t xml:space="preserve">W3-S24</t>
  </si>
  <si>
    <t xml:space="preserve">Everest (20,500 cars, ~2,000 EVs, 10,000 EV target); Refex 2,000+ EVs; Evera 4,500 by Jun 2026; fleet constraints</t>
  </si>
  <si>
    <t xml:space="preserve">Business Standard; EVreporter; EV Drive</t>
  </si>
  <si>
    <t xml:space="preserve">Next stop for BluSmart's EVs could be Everest Fleet; India's Leading Electric 4-Wheeler Passenger Fleet Operators; Evera Fleet Expansion 4500 EVs by June 2026</t>
  </si>
  <si>
    <t xml:space="preserve">https://www.business-standard.com/companies/start-ups/everest-fleet-in-talks-to-acquire-blusmart-evs-for-uber-green-125051201066_1.html ; https://evreporter.com/indias-leading-electric-4-wheeler-passenger-fleet-operators/ ; https://evdrive.in/evera-fleet-expansion-4500-electric-vehicles/</t>
  </si>
  <si>
    <t xml:space="preserve">observed / announced</t>
  </si>
  <si>
    <t xml:space="preserve">company statements</t>
  </si>
  <si>
    <t xml:space="preserve">W3-S25</t>
  </si>
  <si>
    <t xml:space="preserve">Uber–Tata 25,000 Xpres-T EVs; Xpres-T price ₹13.04 lakh</t>
  </si>
  <si>
    <t xml:space="preserve">Autocar India; Tata Motors Xpres-T site</t>
  </si>
  <si>
    <t xml:space="preserve">Tata Motors to supply 25,000 XPRES-T EVs in largest ever fleet order; Tata XPRES-T EV Price</t>
  </si>
  <si>
    <t xml:space="preserve">https://www.autocarindia.com/car-news/tata-motors-to-supply-25000-xpres-t-evs-in-largest-ever-fleet-order-427364 ; https://xprest.tatamotors.com/electric/price</t>
  </si>
  <si>
    <t xml:space="preserve">units; ₹ lakh</t>
  </si>
  <si>
    <t xml:space="preserve">announced / list price</t>
  </si>
  <si>
    <t xml:space="preserve">delivery status unknown</t>
  </si>
  <si>
    <t xml:space="preserve">W3-S26</t>
  </si>
  <si>
    <t xml:space="preserve">used Dzire CNG from ₹3.71 lakh (Delhi); WagonR ₹1.6–6.0 lakh; new Dzire Tour S on-road ₹7.35–8.33 lakh</t>
  </si>
  <si>
    <t xml:space="preserve">Cars24; Orange Book Value; CarDekho</t>
  </si>
  <si>
    <t xml:space="preserve">Second Hand Maruti Dzire CNG Cars in New Delhi; Used Wagon R price and valuation; Dzire Tour S On Road Price in New Delhi</t>
  </si>
  <si>
    <t xml:space="preserve">https://www.cars24.com/buy-used-maruti-dzire-cng-cars-new-delhi/ ; https://orangebookvalue.com/used-cars/maruti-suzuki-wagon-r-price ; https://www.cardekho.com/maruti/dzire-tour-s/price-in-new-delhi</t>
  </si>
  <si>
    <t xml:space="preserve">₹ lakh</t>
  </si>
  <si>
    <t xml:space="preserve">listings (indicative)</t>
  </si>
  <si>
    <t xml:space="preserve">not valuations</t>
  </si>
  <si>
    <t xml:space="preserve">W3-S27</t>
  </si>
  <si>
    <t xml:space="preserve">Tata EV prices/specs (Tiago, Punch, Nexon, Tigor)</t>
  </si>
  <si>
    <t xml:space="preserve">Tata.ev; ZigWheels; Team-BHP; V3Cars</t>
  </si>
  <si>
    <t xml:space="preserve">Tiago EV / Punch EV / Nexon EV price pages; Tigor EV 2026</t>
  </si>
  <si>
    <t xml:space="preserve">https://ev.tata.cars/tiago/ev/price.html ; https://ev.tata.cars/punch/ev/price.html ; https://ev.tata.cars/nexon/ev/price.html ; https://www.v3cars.com/tata-cars/tigor-ev ; https://www.zigwheels.com/tata-cars/tiago-ev/</t>
  </si>
  <si>
    <t xml:space="preserve">₹ lakh; kWh; km</t>
  </si>
  <si>
    <t xml:space="preserve">list price / ARAI</t>
  </si>
  <si>
    <t xml:space="preserve">ex-showroom, variant-dependent</t>
  </si>
  <si>
    <t xml:space="preserve">W3-S28</t>
  </si>
  <si>
    <t xml:space="preserve">MG Comet, Windsor prices/specs</t>
  </si>
  <si>
    <t xml:space="preserve">JSW MG Motor India; ZigWheels</t>
  </si>
  <si>
    <t xml:space="preserve">MG Comet EV page; MG Windsor EV 2026</t>
  </si>
  <si>
    <t xml:space="preserve">https://www.mgmotor.co.in/vehicles/comet-ev-electric-car-in-india ; https://www.zigwheels.com/mg-motor-cars/windsor-ev/</t>
  </si>
  <si>
    <t xml:space="preserve">₹; kWh; km</t>
  </si>
  <si>
    <t xml:space="preserve">list price</t>
  </si>
  <si>
    <t xml:space="preserve">W3-S29</t>
  </si>
  <si>
    <t xml:space="preserve">e Vitara, Creta Electric, eC3X prices/specs</t>
  </si>
  <si>
    <t xml:space="preserve">Autocar India; CarWale/Team-BHP</t>
  </si>
  <si>
    <t xml:space="preserve">Price and specs of Maruti e Vitara, Hyundai Creta Electric, MG Windsor EV… compared; 2026 Citroen eC3X launched at Rs 11.99 lakh; Hyundai Creta Electric</t>
  </si>
  <si>
    <t xml:space="preserve">https://www.autocarindia.com/auto-features/maruti-e-vitara-vs-rivals-prices-compared-440249 ; https://www.autocarindia.com/car-news/2026-citroen-ec3x-launched-at-rs-1025-lakh-439987 ; https://www.carwale.com/hyundai-cars/creta-electric/</t>
  </si>
  <si>
    <t xml:space="preserve">W3-S30</t>
  </si>
  <si>
    <t xml:space="preserve">real-world range/efficiency tests</t>
  </si>
  <si>
    <t xml:space="preserve">Autocar India; ZigWheels</t>
  </si>
  <si>
    <t xml:space="preserve">Real world EV range tested of top EV cars in India; Tata EVs and their real-world range</t>
  </si>
  <si>
    <t xml:space="preserve">https://www.autocarindia.com/auto-features/every-mass-market-ev-real-world-range-tested-434105 ; https://www.zigwheels.com/news-features/ev-news/heres-a-look-at-all-the-tata-evs-and-their-real-world-range/54737/</t>
  </si>
  <si>
    <t xml:space="preserve">km; km/kWh</t>
  </si>
  <si>
    <t xml:space="preserve">observed (media test)</t>
  </si>
  <si>
    <t xml:space="preserve">single-test conditions</t>
  </si>
  <si>
    <t xml:space="preserve">W3-S31</t>
  </si>
  <si>
    <t xml:space="preserve">Tata battery warranty (8 yr/1.6 lakh km; lifetime for Curvv.ev/Nexon.ev 45)</t>
  </si>
  <si>
    <t xml:space="preserve">Tata Motors; Tata.ev; Spinny</t>
  </si>
  <si>
    <t xml:space="preserve">Tata Motors introduces Lifetime HV Battery Warranty…; Tata EV warranty page; Tata EV Warranty Explained</t>
  </si>
  <si>
    <t xml:space="preserve">https://www.tatamotors.com/press-releases/reimagining-ev-ownership-tata-motors-introduces-lifetime-hv-battery-warranty-for-curvv-ev-and-nexon-ev-45-kwh/ ; https://ev.tata.cars/service/warranty.html ; https://www.spinny.com/blog/tata-ev-warranty/</t>
  </si>
  <si>
    <t xml:space="preserve">years/km</t>
  </si>
  <si>
    <t xml:space="preserve">company terms</t>
  </si>
  <si>
    <t xml:space="preserve">fleet terms differ</t>
  </si>
  <si>
    <t xml:space="preserve">W3-S32</t>
  </si>
  <si>
    <t xml:space="preserve">Delhi EV tariff ₹4.50/kWh LT, ₹4.00/kVAh HT; DERC PM E-DRIVE order</t>
  </si>
  <si>
    <t xml:space="preserve">Mercom India; thediscombill; EMobility+</t>
  </si>
  <si>
    <t xml:space="preserve">Delhi Slashes Tariffs for EV Charging; Delhi Electricity Tariff 2025-26; DERC directs EV charging infra costs… borne by operators</t>
  </si>
  <si>
    <t xml:space="preserve">https://www.mercomindia.com/delhi-tariffs-ev-charging-electric-mobility ; https://thediscombill.com/tariffs/delhi/ ; https://emobilityplus.com/2026/07/03/derc-directs-ev-charging-infrastructure-costs-under-pm-e-drive-scheme-to-be-borne-by-operators-not-consumers-in-delhi/</t>
  </si>
  <si>
    <t xml:space="preserve">₹/kWh</t>
  </si>
  <si>
    <t xml:space="preserve">tariff order (secondary)</t>
  </si>
  <si>
    <t xml:space="preserve">DERC order not opened</t>
  </si>
  <si>
    <t xml:space="preserve">W3-S33</t>
  </si>
  <si>
    <t xml:space="preserve">public DC ₹18–25/kWh; AC ₹8–18; Jio-bp ₹15.99</t>
  </si>
  <si>
    <t xml:space="preserve">Pulse Energy; Team-BHP</t>
  </si>
  <si>
    <t xml:space="preserve">EV Charging Rates in India 2026; Pricing of just Rs 15.99 per kWh — Jio BP</t>
  </si>
  <si>
    <t xml:space="preserve">https://pulseenergy.io/blog/ev-charging-rates ; https://www.team-bhp.com/forum/electric-cars/273196-pricing-just-rs-15-99-per-kwh-will-jio-bp-disrupt-ev-charging-market.html</t>
  </si>
  <si>
    <t xml:space="preserve">observed (operator prices)</t>
  </si>
  <si>
    <t xml:space="preserve">W3-S34</t>
  </si>
  <si>
    <t xml:space="preserve">GST: EV 5%; small cars 18%; large 40% (GST 2.0, Sep 2025)</t>
  </si>
  <si>
    <t xml:space="preserve">Bajaj Finserv; The Munim</t>
  </si>
  <si>
    <t xml:space="preserve">GST on Vehicles in 2026; GST on Electric Vehicles in India 2026</t>
  </si>
  <si>
    <t xml:space="preserve">https://www.bajajfinserv.in/gst-on-vehicles ; https://themunim.com/blog/gst-on-electric-vehicles/</t>
  </si>
  <si>
    <t xml:space="preserve">secondary explainer</t>
  </si>
  <si>
    <t xml:space="preserve">W3-S35</t>
  </si>
  <si>
    <t xml:space="preserve">Delhi EV Policy 2026 (w.e.f. 1 Jul 2026) provisions</t>
  </si>
  <si>
    <t xml:space="preserve">Business Standard; YourStory; EV Infrastructure News</t>
  </si>
  <si>
    <t xml:space="preserve">Delhi govt notifies EV Policy 2026, rolls out subsidies, tax exemptions; Delhi government notifies Delhi EV Policy 2026</t>
  </si>
  <si>
    <t xml:space="preserve">https://www.business-standard.com/india-news/delhi-govt-notifies-ev-policy-2026-rolls-out-subsidies-tax-exemptions-126070100488_1.html ; https://yourstory.com/2026/07/delhi-government-notifies-delhi-ev-policy-2026 ; https://www.evinfrastructurenews.com/ev-policies/delhi-notifies-ev-policy-2026-with-tax-exemptions-for-ev</t>
  </si>
  <si>
    <t xml:space="preserve">₹; dates</t>
  </si>
  <si>
    <t xml:space="preserve">rule (notified)</t>
  </si>
  <si>
    <t xml:space="preserve">gazette not opened</t>
  </si>
  <si>
    <t xml:space="preserve">W3-S36</t>
  </si>
  <si>
    <t xml:space="preserve">5 pilot projects: 37 vehicles, 9 HRS, 10 routes, ₹208 crore; awardees; ARAI SIA</t>
  </si>
  <si>
    <t xml:space="preserve">PIB (PRID 2107795, blocked); Down To Earth; DD News; Energetica India; Swarajya</t>
  </si>
  <si>
    <t xml:space="preserve">As told to Parliament (March 25, 2025): 37 cross-country vehicles, 9 fuelling stations…; India rolls out pilot projects for hydrogen-powered buses and trucks; MNRE Initiates 5 Pilot Projects…</t>
  </si>
  <si>
    <t xml:space="preserve">https://www.pib.gov.in/PressReleasePage.aspx?PRID=2107795 ; https://www.downtoearth.org.in/environment/as-told-to-parliament-march-25-2025-37-cross-country-vehicles-9-fuelling-stations-planned-under-green-hydrogen-mission ; https://ddnews.gov.in/en/india-rolls-out-pilot-projects-for-hydrogen-powered-buses-and-trucks/ ; https://www.energetica-india.net/news/mnre-initiates-5-pilot-projects-for-using-hydrogen-in-buses-and-trucks</t>
  </si>
  <si>
    <t xml:space="preserve">vehicles; stations; ₹ crore</t>
  </si>
  <si>
    <t xml:space="preserve">sanctioned</t>
  </si>
  <si>
    <t xml:space="preserve">PIB blocked</t>
  </si>
  <si>
    <t xml:space="preserve">12 pilot projects: 70 vehicles (27 buses, 43 trucks), 16 HRS, 21 routes, ₹410.77 crore, ₹41.582 crore released</t>
  </si>
  <si>
    <t xml:space="preserve">PIB / MNRE (PRID 2291541, blocked); fiinews; EQ Mag; MNRE minister social posts</t>
  </si>
  <si>
    <t xml:space="preserve">Centre Launches 12 Pilot Projects Under National Green Hydrogen Mission for Deployment of 70 Hydrogen-Powered Vehicles Across 21 Routes; Project: 12 NGHM are under implementation</t>
  </si>
  <si>
    <t xml:space="preserve">https://www.pib.gov.in/PressReleasePage.aspx?PRID=2291541&amp;reg=48&amp;lang=1 ; https://www.fiinews.com/2026/08/01/project-12-nghm-are-under-implementation/ ; https://www.eqmagpro.com/centre-launches-12-pilot-projects-under-national-green-hydrogen-mission-for-deployment-of-70-hydrogen-powered-vehicles-across-21-routes-eq/</t>
  </si>
  <si>
    <t xml:space="preserve">sanctioned / under implementation</t>
  </si>
  <si>
    <t xml:space="preserve">PIB blocked; 21-route list not retrieved</t>
  </si>
  <si>
    <t xml:space="preserve">W3-S38</t>
  </si>
  <si>
    <t xml:space="preserve">SIGHT 8.62 lakh tpa awarded (19 cos); 3,000 MW electrolyser awards; ~8,000 tpa commissioned (Feb 2026); ₹292 crore spent; 30 KTPA to 4 refineries; Tranche II 450,000 tpa; NGHM outlay/target</t>
  </si>
  <si>
    <t xml:space="preserve">Business Today (column); Business Standard; ANI; Mercom India</t>
  </si>
  <si>
    <t xml:space="preserve">India's green hydrogen ambitions face a reality check; Govt spends ₹292 crore under NGHM so far: MNRE; Centre awards 30 KTPA…; MNRE to Incentivize 450,000 MTPA…</t>
  </si>
  <si>
    <t xml:space="preserve">https://www.businesstoday.in/opinion/columns/story/indias-green-hydrogen-ambitions-face-a-reality-check-536276-2026-06-11 ; https://www.business-standard.com/amp/industry/news/govt-spends-292-crore-under-national-green-hydrogen-mission-so-far-mnre-126081201853_1.html ; https://www.aninews.in/news/business/centre-awards-30-ktpa-green-hydrogen-capacity-to-four-oil-refineries-under-national-green-hydrogen-mission20260811180606/ ; https://www.mercomindia.com/mnre-450000-mtpa-green-hydrogen</t>
  </si>
  <si>
    <t xml:space="preserve">tpa; ₹ crore</t>
  </si>
  <si>
    <t xml:space="preserve">awarded vs operating</t>
  </si>
  <si>
    <t xml:space="preserve">secondary reporting of MNRE/SECI data</t>
  </si>
  <si>
    <t xml:space="preserve">W3-S39</t>
  </si>
  <si>
    <t xml:space="preserve">Numaligarh ₹279/kg; SECI green ammonia ₹55.75/kg; SIGHT auction Mar 2025; cost estimates</t>
  </si>
  <si>
    <t xml:space="preserve">S&amp;P Global; PIB (PRID 2153006, blocked); Renewable Watch; Reslink (vendor)</t>
  </si>
  <si>
    <t xml:space="preserve">India's Numaligarh hydrogen tender ends at record low Rupees 279/kg; SECI conducts first-ever auction for procurement of Green Ammonia; SECI announces results of green hydrogen auction under SIGHT; India Green Hydrogen Price Per Kg 2026</t>
  </si>
  <si>
    <t xml:space="preserve">https://www.spglobal.com/energy/en/news-research/latest-news/energy-transition/021226-indias-numaligarh-hydrogen-tender-ends-at-record-low-rupees-279kg ; https://www.pib.gov.in/PressReleasePage.aspx?PRID=2153006 ; https://renewablewatch.in/2025/03/20/seci-announces-results-of-green-hydrogen-auction-under-sight-programme/ ; https://www.reslink.org/blogs/india-s-green-hydrogen-mission-is-moving-from-paper-to-projects/</t>
  </si>
  <si>
    <t xml:space="preserve">observed (tender)</t>
  </si>
  <si>
    <t xml:space="preserve">₹397/kg and $5.3–6.7/kg are vendor figures</t>
  </si>
  <si>
    <t xml:space="preserve">W3-S40</t>
  </si>
  <si>
    <t xml:space="preserve">California retail H2 $32–36/kg; avg $34.55 (Sep 2024); True Zero $36</t>
  </si>
  <si>
    <t xml:space="preserve">S&amp;P Global; Stillwater Associates; hydrogenfuelfinder</t>
  </si>
  <si>
    <t xml:space="preserve">California hydrogen pump prices for light-duty vehicles reach new highs; 2025 Cost Showdown for Drivers; Why Hydrogen Fuel Costs $36/kg in 2025</t>
  </si>
  <si>
    <t xml:space="preserve">https://www.spglobal.com/commodity-insights/en/news-research/latest-news/energy-transition/100124-california-hydrogen-pump-prices-for-light-duty-vehicles-reach-new-highs ; https://stillwaterassociates.com/2025-cost-showdown-for-drivers-is-hydrogen-fuel-cheaper-than-gasoline/ ; https://hydrogenfuelfinder.com/blog/hydrogen-fuel-cost-2025-reality-check.html</t>
  </si>
  <si>
    <t xml:space="preserve">California</t>
  </si>
  <si>
    <t xml:space="preserve">$/kg</t>
  </si>
  <si>
    <t xml:space="preserve">W3-S41</t>
  </si>
  <si>
    <t xml:space="preserve">Germany €12.95/kg avg; €12.85; Hylane–H2 Mobility €8/kg (2026, trucks)</t>
  </si>
  <si>
    <t xml:space="preserve">Atawey; Energy News; Driving Hydrogen; glpautogas</t>
  </si>
  <si>
    <t xml:space="preserve">Understanding the Cost and Price of Hydrogen (2026); Hydrogen price goes to €12.85/kg; €8/kg hydrogen enables cost parity with diesel: Hylane &amp; H2 Mobility</t>
  </si>
  <si>
    <t xml:space="preserve">https://atawey.com/en/hydrogen-prices-in-2026-cost-per-kg-refuelling-costs-comparisons-and-2030-outlook/ ; https://energynews.biz/hydrogen-price-goes-up-to-e12-85-kg/ ; https://drivinghydrogen.com/2025/11/20/e8-kg-hydrogen-enables-cost-parity-with-diesel-hylane-h2-mobility-milestone/</t>
  </si>
  <si>
    <t xml:space="preserve">Germany</t>
  </si>
  <si>
    <t xml:space="preserve">€/kg</t>
  </si>
  <si>
    <t xml:space="preserve">observed / contracted</t>
  </si>
  <si>
    <t xml:space="preserve">dates of averages not exact</t>
  </si>
  <si>
    <t xml:space="preserve">W3-S42</t>
  </si>
  <si>
    <t xml:space="preserve">Japan ¥700/kg subsidy; Tokyo auction ~$23/kg; METI priority regions</t>
  </si>
  <si>
    <t xml:space="preserve">Driving Hydrogen; METI; Hydrogen Insight</t>
  </si>
  <si>
    <t xml:space="preserve">Japan to introduce ¥700/kg hydrogen fuel subsidy…; First Selection of Priority Regions for FC Commercial Vehicles; Hydrogen prices of $23/kg — Tokyo… auction</t>
  </si>
  <si>
    <t xml:space="preserve">https://drivinghydrogen.com/2025/05/30/japan-to-introduce-%C2%A5700-kg-hydrogen-fuel-subsidy-to-kickstart-commercial-uptake/ ; https://www.meti.go.jp/english/press/2025/0519_002.html ; https://www.hydrogeninsight.com/production/hydrogen-prices-of-23-kg-tokyo-city-government-announces-results-for-first-double-sided-green-hydrogen-auction/2-1-1830862</t>
  </si>
  <si>
    <t xml:space="preserve">¥/kg; $/kg</t>
  </si>
  <si>
    <t xml:space="preserve">policy / auction</t>
  </si>
  <si>
    <t xml:space="preserve">pump price NOT retrieved</t>
  </si>
  <si>
    <t xml:space="preserve">W3-S43</t>
  </si>
  <si>
    <t xml:space="preserve">Standards: 34 standards in 14 months; PESO/OISD/PNGRB/MoRTH/BIS; Gas Cylinder Rules 2016; ISO 19880 harmonisation; CMVR 4th Amdt 2025 H2 plates; MoRTH 18 Aug 2026 draft</t>
  </si>
  <si>
    <t xml:space="preserve">PIB (static backgrounder); PNGRB/PESO; autopdp; Business Standard</t>
  </si>
  <si>
    <t xml:space="preserve">Green Hydrogen Standards and Approval Systems in India; Stakeholders interaction on pathways for transmission of hydrogen; Automotive Regulation Updates India; Govt proposes 5-yr age extension for EV, CNG, hydrogen commercial vehicles</t>
  </si>
  <si>
    <t xml:space="preserve">https://static.pib.gov.in/WriteReadData/specificdocs/documents/2024/may/doc2024510336201.pdf ; https://www.pngrb.gov.in/pdf/press-note/PESO_15032024.pdf ; https://autopdp.com/regulatory-updates ; https://www.business-standard.com/industry/auto/govt-proposes-5-yr-age-extension-for-ev-cng-hydrogen-commercial-vehicles-126081800231_1.html</t>
  </si>
  <si>
    <t xml:space="preserve">rule / draft</t>
  </si>
  <si>
    <t xml:space="preserve">PDFs blocked; passages only</t>
  </si>
  <si>
    <t xml:space="preserve">W3-S44</t>
  </si>
  <si>
    <t xml:space="preserve">NTPC Leh: 5 FC buses; 80 kg/day; 350 bar; 1.7 MW solar; Nov 2024 flag-off; Jun 2025 handover</t>
  </si>
  <si>
    <t xml:space="preserve">NTPC; UT Ladakh; pv magazine India; AIR News</t>
  </si>
  <si>
    <t xml:space="preserve">NTPC Hands Over Five Hydrogen Fuel Cell Buses to Leh Administration; Union Minister Manohar Lal flags off the fleet of green hydrogen buses of NTPC in Ladakh</t>
  </si>
  <si>
    <t xml:space="preserve">https://ntpc.co.in/media/press-releases/ntpc-hands-over-five-hydrogen-fuel-cell-buses-leh-administration ; https://ladakh.gov.in/ntpc-hands-over-five-hydrogen-fuel-cell-buses-to-sidco-at-green-hydrogen-mobility-station-leh/ ; https://www.pv-magazine-india.com/2025/06/19/the-hydrogen-stream-ntpc-hands-over-five-hydrogen-fuel-cell-buses-to-leh-administration/ ; https://www.newsonair.gov.in/union-minister-manohar-lal-flags-off-the-fleet-of-green-hydrogen-buses-of-ntpc-in-ladakh</t>
  </si>
  <si>
    <t xml:space="preserve">Leh</t>
  </si>
  <si>
    <t xml:space="preserve">buses; kg/day; bar</t>
  </si>
  <si>
    <t xml:space="preserve">operating</t>
  </si>
  <si>
    <t xml:space="preserve">costs/H2 price not disclosed</t>
  </si>
  <si>
    <t xml:space="preserve">W3-S45</t>
  </si>
  <si>
    <t xml:space="preserve">Tata 16-truck trials (4 Mar 2025); 40 H2-ICE trucks (Feb 2026); IOCL HRS at 4 sites</t>
  </si>
  <si>
    <t xml:space="preserve">Tata Motors; AIR News; electrive</t>
  </si>
  <si>
    <t xml:space="preserve">Tata Motors drives India's green future with country's first hydrogen truck trials; First trials of hydrogen powered heavy duty trucks flagged off; Tata Motors to deploy 40 H2 ICE trucks in India</t>
  </si>
  <si>
    <t xml:space="preserve">https://www.tatamotors.com/press-releases/tata-motors-drives-indias-green-future-with-countrys-first-hydrogen-truck-trials/ ; https://www.newsonair.gov.in/first-trials-of-hydrogen-powered-heavy-duty-trucks-flagged-off ; https://www.electrive.com/2026/02/27/tata-motors-to-deploy-40-h2-ice-trucks-in-india/</t>
  </si>
  <si>
    <t xml:space="preserve">trucks</t>
  </si>
  <si>
    <t xml:space="preserve">trial / announced</t>
  </si>
  <si>
    <t xml:space="preserve">primary blocked</t>
  </si>
  <si>
    <t xml:space="preserve">W3-S46</t>
  </si>
  <si>
    <t xml:space="preserve">IOCL Faridabad &amp; Vadodara stations; 15-bus trials; Panipat 10 kTPA by Dec 2027; Air Products "first station"</t>
  </si>
  <si>
    <t xml:space="preserve">IOCL; Indian Chemical News; Air Products; VahanBazaar (unofficial)</t>
  </si>
  <si>
    <t xml:space="preserve">Green Drive: IOC plans hydrogen production units; Panipat green hydrogen unit on track for December 2027 completion; India's First Hydrogen Fuelling Station Inaugurated</t>
  </si>
  <si>
    <t xml:space="preserve">https://iocl.com/MediaDetails/59096 ; https://www.indianchemicalnews.com/interviews/panipat-green-hydrogen-unit-on-track-for-december-2027-completion-dr-alok-sharma-director-rd-iocl-551 ; https://investors.airproducts.com/news-releases/news-release-details/indias-first-hydrogen-fuelling-station-inaugurated</t>
  </si>
  <si>
    <t xml:space="preserve">Haryana; Gujarat</t>
  </si>
  <si>
    <t xml:space="preserve">operating (captive) / under construction</t>
  </si>
  <si>
    <t xml:space="preserve">dates &amp; pressures not verified</t>
  </si>
  <si>
    <t xml:space="preserve">W3-S47</t>
  </si>
  <si>
    <t xml:space="preserve">HCNG 50-bus Delhi trial (20 Oct 2020); 70% CO / 25% HC reduction; NOx same</t>
  </si>
  <si>
    <t xml:space="preserve">fuelcellsworks; Busworld; IOCL media; pv magazine India</t>
  </si>
  <si>
    <t xml:space="preserve">Shri Pradhan inaugurates H-CNG plant and launches trials in Delhi of 50 hydrogen-powered buses; Trial run of H-CNG powered city buses to begin in Delhi Oct 20; Hydrogen CNG, biogas: the many faces of new auto fuel</t>
  </si>
  <si>
    <t xml:space="preserve">https://fuelcellsworks.com/news/india-shri-pradhan-inaugurates-h-cng-plant-and-launches-trials-in-delhi-of-50-hydrogen-powered-buses ; https://news.busworld.org/article/11296/trial-run-of-hcng-powered-city-buses-to-begin-in-delhi-oct-20 ; https://www.iocl.com/MediaDetails/56688 ; https://www.pv-magazine-india.com/2020/10/21/pollution-hit-delhi-starts-hydrogen-enhanced-cng-trial-for-buses/</t>
  </si>
  <si>
    <t xml:space="preserve">% emissions</t>
  </si>
  <si>
    <t xml:space="preserve">pilot (IOCL-reported)</t>
  </si>
  <si>
    <t xml:space="preserve">formal report not found</t>
  </si>
  <si>
    <t xml:space="preserve">W3-S48</t>
  </si>
  <si>
    <t xml:space="preserve">Ashok Leyland–Reliance H2-ICE truck; launch in 18–24 months (Oct 2024)</t>
  </si>
  <si>
    <t xml:space="preserve">Business Standard; Rushlane</t>
  </si>
  <si>
    <t xml:space="preserve">Ashok Leyland to launch first H2-powered truck in the next 2 years; Ashok Leyland, Reliance Unveil India's First Hydrogen-ICE Powered Heavy Duty Truck</t>
  </si>
  <si>
    <t xml:space="preserve">https://www.business-standard.com/companies/news/ashok-leyland-to-launch-first-h2-powered-truck-in-the-next-2-years-124100700992_1.html ; https://www.rushlane.com/first-hydrogen-ice-powered-heavy-duty-truck-12460051.html</t>
  </si>
  <si>
    <t xml:space="preserve">prototype / announced</t>
  </si>
  <si>
    <t xml:space="preserve">launch not verified</t>
  </si>
  <si>
    <t xml:space="preserve">W3-S49</t>
  </si>
  <si>
    <t xml:space="preserve">Toyota Mirai–ICAT pilot, Mar 2022</t>
  </si>
  <si>
    <t xml:space="preserve">Autocar Professional; India TV</t>
  </si>
  <si>
    <t xml:space="preserve">Toyota Kirloskar, iCAT begin pilot project with Toyota Mirai; Nitin Gadkari drives India's first green hydrogen-powered car to Parliament</t>
  </si>
  <si>
    <t xml:space="preserve">https://www.autocarpro.in/news-national/toyota-kirloskar-icat-begin-pilot-project-with-toyota-mirai-81384 ; https://www.indiatvnews.com/news/india/nitin-gadkari-drives-green-hydrogen-powered-car-to-parliament-toyota-mirai-pics-2022-03-30-766664</t>
  </si>
  <si>
    <t xml:space="preserve">pilot</t>
  </si>
  <si>
    <t xml:space="preserve">W3-S50</t>
  </si>
  <si>
    <t xml:space="preserve">TVS hydrogen iQube; Bajaj exploring H2 2W/3W</t>
  </si>
  <si>
    <t xml:space="preserve">Autocar India</t>
  </si>
  <si>
    <t xml:space="preserve">TVS working on hydrogen powered scooter; Bajaj exploring hydrogen-powered two-wheelers under Chetak brand</t>
  </si>
  <si>
    <t xml:space="preserve">https://www.autocarindia.com/bike-news/hydrogen-powered-tvs-scooter-in-the-works-425268 ; https://www.autocarindia.com/bike-news/bajaj-exploring-hydrogen-powered-two-wheelers-under-chetak-brand-431355</t>
  </si>
  <si>
    <t xml:space="preserve">concept</t>
  </si>
  <si>
    <t xml:space="preserve">W3-S51</t>
  </si>
  <si>
    <t xml:space="preserve">Mirai sales US 499 (2024) / 210 (2025); global 1,702 (Jan–Nov 2024); cumulative 21,475 (Nov 2022); 2026 fuel credit</t>
  </si>
  <si>
    <t xml:space="preserve">GoodCarBadCar; CarFigures; CarBuzz; Wikipedia; Toyota.com</t>
  </si>
  <si>
    <t xml:space="preserve">Toyota Mirai Sales Figures; Toyota's Biggest Flop Of 2025…; Toyota Mirai (Wikipedia, "Markets and sales"); 2026 Toyota Mirai</t>
  </si>
  <si>
    <t xml:space="preserve">https://www.goodcarbadcar.net/toyota-mirai-sales-figures-usa-canada-monthly-yearly/ ; https://carfigures.com/us-market-brand/toyota/mirai ; https://carbuzz.com/toyotas-biggest-flop-2025-sold-fewer-than-1000/ ; https://en.wikipedia.org/wiki/Toyota_Mirai ; https://www.toyota.com/mirai/</t>
  </si>
  <si>
    <t xml:space="preserve">US; Japan; global</t>
  </si>
  <si>
    <t xml:space="preserve">2025 global total not found</t>
  </si>
  <si>
    <t xml:space="preserve">W3-S52</t>
  </si>
  <si>
    <t xml:space="preserve">Nexo gen-2 (Seoul 2025; Korea sales Jun 2025; 720 km); CR-V e:FCEV (~300/yr; 2,000 plan)</t>
  </si>
  <si>
    <t xml:space="preserve">electrive; TopElectricSUV; Honda News; Green Car Reports</t>
  </si>
  <si>
    <t xml:space="preserve">Next-gen Hyundai Nexo to debut in Q2 2025; First Look Review: Next-gen Hyundai Nexo; Honda Reveals 2025 Honda CR-V e:FCEV; First Drive: 2025 Honda CR-V e:FCEV</t>
  </si>
  <si>
    <t xml:space="preserve">https://www.electrive.com/2024/05/10/next-gen-hyundai-nexo-2025/ ; https://topelectricsuv.com/first-look-review/hyundai-nexo-next-gen/ ; https://hondanews.com/en-US/honda-automobiles/releases/honda-reveals-2025-honda-cr-v-efcev-americas-first-production-plug-in-hydrogen-fuel-cell-electric-vehicle ; https://www.greencarreports.com/news/1142702_2025-honda-cr-v-efcev-test-drive-review</t>
  </si>
  <si>
    <t xml:space="preserve">Korea; US</t>
  </si>
  <si>
    <t xml:space="preserve">units; km</t>
  </si>
  <si>
    <t xml:space="preserve">sales figures partial</t>
  </si>
  <si>
    <t xml:space="preserve">W3-S53</t>
  </si>
  <si>
    <t xml:space="preserve">Global FCEV sales +24.4% (2025); H1 2026 4,643 units (+13%); Europe 14</t>
  </si>
  <si>
    <t xml:space="preserve">electrive; SNE Research</t>
  </si>
  <si>
    <t xml:space="preserve">Global H₂ vehicle sales rise by nearly 25%; Global FCEV Sales Reach 4,643 Units in H1 2026, Up 13.0% YoY</t>
  </si>
  <si>
    <t xml:space="preserve">https://www.electrive.com/2026/02/23/global-h%E2%82%82-vehicle-sales-rise-by-nearly-25/ ; https://www.sneresearch.com/en/insight/release_view/707/page/0</t>
  </si>
  <si>
    <t xml:space="preserve">global</t>
  </si>
  <si>
    <t xml:space="preserve">observed (SNE)</t>
  </si>
  <si>
    <t xml:space="preserve">absolute 2025 total not seen</t>
  </si>
  <si>
    <t xml:space="preserve">W3-S54</t>
  </si>
  <si>
    <t xml:space="preserve">IEA GHR 2025: heavy trucks only fast-growing FCEV market; China ~95% FC CV stock; OMV closure; low-emissions H2 &lt;1%; ~1,160 HRS end-2024; country counts</t>
  </si>
  <si>
    <t xml:space="preserve">IEA; TÜV SÜD; Interact Analysis; IEA AFC TCP</t>
  </si>
  <si>
    <t xml:space="preserve">Global Hydrogen Review 2025 (Executive summary; PDF); Over 1,000 hydrogen refuelling stations in operation worldwide in 2024; 80% of global HRS in five countries</t>
  </si>
  <si>
    <t xml:space="preserve">https://www.iea.org/reports/global-hydrogen-review-2025/executive-summary ; https://iea.blob.core.windows.net/assets/12d92ecc-e960-40f3-aff5-b2de6690ab6b/GlobalHydrogenReview2025.pdf ; https://www.tuvsud.com/en/newsroom/press-releases/2025/february/over-1000-hydrogen-refuelling-stations-in-operation-worldwide-in-2024 ; https://interactanalysis.com/insight/80-of-global-hydrogen-refueling-stations-are-located-in-just-five-countries/</t>
  </si>
  <si>
    <t xml:space="preserve">stations; %</t>
  </si>
  <si>
    <t xml:space="preserve">IEA site blocked; FCEV stock number not retrieved; "72,193 FCEVs / 1,022 HRS" seen without year</t>
  </si>
  <si>
    <t xml:space="preserve">W3-S55</t>
  </si>
  <si>
    <t xml:space="preserve">Hydrogen HiAce pilot (CPB, 2024) results; 2025 hybrid trial</t>
  </si>
  <si>
    <t xml:space="preserve">Toyota Australia; CPB Contractors; Roads Australia; just-auto</t>
  </si>
  <si>
    <t xml:space="preserve">Toyota Unveils Hydrogen HiAce; CPB Contractors completes Australian-first Toyota hydrogen-fuelled vehicle pilot; Toyota to test hydrogen-electric hybrid vans in 2025</t>
  </si>
  <si>
    <t xml:space="preserve">https://www.toyota.com.au/discover/news/toyota-unveils-hydrogen-powertrain-technology-for-pilot-program-in-australia ; https://www.cpbcon.com.au/news-and-media/2024/cpb-contractors-completes-australian-first-toyota-hydrogen-fuelled-vehicle-pilot ; https://roads.org.au/cpb-contractors-completes-historic-hydrogen-vehicle-trial/ ; https://www.just-auto.com/news/toyota-to-begin-testing-hydrogen-electric-hybrid-vans-in-2025/</t>
  </si>
  <si>
    <t xml:space="preserve">2025 results not found</t>
  </si>
  <si>
    <t xml:space="preserve">W3-S56</t>
  </si>
  <si>
    <t xml:space="preserve">GR Corolla H2 (LH2) 2025 racing status</t>
  </si>
  <si>
    <t xml:space="preserve">Toyota Global Newsroom; Driving Hydrogen</t>
  </si>
  <si>
    <t xml:space="preserve">Pushing Hydrogen Engine Technology to New Heights in the Super Taikyu Series Final Race; Hydrogen-Powered GR Corolla… Fuji 24 Hours; Toyota's superconducting pump and liquid H2 take to the grid</t>
  </si>
  <si>
    <t xml:space="preserve">https://global.toyota/en/newsroom/corporate/43550115.html ; https://global.toyota/en/newsroom/corporate/44458612.html ; https://drivinghydrogen.com/2025/11/21/toyotas-superconducting-pump-and-liquid-h2-take-to-the-grid/</t>
  </si>
  <si>
    <t xml:space="preserve">development</t>
  </si>
  <si>
    <t xml:space="preserve">W3-S57</t>
  </si>
  <si>
    <t xml:space="preserve">HySE members; Dakar 2024 4th, 2025 2nd in class</t>
  </si>
  <si>
    <t xml:space="preserve">Global Suzuki; Toyota Times</t>
  </si>
  <si>
    <t xml:space="preserve">HySE to participate in the Dakar 2025 with the HySE-X2; HySE Buggy 2nd in Class at Dakar 2025</t>
  </si>
  <si>
    <t xml:space="preserve">https://www.globalsuzuki.com/globalnews/2024/1112.html ; https://toyotatimes.jp/en/spotlights/1082.html</t>
  </si>
  <si>
    <t xml:space="preserve">Japan/Saudi</t>
  </si>
  <si>
    <t xml:space="preserve">research</t>
  </si>
  <si>
    <t xml:space="preserve">W3-S58</t>
  </si>
  <si>
    <t xml:space="preserve">Burgman Hydrogen at JMS 2025; "not launching anytime soon"; Access CNG concept</t>
  </si>
  <si>
    <t xml:space="preserve">Global Suzuki; BikeWale; Team-BHP</t>
  </si>
  <si>
    <t xml:space="preserve">Hydrogen Engine Burgman — Japan Mobility Show 2025; Suzuki Burgman Hydrogen Showcased at JMS 2025; Suzuki Access CNG &amp; hydrogen Burgman showcased</t>
  </si>
  <si>
    <t xml:space="preserve">https://www.globalsuzuki.com/mobilityshow2025/burgman/ ; https://www.bikewale.com/news/suzuki-burgman-hydrogen-showcased-at-japan-mobility-show-2025/ ; https://www.team-bhp.com/forum/motorbikes/301240-suzuki-access-cng-hydrogen-powered-burgman-400-showcased-japan-mobility-show-2025-a.html</t>
  </si>
  <si>
    <t xml:space="preserve">70 MPa spec not restated</t>
  </si>
  <si>
    <t xml:space="preserve">W3-S59</t>
  </si>
  <si>
    <t xml:space="preserve">Cummins B6.7H production Mar 2025 (India, Tata); X15H 2027</t>
  </si>
  <si>
    <t xml:space="preserve">The Buzz EV News; Cummins; Truckinginfo; autonocion</t>
  </si>
  <si>
    <t xml:space="preserve">Cummins starts H2-ICE production at new India facility; Cummins X15 Off-Highway… Agritechnica; Cummins Debuts 15L Hydrogen Engine</t>
  </si>
  <si>
    <t xml:space="preserve">https://www.thebuzzevnews.com/cummins-h2-ice/ ; https://www.cummins.com/news/releases/2025/11/10/cummins-x15-highway-receives-powertrain-magazines-2026-alternative-engine ; https://www.truckinginfo.com/10170361/cummins-debuts-15l-hydrogen-engine</t>
  </si>
  <si>
    <t xml:space="preserve">India; US</t>
  </si>
  <si>
    <t xml:space="preserve">production (limited)</t>
  </si>
  <si>
    <t xml:space="preserve">X15H date secondary</t>
  </si>
  <si>
    <t xml:space="preserve">W3-S60</t>
  </si>
  <si>
    <t xml:space="preserve">JCB H2 engine EU type-approval (May 2025); 11 authorities (Jan 2025); 130+ engines</t>
  </si>
  <si>
    <t xml:space="preserve">JCB; Power Progress</t>
  </si>
  <si>
    <t xml:space="preserve">JCB secures full EU type-approval for hydrogen engine; Landmark start to 2025…; JCB receives type approval from 11 licensing authorities</t>
  </si>
  <si>
    <t xml:space="preserve">https://www.jcb.com/en-GB/explore/insight/news/2025/05/jcb-secures-full-eu-type-approval-for-pioneering-hydrogen-engine/ ; https://www.jcb.com/en-GB/explore/insight/news/2025/01/landmark-start-to-2025-as-jcbs-hydrogen-engine-approved-for-use/ ; https://www.powerprogress.com/news/jcb-receives-type-approval-from-11-licensing-authorities-for-h2-ice/8049767.article</t>
  </si>
  <si>
    <t xml:space="preserve">EU/UK</t>
  </si>
  <si>
    <t xml:space="preserve">engines</t>
  </si>
  <si>
    <t xml:space="preserve">approved / evaluation</t>
  </si>
  <si>
    <t xml:space="preserve">off-highway only</t>
  </si>
  <si>
    <t xml:space="preserve">W3-S61</t>
  </si>
  <si>
    <t xml:space="preserve">KEYOU conversions; Daimler H2-ICE 2027</t>
  </si>
  <si>
    <t xml:space="preserve">Daimler Truck; gasworld; Allison Transmission</t>
  </si>
  <si>
    <t xml:space="preserve">Daimler Truck Partners with KEYOU on Hydrogen Combustion Technology; Daimler hydrogen ICE truck to launch in 2027; KEYOU hands over first hydrogen 18-ton truck… to EP-Trans</t>
  </si>
  <si>
    <t xml:space="preserve">https://www.daimlertruck.com/en/newsroom/pressrelease/daimler-truck-partners-with-keyou-on-hydrogen-combustion-technology-53511488 ; https://www.gasworld.com/story/daimler-hydrogen-ice-truck-to-launch-in-2027-under-keyou-partnership/2252665.article/ ; https://www.allisontransmission.com/newsroom/article/2024/12/12/zero-emission-and-efficient---keyou-hands-over-first-hydrogen-18-ton-truck-with-allison-fully-automatic-transmission-to-ep-trans</t>
  </si>
  <si>
    <t xml:space="preserve">pioneer fleet / announced</t>
  </si>
  <si>
    <t xml:space="preserve">W3-S62</t>
  </si>
  <si>
    <t xml:space="preserve">MAN hTGX 200 units; Deutz TCG 7.8 H2; Westport H2 HPDI</t>
  </si>
  <si>
    <t xml:space="preserve">Hydrogen Insight; MAN; Deutz; IAA/trans.info</t>
  </si>
  <si>
    <t xml:space="preserve">MAN to produce limited series of 200 vehicles with H2 combustion engines; DEUTZ TCG 7.8 H2; Westport unveils H2 HPDI; Westport successfully demonstrates H2 HPDI</t>
  </si>
  <si>
    <t xml:space="preserve">https://www.hydrogeninsight.com/transport/hydrogen-sceptical-truck-maker-man-to-produce-limited-series-of-200-vehicles-with-h2-combustion-engines/2-1-1622908 ; https://press.mantruckandbus.com/corporate/man-expands-its-zero-emission-portfolio/ ; https://www.deutz.com/en/products/product-highlights/deutz-tcg-78-h2 ; https://trans.info/en/westport-successfully-demonstrates-h2-hpdi-fuel-system-374302</t>
  </si>
  <si>
    <t xml:space="preserve">units; kW</t>
  </si>
  <si>
    <t xml:space="preserve">limited series / prototype</t>
  </si>
  <si>
    <t xml:space="preserve">W3-S63</t>
  </si>
  <si>
    <t xml:space="preserve">ULEMCo conversions (Aberdeen 35 vehicles; ambulance; H2/HVO)</t>
  </si>
  <si>
    <t xml:space="preserve">Van Fleet World; ULEMCo; Autocar UK</t>
  </si>
  <si>
    <t xml:space="preserve">ULEMCo wins deal for largest fleet-wide hydrogen conversion to date; ULEMCo completes first hydrogen/HVO dual-fuel conversion; Ulemco reveals first hydrogen-fuelled ambulance</t>
  </si>
  <si>
    <t xml:space="preserve">https://vanfleetworld.co.uk/ulemco-wins-deal-for-largest-fleet-wide-hydrogen-conversion-to-date/ ; https://ulemco.com/ulemco-completes-first-hydrogen-hvo-dual-fuel-conversion/ ; https://www.autocar.co.uk/car-news/new-cars/ulemco-reveals-first-hydrogen-fuelled-ambulance</t>
  </si>
  <si>
    <t xml:space="preserve">commercial (small)</t>
  </si>
  <si>
    <t xml:space="preserve">prices NOT FOUND</t>
  </si>
  <si>
    <t xml:space="preserve">W3-S64</t>
  </si>
  <si>
    <t xml:space="preserve">Stellantis ends FC programme 16 Jul 2025; Symbio fallout</t>
  </si>
  <si>
    <t xml:space="preserve">Stellantis (blocked); Driving Hydrogen; US News/Reuters; Global Banking &amp; Finance</t>
  </si>
  <si>
    <t xml:space="preserve">Stellantis Discontinues Hydrogen Fuel Cell Technology Development Program; Stellantis halts hydrogen van plans…; Symbio cuts 70% of staff…; Stellantis to exit Symbio JV, faces €235 million cost</t>
  </si>
  <si>
    <t xml:space="preserve">https://www.stellantis.com/en/news/press-releases/2025/july/stellantis-discontinues-hydrogen-fuel-cell-technology-development-program ; https://drivinghydrogen.com/2025/07/16/stellantis-halts-hydrogen-van-plans-ends-fuel-cell-development-programme/ ; https://money.usnews.com/investing/news/articles/2025-07-16/stellantis-discontinues-hydrogen-fuel-cell-programme-and-van-production ; https://drivinghydrogen.com/2025/12/08/symbio-cuts-70-of-staff-as-stellantis-walks-away/</t>
  </si>
  <si>
    <t xml:space="preserve">decision (observed)</t>
  </si>
  <si>
    <t xml:space="preserve">W3-S65</t>
  </si>
  <si>
    <t xml:space="preserve">Shell closes 7 California LD stations (6 Feb 2024)</t>
  </si>
  <si>
    <t xml:space="preserve">S&amp;P Global; InsideEVs; Automotive News</t>
  </si>
  <si>
    <t xml:space="preserve">Shell permanently closes light-duty hydrogen fueling stations; Shell Is Immediately Closing All Of Its California Hydrogen Stations</t>
  </si>
  <si>
    <t xml:space="preserve">https://www.spglobal.com/energy/en/news-research/latest-news/electric-power/021224-shell-permanently-closes-light-duty-hydrogen-fueling-stations ; https://insideevs.com/news/708156/shell-closes-california-hydrogen-stations/ ; https://www.autonews.com/mobility-report/shell-closes-california-light-duty-hydrogen-fueling-stations/</t>
  </si>
  <si>
    <t xml:space="preserve">W3-S66</t>
  </si>
  <si>
    <t xml:space="preserve">H2 Mobility: 22 closures by mid-2025; 14 more 31 Dec 2025</t>
  </si>
  <si>
    <t xml:space="preserve">electrive; MobilityEnergy; H2.LIVE; CleanTechnica</t>
  </si>
  <si>
    <t xml:space="preserve">H2 Mobility to shut down 22 hydrogen fuel stations in Germany; Fourteen hydrogen filling stations in Germany to close this year; Network consolidation 700 bar</t>
  </si>
  <si>
    <t xml:space="preserve">https://www.electrive.com/2025/03/03/h2-mobility-to-shut-down-22-hydrogen-fuel-stations-in-germany/ ; https://www.mobilityenergy.com/en/industry/2025/11/17/fourteen-hydrogen-filling-stations-in-germany-to-close-this-year-focusing-on-forward-looking-locations/ ; https://h2.live/en/news/3815/</t>
  </si>
  <si>
    <t xml:space="preserve">W3-S67</t>
  </si>
  <si>
    <t xml:space="preserve">Honda Clarity ended Aug 2021; GM–Honda FCSM JV to end before end-2026</t>
  </si>
  <si>
    <t xml:space="preserve">InsideEVs; Automotive Manufacturing Solutions; Headlight.news</t>
  </si>
  <si>
    <t xml:space="preserve">Official: Honda Discontinues Clarity PHEV And Clarity Fuel Cell; Honda-GM fuel cell venture ends as EV priorities reshape</t>
  </si>
  <si>
    <t xml:space="preserve">https://insideevs.com/news/514412/honda-discontinues-clarity-phev-fcv/ ; https://www.automotivemanufacturingsolutions.com/electrification/hondagm-fuel-cell-venture-ends-as-ev-priorities-reshape/2591276 ; https://headlight.news/2025/02/24/honda-general-motors-continue-to-drift-apart-ending-fuel-cell-partnership/</t>
  </si>
  <si>
    <t xml:space="preserve">US/Japan</t>
  </si>
  <si>
    <t xml:space="preserve">W3-S68</t>
  </si>
  <si>
    <t xml:space="preserve">Suzuki Growth Strategy FY2030 (CNG/biogas/ethanol; ~70% CNG share); multi-pathway statements 2025</t>
  </si>
  <si>
    <t xml:space="preserve">Suzuki Motor Corp (globalsuzuki.com blocked; mirror suzuki.hu; Automotive World); Autocar Professional; S&amp;P Global Mobility</t>
  </si>
  <si>
    <t xml:space="preserve">Suzuki Announces Growth Strategy for FY2030; Suzuki backs multi-pathway route to carbon neutrality, says only BEVs not practical; India's multifuel path to automotive sustainability</t>
  </si>
  <si>
    <t xml:space="preserve">https://www.globalsuzuki.com/globalnews/2023/0126.html ; https://www.suzuki.hu/corporate/en/company/growth-strategy-2030/growth-strategy ; https://www.autocarpro.in/news/suzuki-backs-multi-pathway-route-to-carbon-neutrality-says-only-bevs-not-practical-129454 ; https://www.spglobal.com/automotive-insights/en/blogs/2025/11/indias-multifuel-path-to-automotive-sustainability</t>
  </si>
  <si>
    <t xml:space="preserve">Japan/India</t>
  </si>
  <si>
    <t xml:space="preserve">company strategy</t>
  </si>
  <si>
    <t xml:space="preserve">context only</t>
  </si>
  <si>
    <t xml:space="preserve">W3-S69</t>
  </si>
  <si>
    <t xml:space="preserve">SRDI established 28 Aug 2022; role; Banas Suzuki biogas plant 6 Dec 2025; 11 biogas plants</t>
  </si>
  <si>
    <t xml:space="preserve">Global Suzuki; SRDI site; MarketScreener; BioEnergy Times</t>
  </si>
  <si>
    <t xml:space="preserve">Suzuki establishes R&amp;D center in India; About Suzuki R&amp;D India; Suzuki holds the opening ceremony of Banas Suzuki Biogas Plant in India; Suzuki, Maruti Suzuki to add 11 biogas plants</t>
  </si>
  <si>
    <t xml:space="preserve">https://www.globalsuzuki.com/globalnews/2022/0828b.html ; https://www.suzukirndindia.com/about-us ; https://uk.marketscreener.com/news/suzuki-motor-december-9suzuki-holds-the-opening-ceremony-of-banas-suzuki-biogas-plant-in-india-ce7d51d2db8ff22d ; https://bioenergytimes.com/suzuki-maruti-suzuki-to-add-11-biogas-plants-using-cow-dung-farm-waste/</t>
  </si>
  <si>
    <t xml:space="preserve">company</t>
  </si>
  <si>
    <t xml:space="preserve">W3-S70</t>
  </si>
  <si>
    <t xml:space="preserve">Delhi draft EV Policy 2.0 proposed phasing out CNG autos; previous policy extended to 31 Mar 2025</t>
  </si>
  <si>
    <t xml:space="preserve">Deccan Herald</t>
  </si>
  <si>
    <t xml:space="preserve">Draft EV policy 2.0 recommends phasing out of CNG-driven autorickshaws in Delhi; Delhi electric vehicle policy extended till March 31, 2025</t>
  </si>
  <si>
    <t xml:space="preserve">https://www.deccanherald.com/amp/story/india%2Fdelhi%2Fdraft-ev-policy-20-recommends-phasing-out-of-cng-driven-autorickshaws-in-delhi-3482789 ; https://www.deccanherald.com/amp/story/india%2Fdelhi%2Fdelhi-electric-vehicle-policy-extended-till-march-31-2025-3295696</t>
  </si>
  <si>
    <t xml:space="preserve">draft / rule</t>
  </si>
  <si>
    <t xml:space="preserve">superseded by 2026 policy</t>
  </si>
  <si>
    <t xml:space="preserve">W3-S71</t>
  </si>
  <si>
    <t xml:space="preserve">Context: India's alternative-fuel shift "becoming a CNG story"</t>
  </si>
  <si>
    <t xml:space="preserve">Down To Earth</t>
  </si>
  <si>
    <t xml:space="preserve">India's CNG Dominance: A Step Towards Cleaner Transport or a Roadblock to Zero Emissions?</t>
  </si>
  <si>
    <t xml:space="preserve">https://www.downtoearth.org.in/energy/indias-transport-sectors-alternative-fuel-shift-is-becoming-a-cng-story-but-what-comes-next</t>
  </si>
  <si>
    <t xml:space="preserve">commentary</t>
  </si>
  <si>
    <t xml:space="preserve">W3-S72</t>
  </si>
  <si>
    <t xml:space="preserve">CNG kit prices ₹40–70k (sequential)</t>
  </si>
  <si>
    <t xml:space="preserve">Cars24; Spinny</t>
  </si>
  <si>
    <t xml:space="preserve">CNG Kit Price in India; CNG Kit in India: Price, Function, Conversion</t>
  </si>
  <si>
    <t xml:space="preserve">https://www.cars24.com/article/cng-kit-price-in-india/ ; https://www.spinny.com/blog/cng-kit-in-india-price-function-conversion/</t>
  </si>
  <si>
    <t xml:space="preserve">market guide</t>
  </si>
  <si>
    <t xml:space="preserve">vendor content</t>
  </si>
  <si>
    <t xml:space="preserve">W3-S73</t>
  </si>
  <si>
    <t xml:space="preserve">Creta Electric BaaS ₹10.99 lakh + ₹3.90/km</t>
  </si>
  <si>
    <t xml:space="preserve">Team-BHP / CarDekho</t>
  </si>
  <si>
    <t xml:space="preserve">Hyundai Creta Electric 2026</t>
  </si>
  <si>
    <t xml:space="preserve">https://www.team-bhp.com/new-cars/hyundai/creta-electric/</t>
  </si>
  <si>
    <t xml:space="preserve">W3-S74</t>
  </si>
  <si>
    <t xml:space="preserve">~85,000 taxis in Delhi (2022)</t>
  </si>
  <si>
    <t xml:space="preserve">Statista (summary only)</t>
  </si>
  <si>
    <t xml:space="preserve">Number of taxis in Delhi</t>
  </si>
  <si>
    <t xml:space="preserve">(URL not captured — search summary only)</t>
  </si>
  <si>
    <t xml:space="preserve">observed (secondary)</t>
  </si>
  <si>
    <t xml:space="preserve">unverified; low confidence</t>
  </si>
  <si>
    <t xml:space="preserve">W3-S76</t>
  </si>
  <si>
    <t xml:space="preserve">expert scepticism on 2030 gas targets</t>
  </si>
  <si>
    <t xml:space="preserve">IEEFA</t>
  </si>
  <si>
    <t xml:space="preserve">Is India's 2030 gas consumption target feasible?</t>
  </si>
  <si>
    <t xml:space="preserve">https://ieefa.org/resources/indias-2030-gas-consumption-target-feasible</t>
  </si>
  <si>
    <t xml:space="preserve">analysis</t>
  </si>
  <si>
    <t xml:space="preserve">title only seen</t>
  </si>
  <si>
    <t xml:space="preserve">W3-S77</t>
  </si>
  <si>
    <t xml:space="preserve">PNGRB 2030/2040 projections (CGD 87 mmscmd 2030 base case) and critique</t>
  </si>
  <si>
    <t xml:space="preserve">PNGRB press note; PSU Watch</t>
  </si>
  <si>
    <t xml:space="preserve">Natural Gas Projections 2030–40 (press note 7 Apr 2025); PNGRB projects a natural gas boom, but experts urge a sobering reality check</t>
  </si>
  <si>
    <t xml:space="preserve">https://pngrb.gov.in/pdf/press-note/20250407_NG_Projections2030_40.pdf ; https://psuwatch.com/newsupdates/pngrb-projects-a-natural-gas-boom-but-experts-urge-a-sobering-reality-check</t>
  </si>
  <si>
    <t xml:space="preserve">mmscmd</t>
  </si>
  <si>
    <t xml:space="preserve">W4-S1</t>
  </si>
  <si>
    <t xml:space="preserve">700-bar Type IV system $12.1–13.3/kWh (median 12.7, 2020$) at 100k/yr; carbon fibre dominant</t>
  </si>
  <si>
    <t xml:space="preserve">US DOE Hydrogen Program</t>
  </si>
  <si>
    <t xml:space="preserve">Record #24006 "Onboard Type IV Compressed Hydrogen Storage System—Cost and Performance Status"</t>
  </si>
  <si>
    <t xml:space="preserve">28 Apr 2025 / 2024 analysis</t>
  </si>
  <si>
    <t xml:space="preserve">Record summary (page not verified)</t>
  </si>
  <si>
    <t xml:space="preserve">USA (ANL/SA analysis)</t>
  </si>
  <si>
    <t xml:space="preserve">$/kWh (2020$)</t>
  </si>
  <si>
    <t xml:space="preserve">Host blocked; values from search summary; 10k &amp; 500k rows unread</t>
  </si>
  <si>
    <t xml:space="preserve">W4-S2</t>
  </si>
  <si>
    <t xml:space="preserve">$14.2 / 15.7 / 21.3 per kWh at 500k / 100k / 10k systems/yr (2016$)</t>
  </si>
  <si>
    <t xml:space="preserve">US DOE</t>
  </si>
  <si>
    <t xml:space="preserve">Record #19008 onboard storage cost &amp; performance status</t>
  </si>
  <si>
    <t xml:space="preserve">https://www.hydrogen.energy.gov/pdfs/19008_onboard_storage_cost_performance_status.pdf</t>
  </si>
  <si>
    <t xml:space="preserve">Record p.1 summary</t>
  </si>
  <si>
    <t xml:space="preserve">USA</t>
  </si>
  <si>
    <t xml:space="preserve">search summary</t>
  </si>
  <si>
    <t xml:space="preserve">W4-S3</t>
  </si>
  <si>
    <t xml:space="preserve">2013: 350-bar $15/kWh, 700-bar $19/kWh single tank (500k/yr); Record 13010 $16–20/kWh</t>
  </si>
  <si>
    <t xml:space="preserve">US DOE / Strategic Analysis</t>
  </si>
  <si>
    <t xml:space="preserve">Record #13010; "Hydrogen Storage Cost Analysis Final Public Report" (OSTI 1082754)</t>
  </si>
  <si>
    <t xml:space="preserve">https://www.hydrogen.energy.gov/docs/hydrogenprogramlibraries/pdfs/13010_onboard_storage_performance_cost.pdf ; https://digital.library.unt.edu/ark:/67531/metadc827980/m2/1/high_res_d/1082754.pdf</t>
  </si>
  <si>
    <t xml:space="preserve">11 Jun 2013 / 2013</t>
  </si>
  <si>
    <t xml:space="preserve">abstract/summary</t>
  </si>
  <si>
    <t xml:space="preserve">old dollar-year</t>
  </si>
  <si>
    <t xml:space="preserve">W4-S4</t>
  </si>
  <si>
    <t xml:space="preserve">DOE targets $10/9/8 per kWh = $333/300/266 per kg</t>
  </si>
  <si>
    <t xml:space="preserve">Technical Targets for Onboard Hydrogen Storage for LDVs</t>
  </si>
  <si>
    <t xml:space="preserve">https://www.energy.gov/cmei/fuels/doe-technical-targets-onboard-hydrogen-storage-light-duty-vehicles</t>
  </si>
  <si>
    <t xml:space="preserve">current page</t>
  </si>
  <si>
    <t xml:space="preserve">Storage system cost row</t>
  </si>
  <si>
    <t xml:space="preserve">$/kWh, $/kg</t>
  </si>
  <si>
    <t xml:space="preserve">target</t>
  </si>
  <si>
    <t xml:space="preserve">targets not costs</t>
  </si>
  <si>
    <t xml:space="preserve">W4-S5</t>
  </si>
  <si>
    <t xml:space="preserve">12% cost reduction 2013→2015; volumes 10k–500k/yr</t>
  </si>
  <si>
    <t xml:space="preserve">US DOE FCTO</t>
  </si>
  <si>
    <t xml:space="preserve">Webinar: Onboard Type IV compressed H2 storage system cost</t>
  </si>
  <si>
    <t xml:space="preserve">https://www.energy.gov/sites/prod/files/2016/03/f30/fcto_webinarslides_compressed_h2_storage_system_cost_022516.pdf</t>
  </si>
  <si>
    <t xml:space="preserve">25 Feb 2016</t>
  </si>
  <si>
    <t xml:space="preserve">slide 8</t>
  </si>
  <si>
    <t xml:space="preserve">snippet</t>
  </si>
  <si>
    <t xml:space="preserve">W4-S6</t>
  </si>
  <si>
    <t xml:space="preserve">Compressed-gas storage USD 400–700 per kg H2 (Cerri et al.)</t>
  </si>
  <si>
    <t xml:space="preserve">MDPI Energies 16(13):5233</t>
  </si>
  <si>
    <t xml:space="preserve">A Review on the Cost Analysis of Hydrogen Gas Storage Tanks for Fuel Cell Vehicles</t>
  </si>
  <si>
    <t xml:space="preserve">https://www.mdpi.com/1996-1073/16/13/5233</t>
  </si>
  <si>
    <t xml:space="preserve">Table citing Cerri et al. [33]</t>
  </si>
  <si>
    <t xml:space="preserve">USD/kg H2</t>
  </si>
  <si>
    <t xml:space="preserve">literature</t>
  </si>
  <si>
    <t xml:space="preserve">secondary citation</t>
  </si>
  <si>
    <t xml:space="preserve">W4-S7</t>
  </si>
  <si>
    <t xml:space="preserve">Type IV 700-bar tanks ~$700–1,200 per kg capacity</t>
  </si>
  <si>
    <t xml:space="preserve">Dataintelo (market report)</t>
  </si>
  <si>
    <t xml:space="preserve">Cryo-Compressed Hydrogen Storage Market</t>
  </si>
  <si>
    <t xml:space="preserve">https://dataintelo.com/report/cryo-compressed-hydrogen-storage-market</t>
  </si>
  <si>
    <t xml:space="preserve">Opportunities &amp; threats</t>
  </si>
  <si>
    <t xml:space="preserve">estimate</t>
  </si>
  <si>
    <t xml:space="preserve">low-grade commercial source</t>
  </si>
  <si>
    <t xml:space="preserve">W4-S8</t>
  </si>
  <si>
    <t xml:space="preserve">Time Technoplast PESO approvals (Mar/Jun 2024), 250 L, BV cert, ₹2.30 crore trial order, ₹555 crore 9MFY26</t>
  </si>
  <si>
    <t xml:space="preserve">Business Standard; Autocar Professional; Time Technoplast press release; Scanx</t>
  </si>
  <si>
    <t xml:space="preserve">multiple</t>
  </si>
  <si>
    <t xml:space="preserve">https://www.business-standard.com/markets/capital-market-news/time-technoplast-gets-final-approval-from-peso-for-manufacturing-composite-cylinders-124062100121_1.html ; https://www.autocarpro.in/news/time-technoplast-secures-international-certification-for-hydrogen-composite-cylinder-126444 ; https://www.timetechnoplast.com/pdf/investors-calendar/press-release/approval-for-manufacturing-of-type-iv-composite-cylinders-for-hydrogen.pdf</t>
  </si>
  <si>
    <t xml:space="preserve">2024–2026</t>
  </si>
  <si>
    <t xml:space="preserve">news</t>
  </si>
  <si>
    <t xml:space="preserve">no unit prices</t>
  </si>
  <si>
    <t xml:space="preserve">W4-S10</t>
  </si>
  <si>
    <t xml:space="preserve">Bosch H2 PFI "suitable for retrofitting existing fleets"</t>
  </si>
  <si>
    <t xml:space="preserve">current</t>
  </si>
  <si>
    <t xml:space="preserve">product page</t>
  </si>
  <si>
    <t xml:space="preserve">no price</t>
  </si>
  <si>
    <t xml:space="preserve">W4-S11</t>
  </si>
  <si>
    <t xml:space="preserve">CNG kit prices ₹45–65k (BS6 OBD-II incl. install), Lovato ₹31,999–58,000, Landi Renzo ₹32,000, install ₹3–7k, RTO ₹2–3k</t>
  </si>
  <si>
    <t xml:space="preserve">mycarhelpline; Cars24; IndiaMART; Autonexa; IOAGPL</t>
  </si>
  <si>
    <t xml:space="preserve">Best CNG kit brands 2026; CNG kit price in India; listings</t>
  </si>
  <si>
    <t xml:space="preserve">https://www.mycarhelpline.com/index.php?option=com_easyblog&amp;view=entry&amp;id=557&amp;Itemid=91 ; https://www.cars24.com/article/cng-kit-price-in-india/ ; https://www.indiamart.com/proddetail/landirenzo-cng-kit-23070488673.html ; https://autonexa.com/cng-fitting-cost-in-india-complete-guide-price-break-down-kits-and-savings ; https://ioagpl.com/cng-kit-price/</t>
  </si>
  <si>
    <t xml:space="preserve">2025–2026</t>
  </si>
  <si>
    <t xml:space="preserve">retail/trade listings</t>
  </si>
  <si>
    <t xml:space="preserve">listings vary by city</t>
  </si>
  <si>
    <t xml:space="preserve">W4-S12</t>
  </si>
  <si>
    <t xml:space="preserve">ARAI retrofit approval under Rule 115; "full approval in 45* days"; fee schedule not public; Scribd cost-breakdown doc exists; ₹15–25 lakh homologation anecdote</t>
  </si>
  <si>
    <t xml:space="preserve">ARAI; Scribd; Quora</t>
  </si>
  <si>
    <t xml:space="preserve">Retrofitment certification; Vehicle type approval; "Retrofitment Kit Approval"</t>
  </si>
  <si>
    <t xml:space="preserve">https://www.araiindia.com/certification/certification/retrofitment ; https://www.araiindia.com/certification/certification/vehicle ; https://www.scribd.com/document/975757543/Retrofitment-Kit-Approval-1</t>
  </si>
  <si>
    <t xml:space="preserve">pages</t>
  </si>
  <si>
    <t xml:space="preserve">observed / anecdote</t>
  </si>
  <si>
    <t xml:space="preserve">fees NOT FOUND</t>
  </si>
  <si>
    <t xml:space="preserve">W4-S13</t>
  </si>
  <si>
    <t xml:space="preserve">PFI gasoline conversion needs injectors + plugs; DI needs ignition/injection; custom pistons</t>
  </si>
  <si>
    <t xml:space="preserve">Ultimate Cell UK; OSTI 1008335 (NETL small H2 engine)</t>
  </si>
  <si>
    <t xml:space="preserve">trade guides</t>
  </si>
  <si>
    <t xml:space="preserve">https://ultimatecelldistributors.co.uk/insights/hydrogen-retrofit-for-diesel-petrol-engines/ ; https://www.osti.gov/servlets/purl/1008335</t>
  </si>
  <si>
    <t xml:space="preserve">2020s / 2011</t>
  </si>
  <si>
    <t xml:space="preserve">UK/US</t>
  </si>
  <si>
    <t xml:space="preserve">qualitative</t>
  </si>
  <si>
    <t xml:space="preserve">low grade</t>
  </si>
  <si>
    <t xml:space="preserve">W4-S14</t>
  </si>
  <si>
    <t xml:space="preserve">HORIBA H2-ICE test bed Pune, ₹28–30 crore, ≤380 kW, Dec 2024</t>
  </si>
  <si>
    <t xml:space="preserve">HORIBA; Autocar Professional</t>
  </si>
  <si>
    <t xml:space="preserve">HORIBA inaugurates first H2-ICE test bed facility in India</t>
  </si>
  <si>
    <t xml:space="preserve">https://www.horiba.com/int/mobility/news/detail/news/12/2024/20241210/ ; https://www.autocarpro.in/news/horiba-opens-hydrogen-internal-combustion-engine-test-bed-facility-in-pune-123903</t>
  </si>
  <si>
    <t xml:space="preserve">10 Dec 2024</t>
  </si>
  <si>
    <t xml:space="preserve">press release</t>
  </si>
  <si>
    <t xml:space="preserve">W4-S15</t>
  </si>
  <si>
    <t xml:space="preserve">ARAI ₹500 crore H2-ICE test infra (from 2025); Takwe cylinder test facility; ₹100 crore labs</t>
  </si>
  <si>
    <t xml:space="preserve">Autocar Professional; Pune.news; Telematics Wire</t>
  </si>
  <si>
    <t xml:space="preserve">ARAI to invest Rs 500 crore…; ARAI to establish hydrogen cylinder testing facility</t>
  </si>
  <si>
    <t xml:space="preserve">https://www.autocarpro.in/news/arai-to-invest-rs-500-crore-to-enhance-infra-h2ice-testing-likely-from-2025-120865 ; https://www.autocarpro.in/news/arai-to-establish-a-hydrogen-cylinder-testing-facility-at-greenfield-takwe-near-pune-115086</t>
  </si>
  <si>
    <t xml:space="preserve">2023–2024</t>
  </si>
  <si>
    <t xml:space="preserve">plans, not completions</t>
  </si>
  <si>
    <t xml:space="preserve">CNG Delhi ₹86.98/kg</t>
  </si>
  <si>
    <t xml:space="preserve">Goodreturns; CarDekho</t>
  </si>
  <si>
    <t xml:space="preserve">CNG price in New Delhi today</t>
  </si>
  <si>
    <t xml:space="preserve">https://www.goodreturns.in/cng-price-in-new-delhi.html ; https://www.cardekho.com/cng-price-in-delhi-state</t>
  </si>
  <si>
    <t xml:space="preserve">14 Sep 2026</t>
  </si>
  <si>
    <t xml:space="preserve">price page</t>
  </si>
  <si>
    <t xml:space="preserve">IGL site blocked</t>
  </si>
  <si>
    <t xml:space="preserve">W4-S17</t>
  </si>
  <si>
    <t xml:space="preserve">MGL CNG ₹88/kg from 1 Sep 2026 (+₹2), PNG ₹53; spot RLNG cited</t>
  </si>
  <si>
    <t xml:space="preserve">BusinessToday; IndianPSU; Goodreturns</t>
  </si>
  <si>
    <t xml:space="preserve">MGL hikes CNG, PNG prices in Mumbai from September 1</t>
  </si>
  <si>
    <t xml:space="preserve">https://www.businesstoday.in/latest/story/mgl-hikes-cng-png-prices-in-mumbai-from-september-1-check-revised-rates-552419-2026-08-31 ; https://indianpsu.com/mgl-cng-price-hike-mumbai-88-september-2026/ ; https://www.goodreturns.in/cng-price-in-mumbai.html</t>
  </si>
  <si>
    <t xml:space="preserve">31 Aug–14 Sep 2026</t>
  </si>
  <si>
    <t xml:space="preserve">Mumbai</t>
  </si>
  <si>
    <t xml:space="preserve">W4-S18</t>
  </si>
  <si>
    <t xml:space="preserve">Ahmedabad CNG ₹94.02 (7 Sep 2026); ₹86.02 (16 May 2026); ₹83.77 (3 Apr 2026)</t>
  </si>
  <si>
    <t xml:space="preserve">Goodreturns; DeshGujarat; Vibes of India</t>
  </si>
  <si>
    <t xml:space="preserve">CNG price in Ahmedabad; Adani CNG hikes</t>
  </si>
  <si>
    <t xml:space="preserve">https://www.goodreturns.in/cng-price-in-ahmedabad.html ; https://deshgujarat.com/2026/05/16/adani-gas-imposes-another-price-hike-cng-rate-in-ahmedabad-now-at-rs-86-02-per-kg/ ; https://deshgujarat.com/2026/04/03/adani-cng-price-hiked-by-%E2%82%B91-50-rate-reaches-%E2%82%B983-77-amid-global-gas-crisis/</t>
  </si>
  <si>
    <t xml:space="preserve">news/price page</t>
  </si>
  <si>
    <t xml:space="preserve">Petrol Delhi ₹102.12/L (25 May 2026), crude basket $113–114; aggregator ₹111.21 (14 Sep 2026); Ahmedabad ₹102.15 vs ₹94.59 conflict</t>
  </si>
  <si>
    <t xml:space="preserve">Univest; PingTV; CarDekho; Goodreturns; DriveSpark; Business Standard</t>
  </si>
  <si>
    <t xml:space="preserve">Petrol price hike to Rs 100 in Delhi…; petrol price pages</t>
  </si>
  <si>
    <t xml:space="preserve">https://univest.in/blogs/petrol-price-hike-crosses-100-delhi-fourth-hike-10-days-may-2026 ; https://www.pingtvindia.com/fuel-price-hike-india-petrol-price-delhi-crossed-100/ ; https://www.cardekho.com/petrol-price ; https://www.goodreturns.in/petrol-price-in-ahmedabad.html ; https://www.drivespark.com/petrol-price-in-ahmedabad/</t>
  </si>
  <si>
    <t xml:space="preserve">May–Sep 2026</t>
  </si>
  <si>
    <t xml:space="preserve">news/price pages</t>
  </si>
  <si>
    <t xml:space="preserve">Delhi/Ahmedabad</t>
  </si>
  <si>
    <t xml:space="preserve">₹/L</t>
  </si>
  <si>
    <t xml:space="preserve">Sep figures unverified vs IOCL</t>
  </si>
  <si>
    <t xml:space="preserve">W4-S20</t>
  </si>
  <si>
    <t xml:space="preserve">DERC EV tariff ₹4.50/kWh LT, ₹4.00/kVAh HT, zero fixed; domestic ₹3–8; DERC 1 Jul 2026 upstream-cost order</t>
  </si>
  <si>
    <t xml:space="preserve">thediscombill; bridgewaypower; easyEVplug; Energetica India; MeraEV</t>
  </si>
  <si>
    <t xml:space="preserve">Delhi electricity tariff 2025-26; DERC directs…</t>
  </si>
  <si>
    <t xml:space="preserve">https://thediscombill.com/tariffs/delhi/ ; https://www.easyevplug.com/ev-charger-installation-delhi ; https://energetica-india.net/news/derc-directs-full-upstream-ev-charging-infra-costs-to-be-included-in-demand-notes-under-pm-e-drive</t>
  </si>
  <si>
    <t xml:space="preserve">tariff summaries</t>
  </si>
  <si>
    <t xml:space="preserve">W4-S21</t>
  </si>
  <si>
    <t xml:space="preserve">Public DC fast charging ₹16–24/kWh; Tata Power ₹17; ChargeZone ₹20–25; Statiq ₹15–22</t>
  </si>
  <si>
    <t xml:space="preserve">Pulse Energy; searchev.co; MeraEV; GreenTax</t>
  </si>
  <si>
    <t xml:space="preserve">EV charging rates in India 2026</t>
  </si>
  <si>
    <t xml:space="preserve">https://pulseenergy.io/blog/ev-charging-rates ; https://searchev.co/cost-for-charging-electric-cars/ ; https://www.meraev.com/blog/ev-charging-stations-india-types-costs-guide</t>
  </si>
  <si>
    <t xml:space="preserve">guides</t>
  </si>
  <si>
    <t xml:space="preserve">operator tariffs vary by state</t>
  </si>
  <si>
    <t xml:space="preserve">CEEW TCO: charging tariffs; H2 production/dispensing/delivered cost 2030–2050; taxi/4W findings; H2 bus competitiveness; maintenance Table 5; 3W/2W ₹/km</t>
  </si>
  <si>
    <t xml:space="preserve">What Drives Vehicle Ownership Costs in India? / Cost of Ownership for India's Road Transport Sector</t>
  </si>
  <si>
    <t xml:space="preserve">https://www.ceew.in/publications/cost-of-ownership-for-road-transport-sector-for-different-vehicle-segments-fuels-and-powertrains ; https://www.ceew.in/sites/default/files/cost-of-ownership-for-different-vehicle-segments-fuels-and-powertrains.pdf</t>
  </si>
  <si>
    <t xml:space="preserve">Jun–Jul 2025 / 2024 base</t>
  </si>
  <si>
    <t xml:space="preserve">Exec summary; Fuel costs; Green hydrogen; Maintenance; Results §4 (verbatim extracts)</t>
  </si>
  <si>
    <t xml:space="preserve">India, 14 states</t>
  </si>
  <si>
    <t xml:space="preserve">USD/kg, ₹/kWh, ₹/km</t>
  </si>
  <si>
    <t xml:space="preserve">Tables 3 &amp; 5 values not readable</t>
  </si>
  <si>
    <t xml:space="preserve">W4-S23</t>
  </si>
  <si>
    <t xml:space="preserve">ADAC charging losses AC 5–10% (wallbox), 24–30% (socket), DC 5–15%</t>
  </si>
  <si>
    <t xml:space="preserve">Zecar; InsideEVs; TheNextWeb; vision-mobility (reporting ADAC)</t>
  </si>
  <si>
    <t xml:space="preserve">EV charging losses up to 24%…; How efficient is each type of EV charger</t>
  </si>
  <si>
    <t xml:space="preserve">https://zecar.com/reviews/ev-charging-losses-adac-study ; https://insideevs.com/features/711659/ev-charger-efficiency-losses/ ; https://vision-mobility.de/en/news/adac-analysis-less-energy-is-lost-at-fast-chargers-384109.html</t>
  </si>
  <si>
    <t xml:space="preserve">2022–2024</t>
  </si>
  <si>
    <t xml:space="preserve">test summaries</t>
  </si>
  <si>
    <t xml:space="preserve">measured</t>
  </si>
  <si>
    <t xml:space="preserve">ADAC report not opened</t>
  </si>
  <si>
    <t xml:space="preserve">W4-S24</t>
  </si>
  <si>
    <t xml:space="preserve">GST: CNG small cars &amp; parts 28%→18% (Sep 2025); CNG-tank classification dispute 18% vs 28%</t>
  </si>
  <si>
    <t xml:space="preserve">EY; TaxO; SAG Infotech</t>
  </si>
  <si>
    <t xml:space="preserve">GST Council announces major rate rationalization (4 Sep 2025); GST notices to CNG kit providers</t>
  </si>
  <si>
    <t xml:space="preserve">https://www.ey.com/content/dam/ey-unified-site/ey-com/en-in/alerts-hub/2025/09/gst-council-announces-major-rate-rationalization-and-trade-facilitation-measures.pdf ; https://taxo.online/latest-news/28-12-2024-gst-notices-sent-to-over-a-dozen-cng-kit-providers/</t>
  </si>
  <si>
    <t xml:space="preserve">Sep 2025; Dec 2024</t>
  </si>
  <si>
    <t xml:space="preserve">alert; news</t>
  </si>
  <si>
    <t xml:space="preserve">kit rate unresolved</t>
  </si>
  <si>
    <t xml:space="preserve">Delhi EV Policy 2026: notified 30 Jun 2026, in force 1 Jul 2026–31 Mar 2030; 100% road tax &amp; registration waiver BEV ≤₹30 lakh; hybrids excluded</t>
  </si>
  <si>
    <t xml:space="preserve">EV Infrastructure News; Akashvani News; Coverfox; MeraEV</t>
  </si>
  <si>
    <t xml:space="preserve">Delhi notifies EV Policy 2026…</t>
  </si>
  <si>
    <t xml:space="preserve">https://www.evinfrastructurenews.com/ev-policies/delhi-notifies-ev-policy-2026-with-tax-exemptions-for-ev ; https://newsonair.gov.in/electric-cars-priced-upto-30-lakh-rupees-and-registered-in-delhi-to-be-granted-100-exemption-on-road-tax/</t>
  </si>
  <si>
    <t xml:space="preserve">Jun–Jul 2026</t>
  </si>
  <si>
    <t xml:space="preserve">W4-S26</t>
  </si>
  <si>
    <t xml:space="preserve">Tata 8 yr/160,000 km (Tiago.ev, Punch.ev, Curvv.ev, Nexon.ev 45), lifetime first owner; MG ZS EV 8 yr/150,000 km; Windsor/Comet lifetime</t>
  </si>
  <si>
    <t xml:space="preserve">Tata.ev; Cars24 news; ev.care</t>
  </si>
  <si>
    <t xml:space="preserve">Tata EV warranty; MG ZS EV warranty explained</t>
  </si>
  <si>
    <t xml:space="preserve">https://ev.tata.cars/service/warranty.html ; https://www.cars24.com/news/auto/tata-nexon-ev-lifetime-battery-warranty-details-revealed/ ; https://ev.care/blog/mg-zs-ev-warranty-guide</t>
  </si>
  <si>
    <t xml:space="preserve">warranty pages</t>
  </si>
  <si>
    <t xml:space="preserve">W4-S27</t>
  </si>
  <si>
    <t xml:space="preserve">Geotab degradation 1.8%/yr (2024) → 2.3%/yr (2025 update); &gt;90% after 160,000 km</t>
  </si>
  <si>
    <t xml:space="preserve">Geotab</t>
  </si>
  <si>
    <t xml:space="preserve">EV battery health study; 2024 battery degradation update</t>
  </si>
  <si>
    <t xml:space="preserve">https://www.geotab.com/blog/ev-battery-health/ ; https://www.geotab.com/uk/press-release/2024-battery-degradation/</t>
  </si>
  <si>
    <t xml:space="preserve">2024–2025</t>
  </si>
  <si>
    <t xml:space="preserve">blog/press</t>
  </si>
  <si>
    <t xml:space="preserve">global fleets</t>
  </si>
  <si>
    <t xml:space="preserve">%/yr</t>
  </si>
  <si>
    <t xml:space="preserve">fleet mix not Indian</t>
  </si>
  <si>
    <t xml:space="preserve">Used Dzire CNG 2022 ₹6.09 lakh (56k km); True Value 2022 ₹6.40 lakh / 2024 ₹7.40 lakh; new Tour S CNG ₹7.09 lakh; on-road ₹6.24–8.51 lakh</t>
  </si>
  <si>
    <t xml:space="preserve">Cars24; Maruti True Value; Cars24 new cars; CarDekho</t>
  </si>
  <si>
    <t xml:space="preserve">listings</t>
  </si>
  <si>
    <t xml:space="preserve">https://www.cars24.com/buy-used-maruti-dzire-cars-new-delhi/ ; https://www.marutisuzukitruevalue.com/used-dzire ; https://www.cars24.com/new-cars/maruti-suzuki/dzire-tour/ ; https://www.cardekho.com/maruti/dzire-tour-s/price-in-new-delhi</t>
  </si>
  <si>
    <t xml:space="preserve">Sep 2026</t>
  </si>
  <si>
    <t xml:space="preserve">observed (asking prices)</t>
  </si>
  <si>
    <t xml:space="preserve">not taxi-registered cars</t>
  </si>
  <si>
    <t xml:space="preserve">NBFC rates: Shriram from 10%; taxi 9–15%; Chola 9.35–17.35% used car, 10–21% CV; NBFC 13–18%</t>
  </si>
  <si>
    <t xml:space="preserve">Shriram Finance; upniva (Cholamandalam); Asymmetrica/calcwise</t>
  </si>
  <si>
    <t xml:space="preserve">rate pages</t>
  </si>
  <si>
    <t xml:space="preserve">https://www.shriramfinance.in/articles/used-car-loan/2025/understanding-used-car-loan-interest-rates-for-taxi-drivers ; https://upniva.com/loans/cholamandalam-used-car-loan ; https://asymmetrica.in/calculators/car-loan-rates/</t>
  </si>
  <si>
    <t xml:space="preserve">% p.a.</t>
  </si>
  <si>
    <t xml:space="preserve">indicative</t>
  </si>
  <si>
    <t xml:space="preserve">Taxi 70,000 km/yr; car 11,500; bus 75,000 (Table A.3)</t>
  </si>
  <si>
    <t xml:space="preserve">NITI Aayog</t>
  </si>
  <si>
    <t xml:space="preserve">Scenarios Towards Viksit Bharat and Net Zero — Sectoral Insights: Transport</t>
  </si>
  <si>
    <t xml:space="preserve">https://www.niti.gov.in/sites/default/files/2026-02/Scenarios-Towards-Viksit-Bharat-and-Net-Zero-Sectoral-Insights-Transport.pdf</t>
  </si>
  <si>
    <t xml:space="preserve">Feb 2026</t>
  </si>
  <si>
    <t xml:space="preserve">Annex Table A.3 (verbatim)</t>
  </si>
  <si>
    <t xml:space="preserve">km/yr</t>
  </si>
  <si>
    <t xml:space="preserve">modelling assumption</t>
  </si>
  <si>
    <t xml:space="preserve">W4-S31</t>
  </si>
  <si>
    <t xml:space="preserve">ICCT ride-hailing TCO ₹7.6/km; −34% Delhi / −20% Hyderabad with incentives; ₹60,000 bulk discount</t>
  </si>
  <si>
    <t xml:space="preserve">Updated analysis of incentives for electrifying India's four-wheeler ride-hailing fleet</t>
  </si>
  <si>
    <t xml:space="preserve">https://theicct.org/wp-content/uploads/2021/06/update-electrifying-india-ride-hailing-fleet-apr2021.pdf</t>
  </si>
  <si>
    <t xml:space="preserve">Apr 2021</t>
  </si>
  <si>
    <t xml:space="preserve">working paper (snippets)</t>
  </si>
  <si>
    <t xml:space="preserve">Delhi, Hyderabad, Bengaluru</t>
  </si>
  <si>
    <t xml:space="preserve">daily-km assumption not extracted</t>
  </si>
  <si>
    <t xml:space="preserve">W4-S32</t>
  </si>
  <si>
    <t xml:space="preserve">Driver anecdotes ~300 km/day incl. empty running</t>
  </si>
  <si>
    <t xml:space="preserve">Quora</t>
  </si>
  <si>
    <t xml:space="preserve">https://www.quora.com/How-many-kilometers-on-average-do-Ola-or-Uber-cab-drivers-drive-in-a-single-day</t>
  </si>
  <si>
    <t xml:space="preserve">W4-S33</t>
  </si>
  <si>
    <t xml:space="preserve">Green H2 USD 3.5–5/kg (industry); breakeven &lt;USD 2; USD 1.8/kg policy levers</t>
  </si>
  <si>
    <t xml:space="preserve">How can India Boost Investment for Domestic Green Hydrogen?</t>
  </si>
  <si>
    <t xml:space="preserve">https://www.ceew.in/publications/how-can-indian-policymakers-boost-investments-for-domestic-green-hydrogen-financing</t>
  </si>
  <si>
    <t xml:space="preserve">Challenge 1 (verbatim)</t>
  </si>
  <si>
    <t xml:space="preserve">USD/kg</t>
  </si>
  <si>
    <t xml:space="preserve">W4-S34</t>
  </si>
  <si>
    <t xml:space="preserve">₹397–560/kg ($4.6–6.7/kg), 2–3× grey</t>
  </si>
  <si>
    <t xml:space="preserve">GH2 India</t>
  </si>
  <si>
    <t xml:space="preserve">India's Green Molecules Moment: ACME's new deals…</t>
  </si>
  <si>
    <t xml:space="preserve">https://www.gh2.org.in/indias-green-molecules-moment-acmes-new-deals-show-the-market-is-finally-moving-from-announcements-to-offtake</t>
  </si>
  <si>
    <t xml:space="preserve">article (verbatim)</t>
  </si>
  <si>
    <t xml:space="preserve">advocacy body</t>
  </si>
  <si>
    <t xml:space="preserve">W4-S36</t>
  </si>
  <si>
    <t xml:space="preserve">Green H2 $4–7/kg today; $1.60 (2030), $0.70 (2050) best case; $1.4/kg most aggressive; $1/kg goal</t>
  </si>
  <si>
    <t xml:space="preserve">NITI Aayog &amp; RMI</t>
  </si>
  <si>
    <t xml:space="preserve">Harnessing Green Hydrogen</t>
  </si>
  <si>
    <t xml:space="preserve">https://www.niti.gov.in/sites/default/files/2022-06/Harnessing_Green_Hydrogen_V21_DIGITAL_29062022.pdf ; https://www.pib.gov.in/PressReleasePage.aspx?PRID=1838104</t>
  </si>
  <si>
    <t xml:space="preserve">29 Jun 2022</t>
  </si>
  <si>
    <t xml:space="preserve">cost chapter (summary)</t>
  </si>
  <si>
    <t xml:space="preserve">modelled/target</t>
  </si>
  <si>
    <t xml:space="preserve">W4-S37</t>
  </si>
  <si>
    <t xml:space="preserve">At-pump green H2 ~$5/kg (₹350) mid, $3.5 (₹245) optimistic (2050)</t>
  </si>
  <si>
    <t xml:space="preserve">ICCT; EurekAlert</t>
  </si>
  <si>
    <t xml:space="preserve">Hydrogen fuel for transport in India</t>
  </si>
  <si>
    <t xml:space="preserve">https://theicct.org/publication/india-fuel-hydrogen-cost-jan22/ ; https://www.eurekalert.org/news-releases/941197</t>
  </si>
  <si>
    <t xml:space="preserve">Jan 2022</t>
  </si>
  <si>
    <t xml:space="preserve">summary</t>
  </si>
  <si>
    <t xml:space="preserve">year attribution uncertain</t>
  </si>
  <si>
    <t xml:space="preserve">W4-S38</t>
  </si>
  <si>
    <t xml:space="preserve">Green ammonia auctions ₹55.75 (first), ₹49.75 lowest, ₹53.27 weighted avg, 724,000 t/yr; ₹54.73 8th; ₹52.50 Onix</t>
  </si>
  <si>
    <t xml:space="preserve">PIB; pv magazine India; S&amp;P Global; ACME; Fuel Cells Works</t>
  </si>
  <si>
    <t xml:space="preserve">SECI first green ammonia auction…; Green ammonia only 10% costlier…; Low-priced Indian renewable ammonia auctions</t>
  </si>
  <si>
    <t xml:space="preserve">https://www.pib.gov.in/PressReleasePage.aspx?PRID=2153006 ; https://www.pv-magazine-india.com/2025/08/28/green-ammonia-is-only-10-costlier-than-grey-in-the-latest-sight-mode-2a-auctions/ ; https://www.spglobal.com/commodity-insights/en/news-research/latest-news/energy-transition/090425-low-priced-indian-renewable-ammonia-auctions-a-meaningful-signal-h2global</t>
  </si>
  <si>
    <t xml:space="preserve">Jul–Sep 2025</t>
  </si>
  <si>
    <t xml:space="preserve">₹/kg NH3</t>
  </si>
  <si>
    <t xml:space="preserve">observed (auction)</t>
  </si>
  <si>
    <t xml:space="preserve">conversion to H2 is a calculation</t>
  </si>
  <si>
    <t xml:space="preserve">W4-S39</t>
  </si>
  <si>
    <t xml:space="preserve">SIGHT Mode-1 Tranche-II 450,000 t/yr, ₹2,239 crore; ₹50/40/30 per kg</t>
  </si>
  <si>
    <t xml:space="preserve">Renewable Watch; JMK; SolarQuarter</t>
  </si>
  <si>
    <t xml:space="preserve">SECI announces results of green hydrogen auction under SIGHT</t>
  </si>
  <si>
    <t xml:space="preserve">https://renewablewatch.in/2025/03/20/seci-announces-results-of-green-hydrogen-auction-under-sight-programme/ ; https://jmkresearch.com/seci-awards-450000-mt-annual-capacity-under-sight-tranche-ii-for-green-hydrogen-production/</t>
  </si>
  <si>
    <t xml:space="preserve">Mar 2025</t>
  </si>
  <si>
    <t xml:space="preserve">t/yr, ₹</t>
  </si>
  <si>
    <t xml:space="preserve">W4-S40</t>
  </si>
  <si>
    <t xml:space="preserve">Electrolyser Tranche-II 1.5 GW, 11 winners, ₹4,440 crore FY26–30</t>
  </si>
  <si>
    <t xml:space="preserve">Mercom; pv magazine India; MNRE</t>
  </si>
  <si>
    <t xml:space="preserve">MNRE allocates ₹44.4 bn…; SECI awards LoAs…</t>
  </si>
  <si>
    <t xml:space="preserve">https://www.mercomindia.com/mnre-electrolyzer-manufacturing-sight-ii-program ; https://www.pv-magazine-india.com/2025/01/21/the-hydrogen-stream-seci-awards-loas-for-electrolyser-production-linked-incentives/</t>
  </si>
  <si>
    <t xml:space="preserve">Jan 2025</t>
  </si>
  <si>
    <t xml:space="preserve">MW, ₹</t>
  </si>
  <si>
    <t xml:space="preserve">W4-S41</t>
  </si>
  <si>
    <t xml:space="preserve">Electrolyser ₹30,000/kW alkaline, ₹42,000/kW PEM (1 MW, 300 MW/yr)</t>
  </si>
  <si>
    <t xml:space="preserve">JMK Research / World Bank technical report</t>
  </si>
  <si>
    <t xml:space="preserve">India's $2.1bn leap towards its green hydrogen vision; Technical and Economic Characteristics…</t>
  </si>
  <si>
    <t xml:space="preserve">https://jmkresearch.com/wp-content/uploads/2025/02/Indias-2.1bn-leap-towards-its-Green-Hydrogen-vision.pdf ; https://documents1.worldbank.org/curated/en/099022326123011297/pdf/P506220-b45b0865-8706-4862-8792-d8cc71f84569.pdf</t>
  </si>
  <si>
    <t xml:space="preserve">Feb 2025 / 2026</t>
  </si>
  <si>
    <t xml:space="preserve">₹/kW</t>
  </si>
  <si>
    <t xml:space="preserve">attribution between the two docs unclear</t>
  </si>
  <si>
    <t xml:space="preserve">W4-S42</t>
  </si>
  <si>
    <t xml:space="preserve">Grey H2 $1.5–1.6/kg stable, $3–7.5 under LNG shock; gap $1.6–3.2; SMR ₹181–229/kg (LinkedIn)</t>
  </si>
  <si>
    <t xml:space="preserve">RMI; LinkedIn post</t>
  </si>
  <si>
    <t xml:space="preserve">Green Hydrogen Production Pathways for India</t>
  </si>
  <si>
    <t xml:space="preserve">https://rmi.org/green-hydrogen-production-pathways-for-india/ ; https://www.linkedin.com/posts/sanjeevsharmagh2_refineryhydrogen-greenhydrogen-iocl-activity-7454393902108889088-B4dk</t>
  </si>
  <si>
    <t xml:space="preserve">exec summary (verbatim)</t>
  </si>
  <si>
    <t xml:space="preserve">USD/kg, ₹/kg</t>
  </si>
  <si>
    <t xml:space="preserve">LinkedIn low grade</t>
  </si>
  <si>
    <t xml:space="preserve">W4-S43</t>
  </si>
  <si>
    <t xml:space="preserve">Station cost $1,200–3,000 per kg/day (770–1,620 kg/day, 700 bar)</t>
  </si>
  <si>
    <t xml:space="preserve">Record 21002 Hydrogen Fueling Station Cost</t>
  </si>
  <si>
    <t xml:space="preserve">https://www.hydrogen.energy.gov/docs/hydrogenprogramlibraries/pdfs/21002-hydrogen-fueling-station-cost.pdf</t>
  </si>
  <si>
    <t xml:space="preserve">2 Nov 2020</t>
  </si>
  <si>
    <t xml:space="preserve">$/(kg/day)</t>
  </si>
  <si>
    <t xml:space="preserve">observed (grants)</t>
  </si>
  <si>
    <t xml:space="preserve">blocked; snippet</t>
  </si>
  <si>
    <t xml:space="preserve">Delivery+dispensing ~$11/kg @450 kg/d, ~$8/kg @1,000 kg/d (liquid; HDSAM 3.1)</t>
  </si>
  <si>
    <t xml:space="preserve">Record 20007 Hydrogen Delivery and Dispensing Cost</t>
  </si>
  <si>
    <t xml:space="preserve">https://www.hydrogen.energy.gov/docs/hydrogenprogramlibraries/pdfs/20007-hydrogen-delivery-dispensing-cost.pdf</t>
  </si>
  <si>
    <t xml:space="preserve">25 Aug 2020</t>
  </si>
  <si>
    <t xml:space="preserve">W4-S45</t>
  </si>
  <si>
    <t xml:space="preserve">350-bar delivery+dispensing $2.70–3.70/gge (HDSAM 2.3, mature)</t>
  </si>
  <si>
    <t xml:space="preserve">Record 16011 H2 delivery cost 2015</t>
  </si>
  <si>
    <t xml:space="preserve">https://www.hydrogen.energy.gov/pdfs/16011_h2_delivery_cost_2015.pdf</t>
  </si>
  <si>
    <t xml:space="preserve">$/gge</t>
  </si>
  <si>
    <t xml:space="preserve">mature-market case</t>
  </si>
  <si>
    <t xml:space="preserve">W4-S46</t>
  </si>
  <si>
    <t xml:space="preserve">200 kg/day station $6–8/kg (gaseous), $8–9 (liquid); utilisation 50% (2030), 70% (2050)</t>
  </si>
  <si>
    <t xml:space="preserve">Cost of renewable hydrogen produced onsite at HRS in Europe</t>
  </si>
  <si>
    <t xml:space="preserve">https://theicct.org/publication/fuels-eu-onsite-hydro-cost-feb22/</t>
  </si>
  <si>
    <t xml:space="preserve">Feb 2022</t>
  </si>
  <si>
    <t xml:space="preserve">white paper summary</t>
  </si>
  <si>
    <t xml:space="preserve">W4-S47</t>
  </si>
  <si>
    <t xml:space="preserve">NREL 88818 scope (700 bar, 2022$); ATB 2024 H2 price ranges 6.2–12.0 / 8.2–18.0; future 6.2–7.0; 4.0 target</t>
  </si>
  <si>
    <t xml:space="preserve">NREL</t>
  </si>
  <si>
    <t xml:space="preserve">Levelized Cost of Dispensed Hydrogen for Heavy-Duty Vehicles (TP-5400-88818); ATB 2024 Hydrogen</t>
  </si>
  <si>
    <t xml:space="preserve">https://docs.nrel.gov/docs/fy24osti/88818.pdf ; https://atb.nlr.gov/transportation/2024/Hydrogen</t>
  </si>
  <si>
    <t xml:space="preserve">Mar 2024</t>
  </si>
  <si>
    <t xml:space="preserve">ATB table (verbatim)</t>
  </si>
  <si>
    <t xml:space="preserve">2022$/kg</t>
  </si>
  <si>
    <t xml:space="preserve">88818 tables unread</t>
  </si>
  <si>
    <t xml:space="preserve">W4-S48</t>
  </si>
  <si>
    <t xml:space="preserve">LCOH $11.51 (2025) → $4.26/kg (2050); UR 0.3/0.5/1.0; breakeven $4.90–5.85</t>
  </si>
  <si>
    <t xml:space="preserve">Elsevier (journal article, S2590116826000421)</t>
  </si>
  <si>
    <t xml:space="preserve">Breakeven levelized cost of hydrogen for the zero-emission freight transition</t>
  </si>
  <si>
    <t xml:space="preserve">https://www.sciencedirect.com/science/article/pii/S2590116826000421</t>
  </si>
  <si>
    <t xml:space="preserve">Highlights; §4.3 (verbatim)</t>
  </si>
  <si>
    <t xml:space="preserve">freight context</t>
  </si>
  <si>
    <t xml:space="preserve">W4-S49</t>
  </si>
  <si>
    <t xml:space="preserve">350-bar compressor/storage cost inputs used by CEEW</t>
  </si>
  <si>
    <t xml:space="preserve">Wiley (Chem. Ing. Tech. 96)</t>
  </si>
  <si>
    <t xml:space="preserve">Detailed Cost Analysis of Hydrogen Refueling Costs for Fleets (Eißler et al.)</t>
  </si>
  <si>
    <t xml:space="preserve">https://onlinelibrary.wiley.com/doi/full/10.1002/cite.202300123</t>
  </si>
  <si>
    <t xml:space="preserve">not opened</t>
  </si>
  <si>
    <t xml:space="preserve">W4-S50</t>
  </si>
  <si>
    <t xml:space="preserve">California $32–36/kg; True Zero $36</t>
  </si>
  <si>
    <t xml:space="preserve">S&amp;P Global; hydrogenfuelfinder; Stillwater</t>
  </si>
  <si>
    <t xml:space="preserve">California hydrogen pump prices reach new highs; Why hydrogen fuel costs $36/kg in 2025</t>
  </si>
  <si>
    <t xml:space="preserve">https://www.spglobal.com/energy/en/news-research/latest-news/energy-transition/100124-california-hydrogen-pump-prices-for-light-duty-vehicles-reach-new-highs ; https://hydrogenfuelfinder.com/blog/hydrogen-fuel-cost-2025-reality-check.html</t>
  </si>
  <si>
    <t xml:space="preserve">W4-S51</t>
  </si>
  <si>
    <t xml:space="preserve">Germany €10–15/kg retail; €8/kg hylane deal from 1 Jan 2026</t>
  </si>
  <si>
    <t xml:space="preserve">H2.LIVE / H2 MOBILITY; Driving Hydrogen; glpautogas</t>
  </si>
  <si>
    <t xml:space="preserve">Hydrogen for 8 euros per kilogram now possible</t>
  </si>
  <si>
    <t xml:space="preserve">https://h2.live/en/press/hydrogen-for-8-euros-per-kilogram-now-possible-hylane-and-h2-mobility-enable-cost-effective-operation-of-hydrogen-trucks/ ; https://www.glpautogas.info/en/hydrogen-sale-price-germany.html</t>
  </si>
  <si>
    <t xml:space="preserve">Nov 2025</t>
  </si>
  <si>
    <t xml:space="preserve">fleet deal</t>
  </si>
  <si>
    <t xml:space="preserve">W4-S52</t>
  </si>
  <si>
    <t xml:space="preserve">Japan Iwatani ¥1,210 → ¥1,650/kg (Jun 2025); ¥700/kg subsidy</t>
  </si>
  <si>
    <t xml:space="preserve">Hydrogen Insight; Driving Hydrogen</t>
  </si>
  <si>
    <t xml:space="preserve">Price hike…; Japan to introduce ¥700/kg subsidy</t>
  </si>
  <si>
    <t xml:space="preserve">https://www.hydrogeninsight.com/transport/price-hike-hydrogen-vehicle-drivers-to-be-charged-33-more-for-fuel-at-majority-of-h2-filling-stations-in-japan/2-1-1628765 ; https://drivinghydrogen.com/2025/05/30/japan-to-introduce-%C2%A5700-kg-hydrogen-fuel-subsidy-to-kickstart-commercial-uptake/</t>
  </si>
  <si>
    <t xml:space="preserve">¥/kg</t>
  </si>
  <si>
    <t xml:space="preserve">W4-S53</t>
  </si>
  <si>
    <t xml:space="preserve">NTPC Leh: 1.7 MW solar, 80 kg/day 350-bar station, 5 FC buses (25 kg, 300 km)</t>
  </si>
  <si>
    <t xml:space="preserve">NTPC</t>
  </si>
  <si>
    <t xml:space="preserve">NTPC hands over five hydrogen fuel cell buses to Leh Administration</t>
  </si>
  <si>
    <t xml:space="preserve">https://ntpc.co.in/media/press-releases/ntpc-hands-over-five-hydrogen-fuel-cell-buses-leh-administration</t>
  </si>
  <si>
    <t xml:space="preserve">Jun 2025</t>
  </si>
  <si>
    <t xml:space="preserve">Leh, India</t>
  </si>
  <si>
    <t xml:space="preserve">no cost data</t>
  </si>
  <si>
    <t xml:space="preserve">W4-S54</t>
  </si>
  <si>
    <t xml:space="preserve">MNRE Phase-1 pilots: 5 projects, 37 vehicles (15 FCEV + 22 H2-ICE), 9 HRS, ₹208 crore, 10 routes, 18–24 months</t>
  </si>
  <si>
    <t xml:space="preserve">PIB; Down To Earth</t>
  </si>
  <si>
    <t xml:space="preserve">Pilot Projects on Hydrogen Fuelled Buses and Trucks Launched under NGHM</t>
  </si>
  <si>
    <t xml:space="preserve">https://www.pib.gov.in/PressReleasePage.aspx?PRID=2107795 ; https://www.downtoearth.org.in/environment/as-told-to-parliament-march-25-2025-37-cross-country-vehicles-9-fuelling-stations-planned-under-green-hydrogen-mission</t>
  </si>
  <si>
    <t xml:space="preserve">observed (sanction)</t>
  </si>
  <si>
    <t xml:space="preserve">W4-S55</t>
  </si>
  <si>
    <t xml:space="preserve">Phase-2: 12 projects, 70 vehicles (27 buses/43 trucks), 16 HRS, 21 routes, ₹410.77 crore (₹41.58 released); ₹292 crore NGHM spend to date</t>
  </si>
  <si>
    <t xml:space="preserve">pv magazine India; Fuel Cells Works; EQ; Business Standard; Renewable Watch</t>
  </si>
  <si>
    <t xml:space="preserve">India awards 12 green hydrogen mobility pilots…; Govt spends ₹292 crore under NGHM so far</t>
  </si>
  <si>
    <t xml:space="preserve">https://www.pv-magazine-india.com/2026/08/03/the-hydrogen-stream-india-awards-12-green-hydrogen-mobility-pilots-with-inr-410-77-crore-support/ ; https://fuelcellsworks.com/2026/08/02/fuel-cells/india-s-hydrogen-vehicle-pilot-nearly-doubles-70-vehicles-16-refuelling-stations-410-77-crore ; https://www.business-standard.com/amp/industry/news/govt-spends-292-crore-under-national-green-hydrogen-mission-so-far-mnre-126081201853_1.html</t>
  </si>
  <si>
    <t xml:space="preserve">Jul–Aug 2026</t>
  </si>
  <si>
    <t xml:space="preserve">MNRE order not opened</t>
  </si>
  <si>
    <t xml:space="preserve">HRS ₹14–20 crore; 200–500 kg/day break-even; "₹4/km" hydrogen</t>
  </si>
  <si>
    <t xml:space="preserve">VahanBazaar; Tata AIG blog</t>
  </si>
  <si>
    <t xml:space="preserve">Hydrogen refuelling stations India 2030</t>
  </si>
  <si>
    <t xml:space="preserve">https://vahanbazaar.in/tips/hydrogen-refuelling-stations-india-2030-vahanbazaar ; https://www.tataaig.com/knowledge-center/car-insurance/hydrogen-cars-in-india</t>
  </si>
  <si>
    <t xml:space="preserve">blog</t>
  </si>
  <si>
    <t xml:space="preserve">W4-S57</t>
  </si>
  <si>
    <t xml:space="preserve">IEA GHR 2026: India/Middle East/Chile "just above USD 3/kg" by 2030; China &lt;USD 2</t>
  </si>
  <si>
    <t xml:space="preserve">Green Hydrogen Organisation (reporting IEA GHR 2026)</t>
  </si>
  <si>
    <t xml:space="preserve">IEA Global Hydrogen Review 2026…</t>
  </si>
  <si>
    <t xml:space="preserve">https://gh2.org/iea-global-hydrogen-review-2026-green-hydrogen-can-help-prevent-next-food-and-energy-crisis</t>
  </si>
  <si>
    <t xml:space="preserve">18–19 Jun 2026</t>
  </si>
  <si>
    <t xml:space="preserve">IEA site blocked</t>
  </si>
  <si>
    <t xml:space="preserve">W4-S58</t>
  </si>
  <si>
    <t xml:space="preserve">IEA GHR 2025: project pipeline shrank; electrolysis &gt;80% of drop; assumptions annex</t>
  </si>
  <si>
    <t xml:space="preserve">IEA</t>
  </si>
  <si>
    <t xml:space="preserve">Global Hydrogen Review 2025 (+ Assumptions Annex)</t>
  </si>
  <si>
    <t xml:space="preserve">https://www.iea.org/reports/global-hydrogen-review-2025 ; https://iea.blob.core.windows.net/assets/15673ab3-a86a-4434-bff4-490bb42d3563/GlobalHydrogenReview2025AssumptionsAnnex.pdf</t>
  </si>
  <si>
    <t xml:space="preserve">Sep 2025</t>
  </si>
  <si>
    <t xml:space="preserve">exec summary</t>
  </si>
  <si>
    <t xml:space="preserve">blocked; India LCOH NOT FOUND</t>
  </si>
  <si>
    <t xml:space="preserve">CEA WAEF FY2024-25 0.710 (prov.), FY2023-24 0.727; BM 0.512; CM definition</t>
  </si>
  <si>
    <t xml:space="preserve">CEA (user guide v21.0); batchwise.ai; reclimatize; LinkedIn (R. Goenka)</t>
  </si>
  <si>
    <t xml:space="preserve">CO2 Baseline Database for the Indian Power Sector, User Guide v21.0</t>
  </si>
  <si>
    <t xml:space="preserve">https://cea.nic.in/wp-content/uploads/baseline/2025/12/User_Guide_V_21.0.pdf ; https://batchwise.ai/methodology/cea-grid-emission-factors/all-india/</t>
  </si>
  <si>
    <t xml:space="preserve">Dec 2025 / FY2024-25</t>
  </si>
  <si>
    <t xml:space="preserve">CM definition (verbatim); WAEF (secondary)</t>
  </si>
  <si>
    <t xml:space="preserve">tCO2/MWh</t>
  </si>
  <si>
    <t xml:space="preserve">observed (provisional)</t>
  </si>
  <si>
    <t xml:space="preserve">primary blocked; T&amp;D note unread</t>
  </si>
  <si>
    <t xml:space="preserve">NEP 2022-32: EF 0.548 (2026-27), 0.430 (2031-32) kg/kWh net; non-fossil 57.4% / 68.4%</t>
  </si>
  <si>
    <t xml:space="preserve">CEA; PIB</t>
  </si>
  <si>
    <t xml:space="preserve">National Electricity Plan 2022-32 (Vol. I Generation)</t>
  </si>
  <si>
    <t xml:space="preserve">https://cea.nic.in/wp-content/uploads/irp/2023/05/NEP_2022_32_FINAL_GAZETTE-1.pdf ; https://www.pib.gov.in/PressReleaseIframePage.aspx?PRID=1928750&amp;reg=48&amp;lang=2</t>
  </si>
  <si>
    <t xml:space="preserve">May 2023</t>
  </si>
  <si>
    <t xml:space="preserve">projected</t>
  </si>
  <si>
    <t xml:space="preserve">W4-S61</t>
  </si>
  <si>
    <t xml:space="preserve">India default fuel EFs exist (GLEC-aligned)</t>
  </si>
  <si>
    <t xml:space="preserve">Smart Freight Centre India</t>
  </si>
  <si>
    <t xml:space="preserve">India Default GHG Emission Values V1.0</t>
  </si>
  <si>
    <t xml:space="preserve">https://smart-freight-centre-media.s3.amazonaws.com/documents/India_Default_GHG_Emission_Values_V1_SFC_INDIA_latest.pdf</t>
  </si>
  <si>
    <t xml:space="preserve">kg CO2e</t>
  </si>
  <si>
    <t xml:space="preserve">published</t>
  </si>
  <si>
    <t xml:space="preserve">IPCC default EFs 69,300 (gasoline), 56,100 (natural gas) kg CO2/TJ; NCV 44.3 / 48.0 TJ/Gg</t>
  </si>
  <si>
    <t xml:space="preserve">IPCC</t>
  </si>
  <si>
    <t xml:space="preserve">2006 IPCC Guidelines Vol. 2 Energy, Ch. 1 Tables 1.2 &amp; 1.4</t>
  </si>
  <si>
    <t xml:space="preserve">https://ghgprotocol.org/Third-Party-Databases/IPCC-Emissions-Factor-Database</t>
  </si>
  <si>
    <t xml:space="preserve">Tables 1.2, 1.4</t>
  </si>
  <si>
    <t xml:space="preserve">kg/TJ</t>
  </si>
  <si>
    <t xml:space="preserve">default</t>
  </si>
  <si>
    <t xml:space="preserve">from memory — verify before use</t>
  </si>
  <si>
    <t xml:space="preserve">ICCT 2025 LCA values (235/234/203/188/163/63/52/50/175 g/km; H2 13.6 &amp; 1.2 kg CO2e/kg; battery 72.8 kg/kWh; +40% production; 17,000 km; TTW non-CO2)</t>
  </si>
  <si>
    <t xml:space="preserve">ICCT (Negri &amp; Bieker)</t>
  </si>
  <si>
    <t xml:space="preserve">Life-cycle GHG emissions from passenger cars in the EU: a 2025 update</t>
  </si>
  <si>
    <t xml:space="preserve">https://theicct.org/wp-content/uploads/2025/07/ID-392-%E2%80%93-Life-cycle-GHG_report_final.pdf ; https://theicct.org/publication/electric-cars-life-cycle-analysis-emissions-europe-jul25/</t>
  </si>
  <si>
    <t xml:space="preserve">8 Jul 2025</t>
  </si>
  <si>
    <t xml:space="preserve">Key findings; Fuel-cycle §; Figure 4 (verbatim extracts)</t>
  </si>
  <si>
    <t xml:space="preserve">g CO2e/km; kg CO2e/kg; kg CO2e/kWh</t>
  </si>
  <si>
    <t xml:space="preserve">battery chemistry attribution unverified</t>
  </si>
  <si>
    <t xml:space="preserve">Unabated NG 10–14 kg CO2e/kg (upstream 1–5); solar PV electrolysis 0.9–2.5; downstream 0.4–2.7</t>
  </si>
  <si>
    <t xml:space="preserve">IEA; CRS R48196</t>
  </si>
  <si>
    <t xml:space="preserve">Towards hydrogen definitions based on their emissions intensity; Hydrogen Production: Overview and Issues for Congress</t>
  </si>
  <si>
    <t xml:space="preserve">https://www.iea.org/reports/towards-hydrogen-definitions-based-on-their-emissions-intensity ; https://www.congress.gov/crs-product/R48196</t>
  </si>
  <si>
    <t xml:space="preserve">Apr 2023; Oct 2024</t>
  </si>
  <si>
    <t xml:space="preserve">kg CO2e/kg</t>
  </si>
  <si>
    <t xml:space="preserve">W4-S65</t>
  </si>
  <si>
    <t xml:space="preserve">India green-H2 standard ≤2 kg CO2e/kg well-to-gate</t>
  </si>
  <si>
    <t xml:space="preserve">MNRE (via CSEP/RMI summaries)</t>
  </si>
  <si>
    <t xml:space="preserve">Green Hydrogen Standard for India</t>
  </si>
  <si>
    <t xml:space="preserve">https://csep.org/key-insights/green-hydrogen-pathways-in-india-from-a-grid-perspective/</t>
  </si>
  <si>
    <t xml:space="preserve">Aug 2023</t>
  </si>
  <si>
    <t xml:space="preserve">primary not opened</t>
  </si>
  <si>
    <t xml:space="preserve">W4-S66</t>
  </si>
  <si>
    <t xml:space="preserve">Medium petrol car 54.1 t, PHEV 36.9 t, BEV 25.0 t (15 yr, 42 km/day, STEPS); BEV lower after 2 yr</t>
  </si>
  <si>
    <t xml:space="preserve">EV Life Cycle Assessment Calculator</t>
  </si>
  <si>
    <t xml:space="preserve">https://www.iea.org/data-and-statistics/data-tools/ev-life-cycle-assessment-calculator</t>
  </si>
  <si>
    <t xml:space="preserve">tool defaults (verbatim)</t>
  </si>
  <si>
    <t xml:space="preserve">global assumptions</t>
  </si>
  <si>
    <t xml:space="preserve">W4-S67</t>
  </si>
  <si>
    <t xml:space="preserve">bZ4X 26 t (25–31); Corolla Cross hybrid 53 t (44–70)</t>
  </si>
  <si>
    <t xml:space="preserve">Green NCAP</t>
  </si>
  <si>
    <t xml:space="preserve">European LCA results 2024</t>
  </si>
  <si>
    <t xml:space="preserve">https://www.greenncap.com/european-lca-results/</t>
  </si>
  <si>
    <t xml:space="preserve">results table (verbatim)</t>
  </si>
  <si>
    <t xml:space="preserve">EU mix</t>
  </si>
  <si>
    <t xml:space="preserve">W4-S68</t>
  </si>
  <si>
    <t xml:space="preserve">DI H2 engine λ 2.4–3.0, BTE 43%, WLTC tailpipe NOx &lt;35 mg/km with urea-SCR</t>
  </si>
  <si>
    <t xml:space="preserve">ACS Omega 11(7):12788 (PMC12947045)</t>
  </si>
  <si>
    <t xml:space="preserve">NOx/N2O Formation and Coordinated Urea-SCR Control in an Ultra-Lean Hydrogen-Fueled Automotive SI Engine</t>
  </si>
  <si>
    <t xml:space="preserve">https://pmc.ncbi.nlm.nih.gov/articles/PMC12947045/</t>
  </si>
  <si>
    <t xml:space="preserve">China (China 6b)</t>
  </si>
  <si>
    <t xml:space="preserve">measured/modelled</t>
  </si>
  <si>
    <t xml:space="preserve">full text not indexed</t>
  </si>
  <si>
    <t xml:space="preserve">W4-S69</t>
  </si>
  <si>
    <t xml:space="preserve">55 kW 4-cyl PFI H2ICE NRMM tailpipe NOx variants</t>
  </si>
  <si>
    <t xml:space="preserve">Environ. Sci.: Processes &amp; Impacts (doi 10.1039/d4em00448e)</t>
  </si>
  <si>
    <t xml:space="preserve">Evaluating low NOx hydrogen engines designed for off-road and construction applications</t>
  </si>
  <si>
    <t xml:space="preserve">https://doi.org/10.1039/d4em00448e</t>
  </si>
  <si>
    <t xml:space="preserve">Feb 2025</t>
  </si>
  <si>
    <t xml:space="preserve">g/kWh</t>
  </si>
  <si>
    <t xml:space="preserve">values inaccessible</t>
  </si>
  <si>
    <t xml:space="preserve">W4-S70</t>
  </si>
  <si>
    <t xml:space="preserve">Base H2 car cannot stay ultra-lean at high load; hybrid EMS −90% engine-out NOx, −16% H2; Euro 7 60 mg/km fuel-neutral</t>
  </si>
  <si>
    <t xml:space="preserve">arXiv (ETH Zürich / Bosch)</t>
  </si>
  <si>
    <t xml:space="preserve">Energy Management of Hydrogen Hybrid Electric Vehicles — A Potential Study</t>
  </si>
  <si>
    <t xml:space="preserve">https://arxiv.org/abs/2309.09804</t>
  </si>
  <si>
    <t xml:space="preserve">Sep 2023</t>
  </si>
  <si>
    <t xml:space="preserve">§1, §3.1–3.2, Table 4 (verbatim)</t>
  </si>
  <si>
    <t xml:space="preserve">Europe</t>
  </si>
  <si>
    <t xml:space="preserve">mg/km (relative)</t>
  </si>
  <si>
    <t xml:space="preserve">simulated</t>
  </si>
  <si>
    <t xml:space="preserve">simulation only</t>
  </si>
  <si>
    <t xml:space="preserve">BS-VI M1 NOx 60 mg/km petrol; 80 diesel</t>
  </si>
  <si>
    <t xml:space="preserve">ICCT; DieselNet; ARAI</t>
  </si>
  <si>
    <t xml:space="preserve">India Bharat Stage VI emission standards (policy update); Indian Emission Regulation Booklet</t>
  </si>
  <si>
    <t xml:space="preserve">https://theicct.org/wp-content/uploads/2021/06/India-BS-VI-Policy-Update-vF.pdf ; https://dieselnet.com/standards/in/ld.php ; https://www.araiindia.com/pdf/Indian_Emission_Regulation_Booklet.pdf</t>
  </si>
  <si>
    <t xml:space="preserve">2016/2021</t>
  </si>
  <si>
    <t xml:space="preserve">limit tables</t>
  </si>
  <si>
    <t xml:space="preserve">CNG row not verbatim</t>
  </si>
  <si>
    <t xml:space="preserve">W4-S72</t>
  </si>
  <si>
    <t xml:space="preserve">H2 indirect GWP100 11 ± 4; GWP20 37 ± 18; OH-bias 20% overestimate; leakage 1–10%</t>
  </si>
  <si>
    <t xml:space="preserve">Nature 2025 (PMC12711571); Ocko &amp; Hamburg 2022 (ACP); arXiv 2408.05127; PMC10976891</t>
  </si>
  <si>
    <t xml:space="preserve">The global hydrogen budget; Climate consequences of hydrogen leakage; Model underestimates of OH reactivity…</t>
  </si>
  <si>
    <t xml:space="preserve">https://pmc.ncbi.nlm.nih.gov/articles/PMC12711571/ ; https://acp.copernicus.org/preprints/acp-2022-91/acp-2022-91.pdf ; https://arxiv.org/abs/2408.05127</t>
  </si>
  <si>
    <t xml:space="preserve">2022–2025</t>
  </si>
  <si>
    <t xml:space="preserve">O&amp;H exact values not verified</t>
  </si>
  <si>
    <t xml:space="preserve">W4-S73</t>
  </si>
  <si>
    <t xml:space="preserve">India VCM ₹1,350–2,800/t (2026); MSCI index $3.50/t (2025), $4.30 (2024); CCTS offset mechanism</t>
  </si>
  <si>
    <t xml:space="preserve">Grow Billion Trees; Senken; Regreener; CEEW</t>
  </si>
  <si>
    <t xml:space="preserve">Carbon credit rate in India 2026; Carbon credit prices 2026; India's voluntary offset scheme</t>
  </si>
  <si>
    <t xml:space="preserve">https://growbilliontrees.com/pages/carbon-credit-rate-in-india-updated-monthly-prices ; https://www.senken.io/academy/understanding-carbon-markets/carbon-credit-price ; https://www.ceew.in/publications/voluntary-carbon-offset-mechanism-and-challenges-in-carbon-credit-trading-scheme-market-for-india</t>
  </si>
  <si>
    <t xml:space="preserve">price trackers</t>
  </si>
  <si>
    <t xml:space="preserve">India/global</t>
  </si>
  <si>
    <t xml:space="preserve">₹/t, $/t</t>
  </si>
  <si>
    <t xml:space="preserve">Indian tracker low grade</t>
  </si>
  <si>
    <t xml:space="preserve">W4-S74</t>
  </si>
  <si>
    <t xml:space="preserve">Transport pilot guidelines 14 Feb 2024: ₹496 crore to FY26; buses/trucks/cars &lt;3.5 t; steering committee</t>
  </si>
  <si>
    <t xml:space="preserve">JSA; Lexology; Business Standard; Deloitte</t>
  </si>
  <si>
    <t xml:space="preserve">MNRE issues Scheme Guidelines for pilot projects on use of green hydrogen in the transport sector</t>
  </si>
  <si>
    <t xml:space="preserve">https://www.jsalaw.com/newsletters-and-updates/mnre-issues-scheme-guidelines-for-pilot-projects-on-use-of-green-hydrogen-in-the-transport-sector/ ; https://www.business-standard.com/industry/news/govt-issues-guidelines-for-transport-pilot-projects-on-green-hydrogen-s-use-124021401729_1.html</t>
  </si>
  <si>
    <t xml:space="preserve">Feb 2024</t>
  </si>
  <si>
    <t xml:space="preserve">summaries</t>
  </si>
  <si>
    <t xml:space="preserve">guideline PDF blocked; funding share per vehicle not extracted</t>
  </si>
  <si>
    <t xml:space="preserve">W4-S75</t>
  </si>
  <si>
    <t xml:space="preserve">R&amp;D scheme ₹400 crore; guidelines 15 Mar 2024; 1st call 23 projects; 2nd call 14 Jul–21 Aug 2025; TRL ≥4; 100%/80% funding; ₹200 crore testing-infra call</t>
  </si>
  <si>
    <t xml:space="preserve">MNRE; Mercom; SolarQuarter; CSIR; pv magazine India</t>
  </si>
  <si>
    <t xml:space="preserve">Second Call for Proposals under R&amp;D Scheme of NGHM</t>
  </si>
  <si>
    <t xml:space="preserve">https://mnre.gov.in/en/notice/second-call-for-proposals-under-research-and-development-scheme-of-national-green-hydrogen-mission-nghm/ ; https://www.mercomindia.com/mnre-invites-second-round-of-rd-proposals-under-green-hydrogen-mission ; https://www.csir.res.in/en/news-calls-and-events/second-call-proposals-under-research-and-development-scheme-national-green ; https://www.pv-magazine-india.com/2025/08/12/mnre-launches-second-call-for-proposals-to-build-and-upgrade-green-hydrogen-testing-infrastructure/</t>
  </si>
  <si>
    <t xml:space="preserve">Mar 2024–Aug 2025</t>
  </si>
  <si>
    <t xml:space="preserve">notices/news</t>
  </si>
  <si>
    <t xml:space="preserve">% of cost</t>
  </si>
  <si>
    <t xml:space="preserve">remaining budget NOT FOUND</t>
  </si>
  <si>
    <t xml:space="preserve">W4-S76</t>
  </si>
  <si>
    <t xml:space="preserve">Gujarat GH2 Policy 2025 incentives (electrolyser, HRS, buses, MSME)</t>
  </si>
  <si>
    <t xml:space="preserve">Mercom India; iamrenew; JMK (policy PDF)</t>
  </si>
  <si>
    <t xml:space="preserve">Gujarat's new Green Hydrogen Policy targets 3 MMTPA by 2035; Gujarat Green Hydrogen Policy 2025</t>
  </si>
  <si>
    <t xml:space="preserve">https://www.mercomindia.com/gujarats-new-green-hydrogen-policy-targets-3-mmtpa-by-2035 ; https://jmkresearch.com/wp-content/uploads/2025/12/Gujarat-Green-Hydrogen-Project-Policy-2025-.pdf</t>
  </si>
  <si>
    <t xml:space="preserve">late 2025</t>
  </si>
  <si>
    <t xml:space="preserve">Gujarat</t>
  </si>
  <si>
    <t xml:space="preserve">W4-S77</t>
  </si>
  <si>
    <t xml:space="preserve">UP GH2 Policy 2024: 30% (40% first 5) capex, cap ₹225 crore; land ₹15,000/acre/yr</t>
  </si>
  <si>
    <t xml:space="preserve">Invest UP; Business Standard</t>
  </si>
  <si>
    <t xml:space="preserve">Uttar Pradesh Green Hydrogen Policy 2024</t>
  </si>
  <si>
    <t xml:space="preserve">https://invest.up.gov.in/wp-content/themes/investup/sector-assets/policies_schemes/Uttar_Pradesh_Green_Hydrogen_Policy_2024.pdf ; https://www.business-standard.com/economy/uttar-pradesh/uttar-pradesh-green-hydrogen-policy-2024-key-features-incentives-eligibility-and-implementation-126090700729_1.html</t>
  </si>
  <si>
    <t xml:space="preserve">2024 / Sep 2026 explainer</t>
  </si>
  <si>
    <t xml:space="preserve">UP</t>
  </si>
  <si>
    <t xml:space="preserve">no mobility incentive found</t>
  </si>
  <si>
    <t xml:space="preserve">W4-S78</t>
  </si>
  <si>
    <t xml:space="preserve">Maharashtra GH2 Policy 2023: ₹50/kg blending; 500 FCEV cars 30% ≤₹60 lakh; 20 HRS 30% ≤₹4.5 crore; ₹8,500 crore</t>
  </si>
  <si>
    <t xml:space="preserve">MAHAURJA (FAQ); JMK; Swarajya; Global Trade Alert</t>
  </si>
  <si>
    <t xml:space="preserve">Maharashtra Green Hydrogen Policy 2023 FAQs</t>
  </si>
  <si>
    <t xml:space="preserve">https://www.mahaurja.maharashtra.gov.in/Site/Upload/Pdf/GHfaq.pdf ; https://jmkresearch.com/wp-content/uploads/2023/11/Maharashtra-Green-Hydrogen-Policy-2023.pdf</t>
  </si>
  <si>
    <t xml:space="preserve">Oct 2023</t>
  </si>
  <si>
    <t xml:space="preserve">Maharashtra</t>
  </si>
  <si>
    <t xml:space="preserve">fuel-cell wording</t>
  </si>
  <si>
    <t xml:space="preserve">W4-S79</t>
  </si>
  <si>
    <t xml:space="preserve">AIS 195:2023 for hydrogen ICE M/N vehicles (GSR 746(E)); AIS 195A:2024 CEV</t>
  </si>
  <si>
    <t xml:space="preserve">GSR 746(E) dated 16 Oct 2023 — Hydrogen ICE</t>
  </si>
  <si>
    <t xml:space="preserve">16 Oct 2023</t>
  </si>
  <si>
    <t xml:space="preserve">notification</t>
  </si>
  <si>
    <t xml:space="preserve">W4-S80</t>
  </si>
  <si>
    <t xml:space="preserve">AIS-137 durability × DF; hydrogen reference fuel; CMVR 115/116/126</t>
  </si>
  <si>
    <t xml:space="preserve">ARAI (AIS-137 Parts 3/4/6)</t>
  </si>
  <si>
    <t xml:space="preserve">AIS-137 Automotive Industry Standard</t>
  </si>
  <si>
    <t xml:space="preserve">https://hmr.araiindia.com/Control/AIS/45201991403AMAIS_137_Part_3_F.pdf ; https://hmr.araiindia.com/Control/AIS/53201963840PMAIS_137_Part_4_F.pdf</t>
  </si>
  <si>
    <t xml:space="preserve">2019 + amendments</t>
  </si>
  <si>
    <t xml:space="preserve">procedure sections</t>
  </si>
  <si>
    <t xml:space="preserve">W4-S81</t>
  </si>
  <si>
    <t xml:space="preserve">IOCL Faridabad: H2 dispensing since 2005; solar-electrolysis refuelling; PESO permission; Fluitron dispenser Jan 2023</t>
  </si>
  <si>
    <t xml:space="preserve">IndianOil; BusinessWire</t>
  </si>
  <si>
    <t xml:space="preserve">R&amp;D Centre pages; Fluitron installs first domestically built hydrogen dispenser</t>
  </si>
  <si>
    <t xml:space="preserve">https://iocl.com/pages/r-and-d-centre ; https://www.businesswire.com/news/home/20230116005549/en/Fluitron-Installs-First-Domestically-Built-Hydrogen-Dispenser-in-Faridabad-India</t>
  </si>
  <si>
    <t xml:space="preserve">2023–2025</t>
  </si>
  <si>
    <t xml:space="preserve">W4-S82</t>
  </si>
  <si>
    <t xml:space="preserve">Tata Prima H.55S H2 specs; trials 4 Mar 2025; 40 trucks VOC Port by 2028; Cummins Jamshedpur production Mar 2024; $425 m JV</t>
  </si>
  <si>
    <t xml:space="preserve">Tata Motors; electrive; Cummins; Hydrogen Insight; Truck Junction</t>
  </si>
  <si>
    <t xml:space="preserve">Tata Motors drives India's green future…; Tata Motors to deploy 40 H2 ICE trucks; Cummins produces H2-ICE for Tata Motors</t>
  </si>
  <si>
    <t xml:space="preserve">https://www.tatamotors.com/press-releases/tata-motors-drives-indias-green-future-with-countrys-first-hydrogen-truck-trials/ ; https://www.electrive.com/2026/02/27/tata-motors-to-deploy-40-h2-ice-trucks-in-india/ ; https://www.cummins.com/en-na/news/releases/2024/05/01/cummins-produces-hydrogen-internal-combustion-engines-tata-motors-new</t>
  </si>
  <si>
    <t xml:space="preserve">W4-S83</t>
  </si>
  <si>
    <t xml:space="preserve">Ashok Leyland–Reliance H2-ICE truck; AL fleet 2026</t>
  </si>
  <si>
    <t xml:space="preserve">Team-BHP; Business Standard</t>
  </si>
  <si>
    <t xml:space="preserve">Ashok Leyland &amp; Reliance unveil India's first hydrogen-ICE truck; India's vehicles industry quietly begins shift…</t>
  </si>
  <si>
    <t xml:space="preserve">https://www.team-bhp.com/news/ashok-leyland-reliance-unveil-india%E2%80%99s-first-hydrogen-ice-truck ; https://www.business-standard.com/industry/auto/indian-cv-majors-drive-hydrogen-transition-with-h2-vehicles-125061600725_1.html</t>
  </si>
  <si>
    <t xml:space="preserve">Feb 2023; Jun 2025</t>
  </si>
  <si>
    <t xml:space="preserve">W4-S84</t>
  </si>
  <si>
    <t xml:space="preserve">Suzuki hydrogen Burgman (JMS 2025); hydrogen Swift 1.4 L DI 100 kW/220 Nm; Toshihiro Suzuki BMGE 2025 quote; Maruti H-CNG</t>
  </si>
  <si>
    <t xml:space="preserve">Suzuki (globalsuzuki); DriveSpark; Automotive World; evo India; V3Cars</t>
  </si>
  <si>
    <t xml:space="preserve">Hydrogen Engine Burgman; Hydrogen-powered Suzuki Swift revealed; Suzuki unveils three new motorcycle models…</t>
  </si>
  <si>
    <t xml:space="preserve">https://www.globalsuzuki.com/mobilityshow2025/burgman/ ; https://www.drivespark.com/four-wheelers/2026/suzuki-hydrogen-powered-swift-revealed-084763.html ; https://www.automotiveworld.com/news-releases/suzuki-unveils-three-new-motorcycle-models-including-an-ev-scooter-at-the-bharat-mobility-global-expo-2025/ ; https://www.v3cars.com/news/maruti-suzuki-hyrdogen-cng-hcng-engine-for-future-vehicles</t>
  </si>
  <si>
    <t xml:space="preserve">press/news</t>
  </si>
  <si>
    <t xml:space="preserve">no retrofit statement</t>
  </si>
  <si>
    <t xml:space="preserve">W4-S86</t>
  </si>
  <si>
    <t xml:space="preserve">IIT Madras–Hyundai HTWO centre operational by 2026</t>
  </si>
  <si>
    <t xml:space="preserve">Careers360</t>
  </si>
  <si>
    <t xml:space="preserve">IIT Madras unveils Hyundai HTWO Centre</t>
  </si>
  <si>
    <t xml:space="preserve">https://news.careers360.com/iit-madras-unveils-hyundai-htwo-centre-on-campus-operational-by-2026-iitm-hydrogen-india-research/amp</t>
  </si>
</sst>
</file>

<file path=xl/styles.xml><?xml version="1.0" encoding="utf-8"?>
<styleSheet xmlns="http://schemas.openxmlformats.org/spreadsheetml/2006/main">
  <numFmts count="13">
    <numFmt numFmtId="164" formatCode="General"/>
    <numFmt numFmtId="165" formatCode="#,##0.##"/>
    <numFmt numFmtId="166" formatCode="#,##0.###"/>
    <numFmt numFmtId="167" formatCode="0.00%"/>
    <numFmt numFmtId="168" formatCode="0.000"/>
    <numFmt numFmtId="169" formatCode="#,##0"/>
    <numFmt numFmtId="170" formatCode="0%"/>
    <numFmt numFmtId="171" formatCode="0.00"/>
    <numFmt numFmtId="172" formatCode="#,##0.00"/>
    <numFmt numFmtId="173" formatCode="0.0"/>
    <numFmt numFmtId="174" formatCode="0"/>
    <numFmt numFmtId="175" formatCode="0.00000"/>
    <numFmt numFmtId="17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002444"/>
      <name val="Cambria"/>
      <family val="0"/>
      <charset val="1"/>
    </font>
    <font>
      <i val="true"/>
      <sz val="11"/>
      <color rgb="FF555555"/>
      <name val="Cambria"/>
      <family val="0"/>
      <charset val="1"/>
    </font>
    <font>
      <b val="true"/>
      <sz val="11"/>
      <name val="Cambria"/>
      <family val="0"/>
      <charset val="1"/>
    </font>
    <font>
      <sz val="11"/>
      <color rgb="FF1F4E9E"/>
      <name val="Cambria"/>
      <family val="0"/>
      <charset val="1"/>
    </font>
    <font>
      <b val="true"/>
      <sz val="11"/>
      <color rgb="FFFFFFFF"/>
      <name val="Cambria"/>
      <family val="0"/>
      <charset val="1"/>
    </font>
    <font>
      <b val="true"/>
      <sz val="11"/>
      <color rgb="FF016F49"/>
      <name val="Cambria"/>
      <family val="0"/>
      <charset val="1"/>
    </font>
  </fonts>
  <fills count="6">
    <fill>
      <patternFill patternType="none"/>
    </fill>
    <fill>
      <patternFill patternType="gray125"/>
    </fill>
    <fill>
      <patternFill patternType="solid">
        <fgColor rgb="FFFFF7D6"/>
        <bgColor rgb="FFFFFFFF"/>
      </patternFill>
    </fill>
    <fill>
      <patternFill patternType="solid">
        <fgColor rgb="FF002444"/>
        <bgColor rgb="FF003300"/>
      </patternFill>
    </fill>
    <fill>
      <patternFill patternType="solid">
        <fgColor rgb="FFDDF1E3"/>
        <bgColor rgb="FFE8F0FA"/>
      </patternFill>
    </fill>
    <fill>
      <patternFill patternType="solid">
        <fgColor rgb="FFE8F0FA"/>
        <bgColor rgb="FFDDF1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72" fontId="6" fillId="4"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9" fontId="6" fillId="5"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2" fontId="7" fillId="2" borderId="0" xfId="0" applyFont="true" applyBorder="false" applyAlignment="false" applyProtection="false">
      <alignment horizontal="general" vertical="bottom" textRotation="0" wrapText="false" indent="0" shrinkToFit="false"/>
      <protection locked="true" hidden="false"/>
    </xf>
    <xf numFmtId="174" fontId="6" fillId="4" borderId="0" xfId="0" applyFont="true" applyBorder="false" applyAlignment="false" applyProtection="false">
      <alignment horizontal="general" vertical="bottom" textRotation="0" wrapText="false" indent="0" shrinkToFit="false"/>
      <protection locked="true" hidden="false"/>
    </xf>
    <xf numFmtId="176" fontId="7" fillId="2"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6" fontId="6" fillId="4"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F49"/>
      <rgbColor rgb="FFC0C0C0"/>
      <rgbColor rgb="FF808080"/>
      <rgbColor rgb="FF9999FF"/>
      <rgbColor rgb="FF993366"/>
      <rgbColor rgb="FFFFF7D6"/>
      <rgbColor rgb="FFE8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F1E3"/>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2444"/>
      <rgbColor rgb="FF339966"/>
      <rgbColor rgb="FF003300"/>
      <rgbColor rgb="FF333300"/>
      <rgbColor rgb="FF993300"/>
      <rgbColor rgb="FF993366"/>
      <rgbColor rgb="FF1F4E9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8.3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28.35" hidden="false" customHeight="false" outlineLevel="0" collapsed="false">
      <c r="A8" s="3" t="s">
        <v>6</v>
      </c>
    </row>
    <row r="9" customFormat="false" ht="41.75" hidden="false" customHeight="false" outlineLevel="0" collapsed="false">
      <c r="A9" s="3" t="s">
        <v>7</v>
      </c>
    </row>
    <row r="10" customFormat="false" ht="28.35" hidden="false" customHeight="false" outlineLevel="0" collapsed="false">
      <c r="A10" s="3" t="s">
        <v>8</v>
      </c>
    </row>
    <row r="11" customFormat="false" ht="28.35" hidden="false" customHeight="false" outlineLevel="0" collapsed="false">
      <c r="A11" s="3" t="s">
        <v>9</v>
      </c>
    </row>
    <row r="12" customFormat="false" ht="41.75" hidden="false" customHeight="false" outlineLevel="0" collapsed="false">
      <c r="A12" s="3" t="s">
        <v>10</v>
      </c>
    </row>
    <row r="13" customFormat="false" ht="15" hidden="false" customHeight="false" outlineLevel="0" collapsed="false">
      <c r="A13" s="3" t="s">
        <v>11</v>
      </c>
    </row>
    <row r="14" customFormat="false" ht="28.35" hidden="false" customHeight="false" outlineLevel="0" collapsed="false">
      <c r="A14" s="3" t="s">
        <v>12</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6" min="3" style="0" width="14"/>
    <col collapsed="false" customWidth="true" hidden="false" outlineLevel="0" max="7" min="7" style="0" width="16"/>
    <col collapsed="false" customWidth="true" hidden="false" outlineLevel="0" max="8" min="8" style="0" width="8"/>
    <col collapsed="false" customWidth="true" hidden="false" outlineLevel="0" max="9" min="9" style="0" width="18"/>
    <col collapsed="false" customWidth="true" hidden="false" outlineLevel="0" max="10" min="10" style="0" width="60"/>
  </cols>
  <sheetData>
    <row r="1" customFormat="false" ht="17.35" hidden="false" customHeight="false" outlineLevel="0" collapsed="false">
      <c r="A1" s="1" t="s">
        <v>13</v>
      </c>
    </row>
    <row r="2" customFormat="false" ht="15" hidden="false" customHeight="false" outlineLevel="0" collapsed="false">
      <c r="A2" s="2" t="s">
        <v>14</v>
      </c>
    </row>
    <row r="3" customFormat="false" ht="15" hidden="false" customHeight="false" outlineLevel="0" collapsed="false">
      <c r="B3" s="4" t="s">
        <v>15</v>
      </c>
      <c r="C3" s="5" t="n">
        <v>1</v>
      </c>
    </row>
    <row r="5" customFormat="false" ht="15" hidden="false" customHeight="false" outlineLevel="0" collapsed="false">
      <c r="A5" s="6" t="s">
        <v>16</v>
      </c>
      <c r="B5" s="6" t="s">
        <v>17</v>
      </c>
      <c r="C5" s="6" t="s">
        <v>18</v>
      </c>
      <c r="D5" s="6" t="s">
        <v>19</v>
      </c>
      <c r="E5" s="6" t="s">
        <v>20</v>
      </c>
      <c r="F5" s="6" t="s">
        <v>21</v>
      </c>
      <c r="G5" s="6" t="s">
        <v>22</v>
      </c>
      <c r="H5" s="6" t="s">
        <v>23</v>
      </c>
      <c r="I5" s="6" t="s">
        <v>24</v>
      </c>
      <c r="J5" s="6" t="s">
        <v>25</v>
      </c>
    </row>
    <row r="6" customFormat="false" ht="15" hidden="false" customHeight="false" outlineLevel="0" collapsed="false">
      <c r="A6" s="7" t="s">
        <v>26</v>
      </c>
      <c r="B6" s="8"/>
      <c r="C6" s="8"/>
      <c r="D6" s="8"/>
      <c r="E6" s="8"/>
      <c r="F6" s="8"/>
      <c r="G6" s="8"/>
      <c r="H6" s="8"/>
      <c r="I6" s="8"/>
      <c r="J6" s="8"/>
    </row>
    <row r="7" customFormat="false" ht="28.35" hidden="false" customHeight="false" outlineLevel="0" collapsed="false">
      <c r="A7" s="0" t="s">
        <v>27</v>
      </c>
      <c r="B7" s="3" t="s">
        <v>28</v>
      </c>
      <c r="C7" s="9" t="n">
        <v>2028</v>
      </c>
      <c r="D7" s="9" t="n">
        <v>2028</v>
      </c>
      <c r="E7" s="9" t="n">
        <v>2028</v>
      </c>
      <c r="F7" s="10" t="n">
        <f aca="false">CHOOSE($C$3,C7,D7,E7)</f>
        <v>2028</v>
      </c>
      <c r="G7" s="11" t="s">
        <v>29</v>
      </c>
      <c r="H7" s="11" t="s">
        <v>30</v>
      </c>
      <c r="J7" s="3" t="s">
        <v>31</v>
      </c>
    </row>
    <row r="8" customFormat="false" ht="15" hidden="false" customHeight="false" outlineLevel="0" collapsed="false">
      <c r="A8" s="0" t="s">
        <v>32</v>
      </c>
      <c r="B8" s="3" t="s">
        <v>33</v>
      </c>
      <c r="C8" s="9" t="n">
        <v>5</v>
      </c>
      <c r="D8" s="9" t="n">
        <v>5</v>
      </c>
      <c r="E8" s="9" t="n">
        <v>5</v>
      </c>
      <c r="F8" s="10" t="n">
        <f aca="false">CHOOSE($C$3,C8,D8,E8)</f>
        <v>5</v>
      </c>
      <c r="G8" s="11" t="s">
        <v>34</v>
      </c>
      <c r="H8" s="11" t="s">
        <v>30</v>
      </c>
      <c r="J8" s="3" t="s">
        <v>35</v>
      </c>
    </row>
    <row r="9" customFormat="false" ht="15" hidden="false" customHeight="false" outlineLevel="0" collapsed="false">
      <c r="A9" s="0" t="s">
        <v>36</v>
      </c>
      <c r="B9" s="3" t="s">
        <v>37</v>
      </c>
      <c r="C9" s="12" t="n">
        <v>0.12</v>
      </c>
      <c r="D9" s="12" t="n">
        <v>0.14</v>
      </c>
      <c r="E9" s="12" t="n">
        <v>0.1</v>
      </c>
      <c r="F9" s="10" t="n">
        <f aca="false">CHOOSE($C$3,C9,D9,E9)</f>
        <v>0.12</v>
      </c>
      <c r="G9" s="11" t="s">
        <v>38</v>
      </c>
      <c r="H9" s="11" t="s">
        <v>39</v>
      </c>
      <c r="I9" s="11" t="s">
        <v>40</v>
      </c>
      <c r="J9" s="3" t="s">
        <v>41</v>
      </c>
    </row>
    <row r="10" customFormat="false" ht="15" hidden="false" customHeight="false" outlineLevel="0" collapsed="false">
      <c r="A10" s="0" t="s">
        <v>42</v>
      </c>
      <c r="B10" s="3" t="s">
        <v>43</v>
      </c>
      <c r="C10" s="9" t="n">
        <v>330</v>
      </c>
      <c r="D10" s="9" t="n">
        <v>330</v>
      </c>
      <c r="E10" s="9" t="n">
        <v>330</v>
      </c>
      <c r="F10" s="10" t="n">
        <f aca="false">CHOOSE($C$3,C10,D10,E10)</f>
        <v>330</v>
      </c>
      <c r="G10" s="11" t="s">
        <v>42</v>
      </c>
      <c r="H10" s="11" t="s">
        <v>30</v>
      </c>
      <c r="I10" s="11" t="s">
        <v>44</v>
      </c>
      <c r="J10" s="3" t="s">
        <v>45</v>
      </c>
    </row>
    <row r="11" customFormat="false" ht="28.35" hidden="false" customHeight="false" outlineLevel="0" collapsed="false">
      <c r="A11" s="0" t="s">
        <v>46</v>
      </c>
      <c r="B11" s="3" t="s">
        <v>47</v>
      </c>
      <c r="C11" s="9" t="n">
        <v>167</v>
      </c>
      <c r="D11" s="9" t="n">
        <v>212</v>
      </c>
      <c r="E11" s="9" t="n">
        <v>150</v>
      </c>
      <c r="F11" s="10" t="n">
        <f aca="false">CHOOSE($C$3,C11,D11,E11)</f>
        <v>167</v>
      </c>
      <c r="G11" s="11" t="s">
        <v>48</v>
      </c>
      <c r="H11" s="11" t="s">
        <v>39</v>
      </c>
      <c r="I11" s="11" t="s">
        <v>49</v>
      </c>
      <c r="J11" s="3" t="s">
        <v>50</v>
      </c>
    </row>
    <row r="12" customFormat="false" ht="15" hidden="false" customHeight="false" outlineLevel="0" collapsed="false">
      <c r="A12" s="0" t="s">
        <v>51</v>
      </c>
      <c r="B12" s="3" t="s">
        <v>52</v>
      </c>
      <c r="C12" s="12" t="n">
        <v>0.03</v>
      </c>
      <c r="D12" s="12" t="n">
        <v>0.02</v>
      </c>
      <c r="E12" s="12" t="n">
        <v>0.04</v>
      </c>
      <c r="F12" s="10" t="n">
        <f aca="false">CHOOSE($C$3,C12,D12,E12)</f>
        <v>0.03</v>
      </c>
      <c r="G12" s="11" t="s">
        <v>53</v>
      </c>
      <c r="H12" s="11" t="s">
        <v>30</v>
      </c>
      <c r="J12" s="3" t="s">
        <v>54</v>
      </c>
    </row>
    <row r="13" customFormat="false" ht="15" hidden="false" customHeight="false" outlineLevel="0" collapsed="false">
      <c r="A13" s="0" t="s">
        <v>55</v>
      </c>
      <c r="B13" s="3" t="s">
        <v>56</v>
      </c>
      <c r="C13" s="12" t="n">
        <v>0.02</v>
      </c>
      <c r="D13" s="12" t="n">
        <v>0.01</v>
      </c>
      <c r="E13" s="12" t="n">
        <v>0.03</v>
      </c>
      <c r="F13" s="10" t="n">
        <f aca="false">CHOOSE($C$3,C13,D13,E13)</f>
        <v>0.02</v>
      </c>
      <c r="G13" s="11" t="s">
        <v>53</v>
      </c>
      <c r="H13" s="11" t="s">
        <v>30</v>
      </c>
      <c r="J13" s="3" t="s">
        <v>54</v>
      </c>
    </row>
    <row r="14" customFormat="false" ht="15" hidden="false" customHeight="false" outlineLevel="0" collapsed="false">
      <c r="A14" s="0" t="s">
        <v>57</v>
      </c>
      <c r="B14" s="3" t="s">
        <v>58</v>
      </c>
      <c r="C14" s="9" t="n">
        <v>150</v>
      </c>
      <c r="D14" s="9" t="n">
        <v>150</v>
      </c>
      <c r="E14" s="9" t="n">
        <v>150</v>
      </c>
      <c r="F14" s="10" t="n">
        <f aca="false">CHOOSE($C$3,C14,D14,E14)</f>
        <v>150</v>
      </c>
      <c r="G14" s="11" t="s">
        <v>59</v>
      </c>
      <c r="H14" s="11" t="s">
        <v>30</v>
      </c>
      <c r="J14" s="3" t="s">
        <v>60</v>
      </c>
    </row>
    <row r="15" customFormat="false" ht="15" hidden="false" customHeight="false" outlineLevel="0" collapsed="false">
      <c r="A15" s="7" t="s">
        <v>61</v>
      </c>
      <c r="B15" s="8"/>
      <c r="C15" s="8"/>
      <c r="D15" s="8"/>
      <c r="E15" s="8"/>
      <c r="F15" s="8"/>
      <c r="G15" s="8"/>
      <c r="H15" s="8"/>
      <c r="I15" s="8"/>
      <c r="J15" s="8"/>
    </row>
    <row r="16" customFormat="false" ht="28.35" hidden="false" customHeight="false" outlineLevel="0" collapsed="false">
      <c r="A16" s="0" t="s">
        <v>62</v>
      </c>
      <c r="B16" s="3" t="s">
        <v>63</v>
      </c>
      <c r="C16" s="9" t="n">
        <v>350000</v>
      </c>
      <c r="D16" s="9" t="n">
        <v>400000</v>
      </c>
      <c r="E16" s="9" t="n">
        <v>300000</v>
      </c>
      <c r="F16" s="10" t="n">
        <f aca="false">CHOOSE($C$3,C16,D16,E16)</f>
        <v>350000</v>
      </c>
      <c r="G16" s="11" t="s">
        <v>64</v>
      </c>
      <c r="H16" s="11" t="s">
        <v>30</v>
      </c>
      <c r="I16" s="11" t="s">
        <v>65</v>
      </c>
      <c r="J16" s="3" t="s">
        <v>66</v>
      </c>
    </row>
    <row r="17" customFormat="false" ht="15" hidden="false" customHeight="false" outlineLevel="0" collapsed="false">
      <c r="A17" s="0" t="s">
        <v>67</v>
      </c>
      <c r="B17" s="3" t="s">
        <v>68</v>
      </c>
      <c r="C17" s="9" t="n">
        <v>100000</v>
      </c>
      <c r="D17" s="9" t="n">
        <v>70000</v>
      </c>
      <c r="E17" s="9" t="n">
        <v>130000</v>
      </c>
      <c r="F17" s="10" t="n">
        <f aca="false">CHOOSE($C$3,C17,D17,E17)</f>
        <v>100000</v>
      </c>
      <c r="G17" s="11" t="s">
        <v>64</v>
      </c>
      <c r="H17" s="11" t="s">
        <v>30</v>
      </c>
      <c r="I17" s="11" t="s">
        <v>65</v>
      </c>
      <c r="J17" s="3"/>
    </row>
    <row r="18" customFormat="false" ht="28.35" hidden="false" customHeight="false" outlineLevel="0" collapsed="false">
      <c r="A18" s="0" t="s">
        <v>69</v>
      </c>
      <c r="B18" s="3" t="s">
        <v>70</v>
      </c>
      <c r="C18" s="9" t="n">
        <v>87</v>
      </c>
      <c r="D18" s="9" t="n">
        <v>78</v>
      </c>
      <c r="E18" s="9" t="n">
        <v>95</v>
      </c>
      <c r="F18" s="10" t="n">
        <f aca="false">CHOOSE($C$3,C18,D18,E18)</f>
        <v>87</v>
      </c>
      <c r="G18" s="11" t="s">
        <v>71</v>
      </c>
      <c r="H18" s="11" t="s">
        <v>39</v>
      </c>
      <c r="I18" s="11" t="s">
        <v>72</v>
      </c>
      <c r="J18" s="3" t="s">
        <v>73</v>
      </c>
    </row>
    <row r="19" customFormat="false" ht="28.35" hidden="false" customHeight="false" outlineLevel="0" collapsed="false">
      <c r="A19" s="0" t="s">
        <v>74</v>
      </c>
      <c r="B19" s="3" t="s">
        <v>75</v>
      </c>
      <c r="C19" s="9" t="n">
        <v>25</v>
      </c>
      <c r="D19" s="9" t="n">
        <v>27</v>
      </c>
      <c r="E19" s="9" t="n">
        <v>23</v>
      </c>
      <c r="F19" s="10" t="n">
        <f aca="false">CHOOSE($C$3,C19,D19,E19)</f>
        <v>25</v>
      </c>
      <c r="G19" s="11" t="s">
        <v>76</v>
      </c>
      <c r="H19" s="11" t="s">
        <v>30</v>
      </c>
      <c r="I19" s="11" t="s">
        <v>77</v>
      </c>
      <c r="J19" s="3" t="s">
        <v>78</v>
      </c>
    </row>
    <row r="20" customFormat="false" ht="28.35" hidden="false" customHeight="false" outlineLevel="0" collapsed="false">
      <c r="A20" s="0" t="s">
        <v>79</v>
      </c>
      <c r="B20" s="3" t="s">
        <v>80</v>
      </c>
      <c r="C20" s="9" t="n">
        <v>102</v>
      </c>
      <c r="D20" s="9" t="n">
        <v>95</v>
      </c>
      <c r="E20" s="9" t="n">
        <v>111</v>
      </c>
      <c r="F20" s="10" t="n">
        <f aca="false">CHOOSE($C$3,C20,D20,E20)</f>
        <v>102</v>
      </c>
      <c r="G20" s="11" t="s">
        <v>81</v>
      </c>
      <c r="H20" s="11" t="s">
        <v>39</v>
      </c>
      <c r="I20" s="11" t="s">
        <v>82</v>
      </c>
      <c r="J20" s="3" t="s">
        <v>83</v>
      </c>
    </row>
    <row r="21" customFormat="false" ht="15" hidden="false" customHeight="false" outlineLevel="0" collapsed="false">
      <c r="A21" s="0" t="s">
        <v>84</v>
      </c>
      <c r="B21" s="3" t="s">
        <v>85</v>
      </c>
      <c r="C21" s="9" t="n">
        <v>15</v>
      </c>
      <c r="D21" s="9" t="n">
        <v>16</v>
      </c>
      <c r="E21" s="9" t="n">
        <v>14</v>
      </c>
      <c r="F21" s="10" t="n">
        <f aca="false">CHOOSE($C$3,C21,D21,E21)</f>
        <v>15</v>
      </c>
      <c r="G21" s="11" t="s">
        <v>86</v>
      </c>
      <c r="H21" s="11" t="s">
        <v>30</v>
      </c>
      <c r="I21" s="11" t="s">
        <v>87</v>
      </c>
      <c r="J21" s="3" t="s">
        <v>88</v>
      </c>
    </row>
    <row r="22" customFormat="false" ht="15" hidden="false" customHeight="false" outlineLevel="0" collapsed="false">
      <c r="A22" s="0" t="s">
        <v>89</v>
      </c>
      <c r="B22" s="3" t="s">
        <v>90</v>
      </c>
      <c r="C22" s="12" t="n">
        <v>0.05</v>
      </c>
      <c r="D22" s="12" t="n">
        <v>0.05</v>
      </c>
      <c r="E22" s="12" t="n">
        <v>0.05</v>
      </c>
      <c r="F22" s="10" t="n">
        <f aca="false">CHOOSE($C$3,C22,D22,E22)</f>
        <v>0.05</v>
      </c>
      <c r="G22" s="11" t="s">
        <v>38</v>
      </c>
      <c r="H22" s="11" t="s">
        <v>30</v>
      </c>
      <c r="J22" s="3"/>
    </row>
    <row r="23" customFormat="false" ht="15" hidden="false" customHeight="false" outlineLevel="0" collapsed="false">
      <c r="A23" s="0" t="s">
        <v>91</v>
      </c>
      <c r="B23" s="3" t="s">
        <v>92</v>
      </c>
      <c r="C23" s="13" t="n">
        <v>0.9</v>
      </c>
      <c r="D23" s="13" t="n">
        <v>0.7</v>
      </c>
      <c r="E23" s="9" t="n">
        <v>1.2</v>
      </c>
      <c r="F23" s="10" t="n">
        <f aca="false">CHOOSE($C$3,C23,D23,E23)</f>
        <v>0.9</v>
      </c>
      <c r="G23" s="11" t="s">
        <v>93</v>
      </c>
      <c r="H23" s="11" t="s">
        <v>30</v>
      </c>
      <c r="I23" s="11" t="s">
        <v>94</v>
      </c>
      <c r="J23" s="3" t="s">
        <v>95</v>
      </c>
    </row>
    <row r="24" customFormat="false" ht="15" hidden="false" customHeight="false" outlineLevel="0" collapsed="false">
      <c r="A24" s="0" t="s">
        <v>96</v>
      </c>
      <c r="B24" s="3" t="s">
        <v>97</v>
      </c>
      <c r="C24" s="9" t="n">
        <v>18000</v>
      </c>
      <c r="D24" s="9" t="n">
        <v>18000</v>
      </c>
      <c r="E24" s="9" t="n">
        <v>18000</v>
      </c>
      <c r="F24" s="10" t="n">
        <f aca="false">CHOOSE($C$3,C24,D24,E24)</f>
        <v>18000</v>
      </c>
      <c r="G24" s="11" t="s">
        <v>98</v>
      </c>
      <c r="H24" s="11" t="s">
        <v>30</v>
      </c>
      <c r="J24" s="3"/>
    </row>
    <row r="25" customFormat="false" ht="15" hidden="false" customHeight="false" outlineLevel="0" collapsed="false">
      <c r="A25" s="0" t="s">
        <v>99</v>
      </c>
      <c r="B25" s="3" t="s">
        <v>100</v>
      </c>
      <c r="C25" s="9" t="n">
        <v>2000</v>
      </c>
      <c r="D25" s="9" t="n">
        <v>2000</v>
      </c>
      <c r="E25" s="9" t="n">
        <v>2000</v>
      </c>
      <c r="F25" s="10" t="n">
        <f aca="false">CHOOSE($C$3,C25,D25,E25)</f>
        <v>2000</v>
      </c>
      <c r="G25" s="11" t="s">
        <v>101</v>
      </c>
      <c r="H25" s="11" t="s">
        <v>39</v>
      </c>
      <c r="I25" s="11" t="s">
        <v>102</v>
      </c>
      <c r="J25" s="3" t="s">
        <v>103</v>
      </c>
    </row>
    <row r="26" customFormat="false" ht="15" hidden="false" customHeight="false" outlineLevel="0" collapsed="false">
      <c r="A26" s="0" t="s">
        <v>104</v>
      </c>
      <c r="B26" s="3" t="s">
        <v>105</v>
      </c>
      <c r="C26" s="13" t="n">
        <v>0.5</v>
      </c>
      <c r="D26" s="13" t="n">
        <v>0.4</v>
      </c>
      <c r="E26" s="13" t="n">
        <v>0.6</v>
      </c>
      <c r="F26" s="10" t="n">
        <f aca="false">CHOOSE($C$3,C26,D26,E26)</f>
        <v>0.5</v>
      </c>
      <c r="G26" s="11" t="s">
        <v>106</v>
      </c>
      <c r="H26" s="11" t="s">
        <v>30</v>
      </c>
      <c r="J26" s="3"/>
    </row>
    <row r="27" customFormat="false" ht="15" hidden="false" customHeight="false" outlineLevel="0" collapsed="false">
      <c r="A27" s="7" t="s">
        <v>107</v>
      </c>
      <c r="B27" s="8"/>
      <c r="C27" s="8"/>
      <c r="D27" s="8"/>
      <c r="E27" s="8"/>
      <c r="F27" s="8"/>
      <c r="G27" s="8"/>
      <c r="H27" s="8"/>
      <c r="I27" s="8"/>
      <c r="J27" s="8"/>
    </row>
    <row r="28" customFormat="false" ht="15" hidden="false" customHeight="false" outlineLevel="0" collapsed="false">
      <c r="A28" s="0" t="s">
        <v>108</v>
      </c>
      <c r="B28" s="3" t="s">
        <v>109</v>
      </c>
      <c r="C28" s="14" t="n">
        <f aca="false">BOM!$H$40</f>
        <v>322123.48</v>
      </c>
      <c r="D28" s="5" t="n">
        <f aca="false">BOM!$H$40*1.25</f>
        <v>402654.35</v>
      </c>
      <c r="E28" s="5" t="n">
        <f aca="false">BOM!$H$40*0.85</f>
        <v>273804.958</v>
      </c>
      <c r="F28" s="10" t="n">
        <f aca="false">CHOOSE($C$3,C28,D28,E28)</f>
        <v>322123.48</v>
      </c>
      <c r="G28" s="11" t="s">
        <v>64</v>
      </c>
      <c r="H28" s="11" t="s">
        <v>110</v>
      </c>
      <c r="I28" s="11" t="s">
        <v>111</v>
      </c>
      <c r="J28" s="3" t="s">
        <v>112</v>
      </c>
    </row>
    <row r="29" customFormat="false" ht="15" hidden="false" customHeight="false" outlineLevel="0" collapsed="false">
      <c r="A29" s="0" t="s">
        <v>113</v>
      </c>
      <c r="B29" s="3" t="s">
        <v>114</v>
      </c>
      <c r="C29" s="14" t="n">
        <f aca="false">BOM!$G$40</f>
        <v>774375</v>
      </c>
      <c r="D29" s="14" t="n">
        <f aca="false">BOM!$G$40</f>
        <v>774375</v>
      </c>
      <c r="E29" s="14" t="n">
        <f aca="false">BOM!$G$40</f>
        <v>774375</v>
      </c>
      <c r="F29" s="10" t="n">
        <f aca="false">CHOOSE($C$3,C29,D29,E29)</f>
        <v>774375</v>
      </c>
      <c r="G29" s="11" t="s">
        <v>64</v>
      </c>
      <c r="H29" s="11" t="s">
        <v>110</v>
      </c>
      <c r="I29" s="11" t="s">
        <v>111</v>
      </c>
      <c r="J29" s="3"/>
    </row>
    <row r="30" customFormat="false" ht="15" hidden="false" customHeight="false" outlineLevel="0" collapsed="false">
      <c r="A30" s="0" t="s">
        <v>115</v>
      </c>
      <c r="B30" s="3" t="s">
        <v>116</v>
      </c>
      <c r="C30" s="9" t="n">
        <v>10000</v>
      </c>
      <c r="D30" s="9" t="n">
        <v>0</v>
      </c>
      <c r="E30" s="9" t="n">
        <v>20000</v>
      </c>
      <c r="F30" s="10" t="n">
        <f aca="false">CHOOSE($C$3,C30,D30,E30)</f>
        <v>10000</v>
      </c>
      <c r="G30" s="11" t="s">
        <v>64</v>
      </c>
      <c r="H30" s="11" t="s">
        <v>30</v>
      </c>
      <c r="J30" s="3" t="s">
        <v>117</v>
      </c>
    </row>
    <row r="31" customFormat="false" ht="15" hidden="false" customHeight="false" outlineLevel="0" collapsed="false">
      <c r="A31" s="0" t="s">
        <v>118</v>
      </c>
      <c r="B31" s="3" t="s">
        <v>119</v>
      </c>
      <c r="C31" s="9" t="n">
        <v>3</v>
      </c>
      <c r="D31" s="9" t="n">
        <v>4</v>
      </c>
      <c r="E31" s="9" t="n">
        <v>2</v>
      </c>
      <c r="F31" s="10" t="n">
        <f aca="false">CHOOSE($C$3,C31,D31,E31)</f>
        <v>3</v>
      </c>
      <c r="G31" s="11" t="s">
        <v>42</v>
      </c>
      <c r="H31" s="11" t="s">
        <v>30</v>
      </c>
      <c r="J31" s="3"/>
    </row>
    <row r="32" customFormat="false" ht="15" hidden="false" customHeight="false" outlineLevel="0" collapsed="false">
      <c r="A32" s="0" t="s">
        <v>120</v>
      </c>
      <c r="B32" s="3" t="s">
        <v>121</v>
      </c>
      <c r="C32" s="9" t="n">
        <v>1500</v>
      </c>
      <c r="D32" s="9" t="n">
        <v>1500</v>
      </c>
      <c r="E32" s="9" t="n">
        <v>1500</v>
      </c>
      <c r="F32" s="10" t="n">
        <f aca="false">CHOOSE($C$3,C32,D32,E32)</f>
        <v>1500</v>
      </c>
      <c r="G32" s="11" t="s">
        <v>122</v>
      </c>
      <c r="H32" s="11" t="s">
        <v>30</v>
      </c>
      <c r="J32" s="3"/>
    </row>
    <row r="33" customFormat="false" ht="28.35" hidden="false" customHeight="false" outlineLevel="0" collapsed="false">
      <c r="A33" s="0" t="s">
        <v>123</v>
      </c>
      <c r="B33" s="3" t="s">
        <v>124</v>
      </c>
      <c r="C33" s="9" t="n">
        <v>1.85</v>
      </c>
      <c r="D33" s="9" t="n">
        <v>2.3</v>
      </c>
      <c r="E33" s="9" t="n">
        <v>1.6</v>
      </c>
      <c r="F33" s="10" t="n">
        <f aca="false">CHOOSE($C$3,C33,D33,E33)</f>
        <v>1.85</v>
      </c>
      <c r="G33" s="11" t="s">
        <v>125</v>
      </c>
      <c r="H33" s="11" t="s">
        <v>110</v>
      </c>
      <c r="I33" s="11" t="s">
        <v>126</v>
      </c>
      <c r="J33" s="3" t="s">
        <v>127</v>
      </c>
    </row>
    <row r="34" customFormat="false" ht="15" hidden="false" customHeight="false" outlineLevel="0" collapsed="false">
      <c r="A34" s="0" t="s">
        <v>128</v>
      </c>
      <c r="B34" s="3" t="s">
        <v>129</v>
      </c>
      <c r="C34" s="12" t="n">
        <v>0.65</v>
      </c>
      <c r="D34" s="12" t="n">
        <v>0.5</v>
      </c>
      <c r="E34" s="12" t="n">
        <v>0.85</v>
      </c>
      <c r="F34" s="10" t="n">
        <f aca="false">CHOOSE($C$3,C34,D34,E34)</f>
        <v>0.65</v>
      </c>
      <c r="G34" s="11" t="s">
        <v>38</v>
      </c>
      <c r="H34" s="11" t="s">
        <v>30</v>
      </c>
      <c r="J34" s="3" t="s">
        <v>130</v>
      </c>
    </row>
    <row r="35" customFormat="false" ht="28.35" hidden="false" customHeight="false" outlineLevel="0" collapsed="false">
      <c r="A35" s="0" t="s">
        <v>131</v>
      </c>
      <c r="B35" s="3" t="s">
        <v>132</v>
      </c>
      <c r="C35" s="9" t="n">
        <v>800</v>
      </c>
      <c r="D35" s="9" t="n">
        <v>1000</v>
      </c>
      <c r="E35" s="9" t="n">
        <v>550</v>
      </c>
      <c r="F35" s="10" t="n">
        <f aca="false">CHOOSE($C$3,C35,D35,E35)</f>
        <v>800</v>
      </c>
      <c r="G35" s="11" t="s">
        <v>71</v>
      </c>
      <c r="H35" s="11" t="s">
        <v>110</v>
      </c>
      <c r="I35" s="11" t="s">
        <v>133</v>
      </c>
      <c r="J35" s="3" t="s">
        <v>134</v>
      </c>
    </row>
    <row r="36" customFormat="false" ht="15" hidden="false" customHeight="false" outlineLevel="0" collapsed="false">
      <c r="A36" s="0" t="s">
        <v>135</v>
      </c>
      <c r="B36" s="3" t="s">
        <v>136</v>
      </c>
      <c r="C36" s="12" t="n">
        <v>-0.1</v>
      </c>
      <c r="D36" s="12" t="n">
        <v>-0.03</v>
      </c>
      <c r="E36" s="12" t="n">
        <v>-0.15</v>
      </c>
      <c r="F36" s="10" t="n">
        <f aca="false">CHOOSE($C$3,C36,D36,E36)</f>
        <v>-0.1</v>
      </c>
      <c r="G36" s="11" t="s">
        <v>53</v>
      </c>
      <c r="H36" s="11" t="s">
        <v>30</v>
      </c>
      <c r="I36" s="11" t="s">
        <v>94</v>
      </c>
      <c r="J36" s="3" t="s">
        <v>137</v>
      </c>
    </row>
    <row r="37" customFormat="false" ht="15" hidden="false" customHeight="false" outlineLevel="0" collapsed="false">
      <c r="A37" s="0" t="s">
        <v>138</v>
      </c>
      <c r="B37" s="3" t="s">
        <v>139</v>
      </c>
      <c r="C37" s="9" t="n">
        <v>1</v>
      </c>
      <c r="D37" s="9" t="n">
        <v>1.2</v>
      </c>
      <c r="E37" s="13" t="n">
        <v>0.85</v>
      </c>
      <c r="F37" s="10" t="n">
        <f aca="false">CHOOSE($C$3,C37,D37,E37)</f>
        <v>1</v>
      </c>
      <c r="G37" s="11" t="s">
        <v>93</v>
      </c>
      <c r="H37" s="11" t="s">
        <v>30</v>
      </c>
      <c r="I37" s="11" t="s">
        <v>94</v>
      </c>
      <c r="J37" s="3" t="s">
        <v>140</v>
      </c>
    </row>
    <row r="38" customFormat="false" ht="28.35" hidden="false" customHeight="false" outlineLevel="0" collapsed="false">
      <c r="A38" s="0" t="s">
        <v>141</v>
      </c>
      <c r="B38" s="3" t="s">
        <v>142</v>
      </c>
      <c r="C38" s="9" t="n">
        <v>21000</v>
      </c>
      <c r="D38" s="9" t="n">
        <v>24000</v>
      </c>
      <c r="E38" s="9" t="n">
        <v>19000</v>
      </c>
      <c r="F38" s="10" t="n">
        <f aca="false">CHOOSE($C$3,C38,D38,E38)</f>
        <v>21000</v>
      </c>
      <c r="G38" s="11" t="s">
        <v>98</v>
      </c>
      <c r="H38" s="11" t="s">
        <v>30</v>
      </c>
      <c r="I38" s="11" t="s">
        <v>143</v>
      </c>
      <c r="J38" s="3" t="s">
        <v>144</v>
      </c>
    </row>
    <row r="39" customFormat="false" ht="15" hidden="false" customHeight="false" outlineLevel="0" collapsed="false">
      <c r="A39" s="0" t="s">
        <v>145</v>
      </c>
      <c r="B39" s="3" t="s">
        <v>146</v>
      </c>
      <c r="C39" s="9" t="n">
        <v>4000</v>
      </c>
      <c r="D39" s="9" t="n">
        <v>6000</v>
      </c>
      <c r="E39" s="9" t="n">
        <v>3000</v>
      </c>
      <c r="F39" s="10" t="n">
        <f aca="false">CHOOSE($C$3,C39,D39,E39)</f>
        <v>4000</v>
      </c>
      <c r="G39" s="11" t="s">
        <v>98</v>
      </c>
      <c r="H39" s="11" t="s">
        <v>30</v>
      </c>
      <c r="I39" s="11" t="s">
        <v>102</v>
      </c>
      <c r="J39" s="3"/>
    </row>
    <row r="40" customFormat="false" ht="15" hidden="false" customHeight="false" outlineLevel="0" collapsed="false">
      <c r="A40" s="0" t="s">
        <v>147</v>
      </c>
      <c r="B40" s="3" t="s">
        <v>148</v>
      </c>
      <c r="C40" s="13" t="n">
        <v>0.4</v>
      </c>
      <c r="D40" s="13" t="n">
        <v>0.6</v>
      </c>
      <c r="E40" s="13" t="n">
        <v>0.3</v>
      </c>
      <c r="F40" s="10" t="n">
        <f aca="false">CHOOSE($C$3,C40,D40,E40)</f>
        <v>0.4</v>
      </c>
      <c r="G40" s="11" t="s">
        <v>106</v>
      </c>
      <c r="H40" s="11" t="s">
        <v>30</v>
      </c>
      <c r="J40" s="3" t="s">
        <v>149</v>
      </c>
    </row>
    <row r="41" customFormat="false" ht="15" hidden="false" customHeight="false" outlineLevel="0" collapsed="false">
      <c r="A41" s="0" t="s">
        <v>150</v>
      </c>
      <c r="B41" s="3" t="s">
        <v>151</v>
      </c>
      <c r="C41" s="12" t="n">
        <v>0.9</v>
      </c>
      <c r="D41" s="12" t="n">
        <v>0.8</v>
      </c>
      <c r="E41" s="9" t="n">
        <v>1</v>
      </c>
      <c r="F41" s="10" t="n">
        <f aca="false">CHOOSE($C$3,C41,D41,E41)</f>
        <v>0.9</v>
      </c>
      <c r="G41" s="11" t="s">
        <v>38</v>
      </c>
      <c r="H41" s="11" t="s">
        <v>30</v>
      </c>
      <c r="J41" s="3"/>
    </row>
    <row r="42" customFormat="false" ht="15" hidden="false" customHeight="false" outlineLevel="0" collapsed="false">
      <c r="A42" s="0" t="s">
        <v>152</v>
      </c>
      <c r="B42" s="3" t="s">
        <v>153</v>
      </c>
      <c r="C42" s="9" t="n">
        <v>0</v>
      </c>
      <c r="D42" s="9" t="n">
        <v>0</v>
      </c>
      <c r="E42" s="9" t="n">
        <v>20000</v>
      </c>
      <c r="F42" s="10" t="n">
        <f aca="false">CHOOSE($C$3,C42,D42,E42)</f>
        <v>0</v>
      </c>
      <c r="G42" s="11" t="s">
        <v>64</v>
      </c>
      <c r="H42" s="11" t="s">
        <v>30</v>
      </c>
      <c r="J42" s="3"/>
    </row>
    <row r="43" customFormat="false" ht="15" hidden="false" customHeight="false" outlineLevel="0" collapsed="false">
      <c r="A43" s="7" t="s">
        <v>154</v>
      </c>
      <c r="B43" s="8"/>
      <c r="C43" s="8"/>
      <c r="D43" s="8"/>
      <c r="E43" s="8"/>
      <c r="F43" s="8"/>
      <c r="G43" s="8"/>
      <c r="H43" s="8"/>
      <c r="I43" s="8"/>
      <c r="J43" s="8"/>
    </row>
    <row r="44" customFormat="false" ht="28.35" hidden="false" customHeight="false" outlineLevel="0" collapsed="false">
      <c r="A44" s="0" t="s">
        <v>155</v>
      </c>
      <c r="B44" s="3" t="s">
        <v>156</v>
      </c>
      <c r="C44" s="9" t="n">
        <v>1050000</v>
      </c>
      <c r="D44" s="9" t="n">
        <v>900000</v>
      </c>
      <c r="E44" s="9" t="n">
        <v>1300000</v>
      </c>
      <c r="F44" s="10" t="n">
        <f aca="false">CHOOSE($C$3,C44,D44,E44)</f>
        <v>1050000</v>
      </c>
      <c r="G44" s="11" t="s">
        <v>64</v>
      </c>
      <c r="H44" s="11" t="s">
        <v>39</v>
      </c>
      <c r="I44" s="11" t="s">
        <v>157</v>
      </c>
      <c r="J44" s="3" t="s">
        <v>158</v>
      </c>
    </row>
    <row r="45" customFormat="false" ht="28.35" hidden="false" customHeight="false" outlineLevel="0" collapsed="false">
      <c r="A45" s="0" t="s">
        <v>159</v>
      </c>
      <c r="B45" s="3" t="s">
        <v>160</v>
      </c>
      <c r="C45" s="9" t="n">
        <v>30000</v>
      </c>
      <c r="D45" s="9" t="n">
        <v>20000</v>
      </c>
      <c r="E45" s="9" t="n">
        <v>40000</v>
      </c>
      <c r="F45" s="10" t="n">
        <f aca="false">CHOOSE($C$3,C45,D45,E45)</f>
        <v>30000</v>
      </c>
      <c r="G45" s="11" t="s">
        <v>64</v>
      </c>
      <c r="H45" s="11" t="s">
        <v>39</v>
      </c>
      <c r="I45" s="11" t="s">
        <v>161</v>
      </c>
      <c r="J45" s="3" t="s">
        <v>162</v>
      </c>
    </row>
    <row r="46" customFormat="false" ht="28.35" hidden="false" customHeight="false" outlineLevel="0" collapsed="false">
      <c r="A46" s="0" t="s">
        <v>163</v>
      </c>
      <c r="B46" s="3" t="s">
        <v>164</v>
      </c>
      <c r="C46" s="9" t="n">
        <v>15</v>
      </c>
      <c r="D46" s="9" t="n">
        <v>13</v>
      </c>
      <c r="E46" s="9" t="n">
        <v>17</v>
      </c>
      <c r="F46" s="10" t="n">
        <f aca="false">CHOOSE($C$3,C46,D46,E46)</f>
        <v>15</v>
      </c>
      <c r="G46" s="11" t="s">
        <v>165</v>
      </c>
      <c r="H46" s="11" t="s">
        <v>39</v>
      </c>
      <c r="I46" s="11" t="s">
        <v>166</v>
      </c>
      <c r="J46" s="3" t="s">
        <v>167</v>
      </c>
    </row>
    <row r="47" customFormat="false" ht="28.35" hidden="false" customHeight="false" outlineLevel="0" collapsed="false">
      <c r="A47" s="0" t="s">
        <v>168</v>
      </c>
      <c r="B47" s="3" t="s">
        <v>169</v>
      </c>
      <c r="C47" s="9" t="n">
        <v>6</v>
      </c>
      <c r="D47" s="9" t="n">
        <v>5</v>
      </c>
      <c r="E47" s="9" t="n">
        <v>8</v>
      </c>
      <c r="F47" s="10" t="n">
        <f aca="false">CHOOSE($C$3,C47,D47,E47)</f>
        <v>6</v>
      </c>
      <c r="G47" s="11" t="s">
        <v>170</v>
      </c>
      <c r="H47" s="11" t="s">
        <v>39</v>
      </c>
      <c r="I47" s="11" t="s">
        <v>171</v>
      </c>
      <c r="J47" s="3" t="s">
        <v>172</v>
      </c>
    </row>
    <row r="48" customFormat="false" ht="15" hidden="false" customHeight="false" outlineLevel="0" collapsed="false">
      <c r="A48" s="0" t="s">
        <v>173</v>
      </c>
      <c r="B48" s="3" t="s">
        <v>174</v>
      </c>
      <c r="C48" s="9" t="n">
        <v>20</v>
      </c>
      <c r="D48" s="9" t="n">
        <v>16</v>
      </c>
      <c r="E48" s="9" t="n">
        <v>25</v>
      </c>
      <c r="F48" s="10" t="n">
        <f aca="false">CHOOSE($C$3,C48,D48,E48)</f>
        <v>20</v>
      </c>
      <c r="G48" s="11" t="s">
        <v>170</v>
      </c>
      <c r="H48" s="11" t="s">
        <v>39</v>
      </c>
      <c r="I48" s="11" t="s">
        <v>175</v>
      </c>
      <c r="J48" s="3" t="s">
        <v>176</v>
      </c>
    </row>
    <row r="49" customFormat="false" ht="15" hidden="false" customHeight="false" outlineLevel="0" collapsed="false">
      <c r="A49" s="0" t="s">
        <v>177</v>
      </c>
      <c r="B49" s="3" t="s">
        <v>178</v>
      </c>
      <c r="C49" s="12" t="n">
        <v>0.3</v>
      </c>
      <c r="D49" s="12" t="n">
        <v>0.2</v>
      </c>
      <c r="E49" s="12" t="n">
        <v>0.5</v>
      </c>
      <c r="F49" s="10" t="n">
        <f aca="false">CHOOSE($C$3,C49,D49,E49)</f>
        <v>0.3</v>
      </c>
      <c r="G49" s="11" t="s">
        <v>38</v>
      </c>
      <c r="H49" s="11" t="s">
        <v>30</v>
      </c>
      <c r="J49" s="3"/>
    </row>
    <row r="50" customFormat="false" ht="15" hidden="false" customHeight="false" outlineLevel="0" collapsed="false">
      <c r="A50" s="0" t="s">
        <v>179</v>
      </c>
      <c r="B50" s="3" t="s">
        <v>180</v>
      </c>
      <c r="C50" s="13" t="n">
        <v>0.5</v>
      </c>
      <c r="D50" s="13" t="n">
        <v>0.4</v>
      </c>
      <c r="E50" s="13" t="n">
        <v>0.8</v>
      </c>
      <c r="F50" s="10" t="n">
        <f aca="false">CHOOSE($C$3,C50,D50,E50)</f>
        <v>0.5</v>
      </c>
      <c r="G50" s="11" t="s">
        <v>93</v>
      </c>
      <c r="H50" s="11" t="s">
        <v>30</v>
      </c>
      <c r="I50" s="11" t="s">
        <v>94</v>
      </c>
      <c r="J50" s="3"/>
    </row>
    <row r="51" customFormat="false" ht="15" hidden="false" customHeight="false" outlineLevel="0" collapsed="false">
      <c r="A51" s="0" t="s">
        <v>181</v>
      </c>
      <c r="B51" s="3" t="s">
        <v>182</v>
      </c>
      <c r="C51" s="9" t="n">
        <v>30000</v>
      </c>
      <c r="D51" s="9" t="n">
        <v>28000</v>
      </c>
      <c r="E51" s="9" t="n">
        <v>34000</v>
      </c>
      <c r="F51" s="10" t="n">
        <f aca="false">CHOOSE($C$3,C51,D51,E51)</f>
        <v>30000</v>
      </c>
      <c r="G51" s="11" t="s">
        <v>98</v>
      </c>
      <c r="H51" s="11" t="s">
        <v>30</v>
      </c>
      <c r="J51" s="3"/>
    </row>
    <row r="52" customFormat="false" ht="28.35" hidden="false" customHeight="false" outlineLevel="0" collapsed="false">
      <c r="A52" s="0" t="s">
        <v>183</v>
      </c>
      <c r="B52" s="3" t="s">
        <v>184</v>
      </c>
      <c r="C52" s="9" t="n">
        <v>420000</v>
      </c>
      <c r="D52" s="9" t="n">
        <v>480000</v>
      </c>
      <c r="E52" s="9" t="n">
        <v>340000</v>
      </c>
      <c r="F52" s="10" t="n">
        <f aca="false">CHOOSE($C$3,C52,D52,E52)</f>
        <v>420000</v>
      </c>
      <c r="G52" s="11" t="s">
        <v>64</v>
      </c>
      <c r="H52" s="11" t="s">
        <v>30</v>
      </c>
      <c r="I52" s="11" t="s">
        <v>94</v>
      </c>
      <c r="J52" s="3" t="s">
        <v>185</v>
      </c>
    </row>
    <row r="53" customFormat="false" ht="15" hidden="false" customHeight="false" outlineLevel="0" collapsed="false">
      <c r="A53" s="0" t="s">
        <v>186</v>
      </c>
      <c r="B53" s="3" t="s">
        <v>187</v>
      </c>
      <c r="C53" s="13" t="n">
        <v>0.5</v>
      </c>
      <c r="D53" s="13" t="n">
        <v>0.3</v>
      </c>
      <c r="E53" s="9" t="n">
        <v>1</v>
      </c>
      <c r="F53" s="10" t="n">
        <f aca="false">CHOOSE($C$3,C53,D53,E53)</f>
        <v>0.5</v>
      </c>
      <c r="G53" s="11" t="s">
        <v>106</v>
      </c>
      <c r="H53" s="11" t="s">
        <v>30</v>
      </c>
      <c r="J53" s="3" t="s">
        <v>188</v>
      </c>
    </row>
    <row r="54" customFormat="false" ht="15" hidden="false" customHeight="false" outlineLevel="0" collapsed="false">
      <c r="A54" s="7" t="s">
        <v>189</v>
      </c>
      <c r="B54" s="8"/>
      <c r="C54" s="8"/>
      <c r="D54" s="8"/>
      <c r="E54" s="8"/>
      <c r="F54" s="8"/>
      <c r="G54" s="8"/>
      <c r="H54" s="8"/>
      <c r="I54" s="8"/>
      <c r="J54" s="8"/>
    </row>
    <row r="55" customFormat="false" ht="15" hidden="false" customHeight="false" outlineLevel="0" collapsed="false">
      <c r="A55" s="0" t="s">
        <v>190</v>
      </c>
      <c r="B55" s="3" t="s">
        <v>191</v>
      </c>
      <c r="C55" s="9" t="n">
        <v>48</v>
      </c>
      <c r="D55" s="9" t="n">
        <v>48</v>
      </c>
      <c r="E55" s="9" t="n">
        <v>48</v>
      </c>
      <c r="F55" s="10" t="n">
        <f aca="false">CHOOSE($C$3,C55,D55,E55)</f>
        <v>48</v>
      </c>
      <c r="G55" s="11" t="s">
        <v>192</v>
      </c>
      <c r="H55" s="11" t="s">
        <v>39</v>
      </c>
      <c r="I55" s="11" t="s">
        <v>193</v>
      </c>
      <c r="J55" s="3" t="s">
        <v>194</v>
      </c>
    </row>
    <row r="56" customFormat="false" ht="15" hidden="false" customHeight="false" outlineLevel="0" collapsed="false">
      <c r="A56" s="0" t="s">
        <v>195</v>
      </c>
      <c r="B56" s="3" t="s">
        <v>196</v>
      </c>
      <c r="C56" s="9" t="n">
        <v>32.2</v>
      </c>
      <c r="D56" s="9" t="n">
        <v>32.2</v>
      </c>
      <c r="E56" s="9" t="n">
        <v>32.2</v>
      </c>
      <c r="F56" s="10" t="n">
        <f aca="false">CHOOSE($C$3,C56,D56,E56)</f>
        <v>32.2</v>
      </c>
      <c r="G56" s="11" t="s">
        <v>197</v>
      </c>
      <c r="H56" s="11" t="s">
        <v>39</v>
      </c>
      <c r="I56" s="11" t="s">
        <v>193</v>
      </c>
      <c r="J56" s="3" t="s">
        <v>198</v>
      </c>
    </row>
    <row r="57" customFormat="false" ht="15" hidden="false" customHeight="false" outlineLevel="0" collapsed="false">
      <c r="A57" s="0" t="s">
        <v>199</v>
      </c>
      <c r="B57" s="3" t="s">
        <v>200</v>
      </c>
      <c r="C57" s="9" t="n">
        <v>120</v>
      </c>
      <c r="D57" s="9" t="n">
        <v>120</v>
      </c>
      <c r="E57" s="9" t="n">
        <v>120</v>
      </c>
      <c r="F57" s="10" t="n">
        <f aca="false">CHOOSE($C$3,C57,D57,E57)</f>
        <v>120</v>
      </c>
      <c r="G57" s="11" t="s">
        <v>192</v>
      </c>
      <c r="H57" s="11" t="s">
        <v>39</v>
      </c>
      <c r="I57" s="11" t="s">
        <v>201</v>
      </c>
      <c r="J57" s="3"/>
    </row>
    <row r="58" customFormat="false" ht="28.35" hidden="false" customHeight="false" outlineLevel="0" collapsed="false">
      <c r="A58" s="0" t="s">
        <v>202</v>
      </c>
      <c r="B58" s="3" t="s">
        <v>203</v>
      </c>
      <c r="C58" s="9" t="n">
        <v>60</v>
      </c>
      <c r="D58" s="9" t="n">
        <v>60</v>
      </c>
      <c r="E58" s="9" t="n">
        <v>60</v>
      </c>
      <c r="F58" s="10" t="n">
        <f aca="false">CHOOSE($C$3,C58,D58,E58)</f>
        <v>60</v>
      </c>
      <c r="G58" s="11" t="s">
        <v>204</v>
      </c>
      <c r="H58" s="11" t="s">
        <v>39</v>
      </c>
      <c r="I58" s="11" t="s">
        <v>205</v>
      </c>
      <c r="J58" s="3" t="s">
        <v>206</v>
      </c>
    </row>
    <row r="59" customFormat="false" ht="15" hidden="false" customHeight="false" outlineLevel="0" collapsed="false">
      <c r="A59" s="0" t="s">
        <v>207</v>
      </c>
      <c r="B59" s="3" t="s">
        <v>208</v>
      </c>
      <c r="C59" s="9" t="n">
        <v>24</v>
      </c>
      <c r="D59" s="9" t="n">
        <v>24</v>
      </c>
      <c r="E59" s="9" t="n">
        <v>24</v>
      </c>
      <c r="F59" s="10" t="n">
        <f aca="false">CHOOSE($C$3,C59,D59,E59)</f>
        <v>24</v>
      </c>
      <c r="G59" s="11" t="s">
        <v>209</v>
      </c>
      <c r="H59" s="11" t="s">
        <v>39</v>
      </c>
      <c r="I59" s="11" t="s">
        <v>201</v>
      </c>
      <c r="J59" s="3" t="s">
        <v>210</v>
      </c>
    </row>
    <row r="60" customFormat="false" ht="15" hidden="false" customHeight="false" outlineLevel="0" collapsed="false">
      <c r="A60" s="0" t="s">
        <v>211</v>
      </c>
      <c r="B60" s="3" t="s">
        <v>212</v>
      </c>
      <c r="C60" s="9" t="n">
        <v>40.2</v>
      </c>
      <c r="D60" s="9" t="n">
        <v>40.2</v>
      </c>
      <c r="E60" s="9" t="n">
        <v>40.2</v>
      </c>
      <c r="F60" s="10" t="n">
        <f aca="false">CHOOSE($C$3,C60,D60,E60)</f>
        <v>40.2</v>
      </c>
      <c r="G60" s="11" t="s">
        <v>209</v>
      </c>
      <c r="H60" s="11" t="s">
        <v>39</v>
      </c>
      <c r="I60" s="11" t="s">
        <v>201</v>
      </c>
      <c r="J60" s="3"/>
    </row>
    <row r="61" customFormat="false" ht="28.35" hidden="false" customHeight="false" outlineLevel="0" collapsed="false">
      <c r="A61" s="0" t="s">
        <v>213</v>
      </c>
      <c r="B61" s="3" t="s">
        <v>214</v>
      </c>
      <c r="C61" s="12" t="n">
        <v>0.85</v>
      </c>
      <c r="D61" s="12" t="n">
        <v>0.8</v>
      </c>
      <c r="E61" s="12" t="n">
        <v>0.95</v>
      </c>
      <c r="F61" s="10" t="n">
        <f aca="false">CHOOSE($C$3,C61,D61,E61)</f>
        <v>0.85</v>
      </c>
      <c r="G61" s="11" t="s">
        <v>38</v>
      </c>
      <c r="H61" s="11" t="s">
        <v>30</v>
      </c>
      <c r="I61" s="11" t="s">
        <v>215</v>
      </c>
      <c r="J61" s="3" t="s">
        <v>216</v>
      </c>
    </row>
    <row r="62" customFormat="false" ht="15" hidden="false" customHeight="false" outlineLevel="0" collapsed="false">
      <c r="A62" s="0" t="s">
        <v>217</v>
      </c>
      <c r="B62" s="3" t="s">
        <v>218</v>
      </c>
      <c r="C62" s="9" t="n">
        <v>1.7</v>
      </c>
      <c r="D62" s="9" t="n">
        <v>2</v>
      </c>
      <c r="E62" s="9" t="n">
        <v>1.5</v>
      </c>
      <c r="F62" s="10" t="n">
        <f aca="false">CHOOSE($C$3,C62,D62,E62)</f>
        <v>1.7</v>
      </c>
      <c r="G62" s="11" t="s">
        <v>209</v>
      </c>
      <c r="H62" s="11" t="s">
        <v>30</v>
      </c>
      <c r="I62" s="11" t="s">
        <v>219</v>
      </c>
      <c r="J62" s="3" t="s">
        <v>220</v>
      </c>
    </row>
    <row r="63" customFormat="false" ht="15" hidden="false" customHeight="false" outlineLevel="0" collapsed="false">
      <c r="A63" s="0" t="s">
        <v>221</v>
      </c>
      <c r="B63" s="3" t="s">
        <v>222</v>
      </c>
      <c r="C63" s="9" t="n">
        <v>2</v>
      </c>
      <c r="D63" s="9" t="n">
        <v>1.5</v>
      </c>
      <c r="E63" s="9" t="n">
        <v>2.5</v>
      </c>
      <c r="F63" s="10" t="n">
        <f aca="false">CHOOSE($C$3,C63,D63,E63)</f>
        <v>2</v>
      </c>
      <c r="G63" s="11" t="s">
        <v>223</v>
      </c>
      <c r="H63" s="11" t="s">
        <v>30</v>
      </c>
      <c r="J63" s="3"/>
    </row>
    <row r="64" customFormat="false" ht="15" hidden="false" customHeight="false" outlineLevel="0" collapsed="false">
      <c r="A64" s="0" t="s">
        <v>224</v>
      </c>
      <c r="B64" s="3" t="s">
        <v>225</v>
      </c>
      <c r="C64" s="9" t="n">
        <v>36</v>
      </c>
      <c r="D64" s="9" t="n">
        <v>42</v>
      </c>
      <c r="E64" s="9" t="n">
        <v>32</v>
      </c>
      <c r="F64" s="10" t="n">
        <f aca="false">CHOOSE($C$3,C64,D64,E64)</f>
        <v>36</v>
      </c>
      <c r="G64" s="11" t="s">
        <v>226</v>
      </c>
      <c r="H64" s="11" t="s">
        <v>39</v>
      </c>
      <c r="I64" s="11" t="s">
        <v>205</v>
      </c>
      <c r="J64" s="3" t="s">
        <v>227</v>
      </c>
    </row>
    <row r="65" customFormat="false" ht="15" hidden="false" customHeight="false" outlineLevel="0" collapsed="false">
      <c r="A65" s="0" t="s">
        <v>228</v>
      </c>
      <c r="B65" s="3" t="s">
        <v>229</v>
      </c>
      <c r="C65" s="9" t="n">
        <v>14</v>
      </c>
      <c r="D65" s="9" t="n">
        <v>16</v>
      </c>
      <c r="E65" s="9" t="n">
        <v>12</v>
      </c>
      <c r="F65" s="10" t="n">
        <f aca="false">CHOOSE($C$3,C65,D65,E65)</f>
        <v>14</v>
      </c>
      <c r="G65" s="11" t="s">
        <v>226</v>
      </c>
      <c r="H65" s="11" t="s">
        <v>30</v>
      </c>
      <c r="J65" s="3"/>
    </row>
    <row r="66" customFormat="false" ht="15" hidden="false" customHeight="false" outlineLevel="0" collapsed="false">
      <c r="A66" s="0" t="s">
        <v>230</v>
      </c>
      <c r="B66" s="3" t="s">
        <v>231</v>
      </c>
      <c r="C66" s="9" t="n">
        <v>55</v>
      </c>
      <c r="D66" s="9" t="n">
        <v>55</v>
      </c>
      <c r="E66" s="9" t="n">
        <v>55</v>
      </c>
      <c r="F66" s="10" t="n">
        <f aca="false">CHOOSE($C$3,C66,D66,E66)</f>
        <v>55</v>
      </c>
      <c r="G66" s="11" t="s">
        <v>226</v>
      </c>
      <c r="H66" s="11" t="s">
        <v>39</v>
      </c>
      <c r="I66" s="11" t="s">
        <v>232</v>
      </c>
      <c r="J66" s="3" t="s">
        <v>233</v>
      </c>
    </row>
    <row r="67" customFormat="false" ht="15" hidden="false" customHeight="false" outlineLevel="0" collapsed="false">
      <c r="A67" s="0" t="s">
        <v>234</v>
      </c>
      <c r="B67" s="3" t="s">
        <v>235</v>
      </c>
      <c r="C67" s="9" t="n">
        <v>8</v>
      </c>
      <c r="D67" s="9" t="n">
        <v>8</v>
      </c>
      <c r="E67" s="9" t="n">
        <v>8</v>
      </c>
      <c r="F67" s="10" t="n">
        <f aca="false">CHOOSE($C$3,C67,D67,E67)</f>
        <v>8</v>
      </c>
      <c r="G67" s="11" t="s">
        <v>226</v>
      </c>
      <c r="H67" s="11" t="s">
        <v>30</v>
      </c>
      <c r="J67" s="3"/>
    </row>
    <row r="68" customFormat="false" ht="15" hidden="false" customHeight="false" outlineLevel="0" collapsed="false">
      <c r="A68" s="0" t="s">
        <v>236</v>
      </c>
      <c r="B68" s="3" t="s">
        <v>237</v>
      </c>
      <c r="C68" s="9" t="n">
        <v>81.6</v>
      </c>
      <c r="D68" s="9" t="n">
        <v>81.6</v>
      </c>
      <c r="E68" s="9" t="n">
        <v>81.6</v>
      </c>
      <c r="F68" s="10" t="n">
        <f aca="false">CHOOSE($C$3,C68,D68,E68)</f>
        <v>81.6</v>
      </c>
      <c r="G68" s="11" t="s">
        <v>238</v>
      </c>
      <c r="H68" s="11" t="s">
        <v>39</v>
      </c>
      <c r="I68" s="11" t="s">
        <v>87</v>
      </c>
      <c r="J68" s="3" t="s">
        <v>239</v>
      </c>
    </row>
    <row r="69" customFormat="false" ht="15" hidden="false" customHeight="false" outlineLevel="0" collapsed="false">
      <c r="A69" s="0" t="s">
        <v>240</v>
      </c>
      <c r="B69" s="3" t="s">
        <v>241</v>
      </c>
      <c r="C69" s="9" t="n">
        <v>70</v>
      </c>
      <c r="D69" s="9" t="n">
        <v>70</v>
      </c>
      <c r="E69" s="9" t="n">
        <v>70</v>
      </c>
      <c r="F69" s="10" t="n">
        <f aca="false">CHOOSE($C$3,C69,D69,E69)</f>
        <v>70</v>
      </c>
      <c r="G69" s="11" t="s">
        <v>238</v>
      </c>
      <c r="H69" s="11" t="s">
        <v>30</v>
      </c>
      <c r="I69" s="11" t="s">
        <v>242</v>
      </c>
      <c r="J69" s="3" t="s">
        <v>243</v>
      </c>
    </row>
    <row r="70" customFormat="false" ht="28.35" hidden="false" customHeight="false" outlineLevel="0" collapsed="false">
      <c r="A70" s="0" t="s">
        <v>244</v>
      </c>
      <c r="B70" s="3" t="s">
        <v>245</v>
      </c>
      <c r="C70" s="12" t="n">
        <v>0.52</v>
      </c>
      <c r="D70" s="12" t="n">
        <v>0.45</v>
      </c>
      <c r="E70" s="12" t="n">
        <v>0.6</v>
      </c>
      <c r="F70" s="10" t="n">
        <f aca="false">CHOOSE($C$3,C70,D70,E70)</f>
        <v>0.52</v>
      </c>
      <c r="G70" s="11" t="s">
        <v>38</v>
      </c>
      <c r="H70" s="11" t="s">
        <v>110</v>
      </c>
      <c r="I70" s="11" t="s">
        <v>246</v>
      </c>
      <c r="J70" s="3" t="s">
        <v>247</v>
      </c>
    </row>
    <row r="71" customFormat="false" ht="15" hidden="false" customHeight="false" outlineLevel="0" collapsed="false">
      <c r="A71" s="0" t="s">
        <v>248</v>
      </c>
      <c r="B71" s="3" t="s">
        <v>249</v>
      </c>
      <c r="C71" s="9" t="n">
        <v>37</v>
      </c>
      <c r="D71" s="9" t="n">
        <v>37</v>
      </c>
      <c r="E71" s="9" t="n">
        <v>37</v>
      </c>
      <c r="F71" s="10" t="n">
        <f aca="false">CHOOSE($C$3,C71,D71,E71)</f>
        <v>37</v>
      </c>
      <c r="G71" s="11" t="s">
        <v>204</v>
      </c>
      <c r="H71" s="11" t="s">
        <v>39</v>
      </c>
      <c r="I71" s="11" t="s">
        <v>87</v>
      </c>
      <c r="J71" s="3"/>
    </row>
    <row r="72" customFormat="false" ht="15" hidden="false" customHeight="false" outlineLevel="0" collapsed="false">
      <c r="A72" s="7" t="s">
        <v>250</v>
      </c>
      <c r="B72" s="8"/>
      <c r="C72" s="8"/>
      <c r="D72" s="8"/>
      <c r="E72" s="8"/>
      <c r="F72" s="8"/>
      <c r="G72" s="8"/>
      <c r="H72" s="8"/>
      <c r="I72" s="8"/>
      <c r="J72" s="8"/>
    </row>
    <row r="73" customFormat="false" ht="15" hidden="false" customHeight="false" outlineLevel="0" collapsed="false">
      <c r="A73" s="0" t="s">
        <v>251</v>
      </c>
      <c r="B73" s="3" t="s">
        <v>252</v>
      </c>
      <c r="C73" s="9" t="n">
        <v>30</v>
      </c>
      <c r="D73" s="9" t="n">
        <v>30</v>
      </c>
      <c r="E73" s="9" t="n">
        <v>30</v>
      </c>
      <c r="F73" s="10" t="n">
        <f aca="false">CHOOSE($C$3,C73,D73,E73)</f>
        <v>30</v>
      </c>
      <c r="G73" s="11" t="s">
        <v>253</v>
      </c>
      <c r="H73" s="11" t="s">
        <v>254</v>
      </c>
      <c r="J73" s="3" t="s">
        <v>255</v>
      </c>
    </row>
    <row r="74" customFormat="false" ht="28.35" hidden="false" customHeight="false" outlineLevel="0" collapsed="false">
      <c r="A74" s="0" t="s">
        <v>256</v>
      </c>
      <c r="B74" s="3" t="s">
        <v>257</v>
      </c>
      <c r="C74" s="9" t="n">
        <v>400</v>
      </c>
      <c r="D74" s="9" t="n">
        <v>560</v>
      </c>
      <c r="E74" s="9" t="n">
        <v>300</v>
      </c>
      <c r="F74" s="10" t="n">
        <f aca="false">CHOOSE($C$3,C74,D74,E74)</f>
        <v>400</v>
      </c>
      <c r="G74" s="11" t="s">
        <v>71</v>
      </c>
      <c r="H74" s="11" t="s">
        <v>39</v>
      </c>
      <c r="I74" s="11" t="s">
        <v>258</v>
      </c>
      <c r="J74" s="3" t="s">
        <v>259</v>
      </c>
    </row>
    <row r="75" customFormat="false" ht="15" hidden="false" customHeight="false" outlineLevel="0" collapsed="false">
      <c r="A75" s="0" t="s">
        <v>260</v>
      </c>
      <c r="B75" s="3" t="s">
        <v>261</v>
      </c>
      <c r="C75" s="9" t="n">
        <v>240</v>
      </c>
      <c r="D75" s="9" t="n">
        <v>320</v>
      </c>
      <c r="E75" s="9" t="n">
        <v>180</v>
      </c>
      <c r="F75" s="10" t="n">
        <f aca="false">CHOOSE($C$3,C75,D75,E75)</f>
        <v>240</v>
      </c>
      <c r="G75" s="11" t="s">
        <v>71</v>
      </c>
      <c r="H75" s="11" t="s">
        <v>39</v>
      </c>
      <c r="I75" s="11" t="s">
        <v>262</v>
      </c>
      <c r="J75" s="3" t="s">
        <v>263</v>
      </c>
    </row>
    <row r="76" customFormat="false" ht="15" hidden="false" customHeight="false" outlineLevel="0" collapsed="false">
      <c r="A76" s="0" t="s">
        <v>264</v>
      </c>
      <c r="B76" s="3" t="s">
        <v>265</v>
      </c>
      <c r="C76" s="9" t="n">
        <v>45</v>
      </c>
      <c r="D76" s="9" t="n">
        <v>60</v>
      </c>
      <c r="E76" s="9" t="n">
        <v>35</v>
      </c>
      <c r="F76" s="10" t="n">
        <f aca="false">CHOOSE($C$3,C76,D76,E76)</f>
        <v>45</v>
      </c>
      <c r="G76" s="11" t="s">
        <v>71</v>
      </c>
      <c r="H76" s="11" t="s">
        <v>110</v>
      </c>
      <c r="I76" s="11" t="s">
        <v>266</v>
      </c>
      <c r="J76" s="3" t="s">
        <v>267</v>
      </c>
    </row>
    <row r="77" customFormat="false" ht="28.35" hidden="false" customHeight="false" outlineLevel="0" collapsed="false">
      <c r="A77" s="0" t="s">
        <v>268</v>
      </c>
      <c r="B77" s="3" t="s">
        <v>269</v>
      </c>
      <c r="C77" s="9" t="n">
        <v>100000000</v>
      </c>
      <c r="D77" s="9" t="n">
        <v>150000000</v>
      </c>
      <c r="E77" s="9" t="n">
        <v>80000000</v>
      </c>
      <c r="F77" s="10" t="n">
        <f aca="false">CHOOSE($C$3,C77,D77,E77)</f>
        <v>100000000</v>
      </c>
      <c r="G77" s="11" t="s">
        <v>64</v>
      </c>
      <c r="H77" s="11" t="s">
        <v>110</v>
      </c>
      <c r="I77" s="11" t="s">
        <v>270</v>
      </c>
      <c r="J77" s="3" t="s">
        <v>271</v>
      </c>
    </row>
    <row r="78" customFormat="false" ht="15" hidden="false" customHeight="false" outlineLevel="0" collapsed="false">
      <c r="A78" s="0" t="s">
        <v>272</v>
      </c>
      <c r="B78" s="3" t="s">
        <v>273</v>
      </c>
      <c r="C78" s="9" t="n">
        <v>150</v>
      </c>
      <c r="D78" s="9" t="n">
        <v>150</v>
      </c>
      <c r="E78" s="9" t="n">
        <v>150</v>
      </c>
      <c r="F78" s="10" t="n">
        <f aca="false">CHOOSE($C$3,C78,D78,E78)</f>
        <v>150</v>
      </c>
      <c r="G78" s="11" t="s">
        <v>274</v>
      </c>
      <c r="H78" s="11" t="s">
        <v>30</v>
      </c>
      <c r="J78" s="3"/>
    </row>
    <row r="79" customFormat="false" ht="28.35" hidden="false" customHeight="false" outlineLevel="0" collapsed="false">
      <c r="A79" s="0" t="s">
        <v>275</v>
      </c>
      <c r="B79" s="3" t="s">
        <v>276</v>
      </c>
      <c r="C79" s="12" t="n">
        <v>0.5</v>
      </c>
      <c r="D79" s="12" t="n">
        <v>0.35</v>
      </c>
      <c r="E79" s="12" t="n">
        <v>0.65</v>
      </c>
      <c r="F79" s="10" t="n">
        <f aca="false">CHOOSE($C$3,C79,D79,E79)</f>
        <v>0.5</v>
      </c>
      <c r="G79" s="11" t="s">
        <v>38</v>
      </c>
      <c r="H79" s="11" t="s">
        <v>30</v>
      </c>
      <c r="I79" s="11" t="s">
        <v>94</v>
      </c>
      <c r="J79" s="3" t="s">
        <v>277</v>
      </c>
    </row>
    <row r="80" customFormat="false" ht="15" hidden="false" customHeight="false" outlineLevel="0" collapsed="false">
      <c r="A80" s="0" t="s">
        <v>278</v>
      </c>
      <c r="B80" s="3" t="s">
        <v>279</v>
      </c>
      <c r="C80" s="9" t="n">
        <v>120000000</v>
      </c>
      <c r="D80" s="9" t="n">
        <v>200000000</v>
      </c>
      <c r="E80" s="9" t="n">
        <v>90000000</v>
      </c>
      <c r="F80" s="10" t="n">
        <f aca="false">CHOOSE($C$3,C80,D80,E80)</f>
        <v>120000000</v>
      </c>
      <c r="G80" s="11" t="s">
        <v>64</v>
      </c>
      <c r="H80" s="11" t="s">
        <v>110</v>
      </c>
      <c r="I80" s="11" t="s">
        <v>280</v>
      </c>
      <c r="J80" s="3"/>
    </row>
    <row r="81" customFormat="false" ht="15" hidden="false" customHeight="false" outlineLevel="0" collapsed="false">
      <c r="A81" s="0" t="s">
        <v>281</v>
      </c>
      <c r="B81" s="3" t="s">
        <v>282</v>
      </c>
      <c r="C81" s="9" t="n">
        <v>500</v>
      </c>
      <c r="D81" s="9" t="n">
        <v>500</v>
      </c>
      <c r="E81" s="9" t="n">
        <v>500</v>
      </c>
      <c r="F81" s="10" t="n">
        <f aca="false">CHOOSE($C$3,C81,D81,E81)</f>
        <v>500</v>
      </c>
      <c r="G81" s="11" t="s">
        <v>274</v>
      </c>
      <c r="H81" s="11" t="s">
        <v>30</v>
      </c>
      <c r="J81" s="3"/>
    </row>
    <row r="82" customFormat="false" ht="28.35" hidden="false" customHeight="false" outlineLevel="0" collapsed="false">
      <c r="A82" s="0" t="s">
        <v>283</v>
      </c>
      <c r="B82" s="3" t="s">
        <v>284</v>
      </c>
      <c r="C82" s="12" t="n">
        <v>0.7</v>
      </c>
      <c r="D82" s="12" t="n">
        <v>0.5</v>
      </c>
      <c r="E82" s="12" t="n">
        <v>0.85</v>
      </c>
      <c r="F82" s="10" t="n">
        <f aca="false">CHOOSE($C$3,C82,D82,E82)</f>
        <v>0.7</v>
      </c>
      <c r="G82" s="11" t="s">
        <v>38</v>
      </c>
      <c r="H82" s="11" t="s">
        <v>30</v>
      </c>
      <c r="I82" s="11" t="s">
        <v>133</v>
      </c>
      <c r="J82" s="3" t="s">
        <v>285</v>
      </c>
    </row>
    <row r="83" customFormat="false" ht="15" hidden="false" customHeight="false" outlineLevel="0" collapsed="false">
      <c r="A83" s="0" t="s">
        <v>286</v>
      </c>
      <c r="B83" s="3" t="s">
        <v>287</v>
      </c>
      <c r="C83" s="9" t="n">
        <v>10</v>
      </c>
      <c r="D83" s="9" t="n">
        <v>10</v>
      </c>
      <c r="E83" s="9" t="n">
        <v>10</v>
      </c>
      <c r="F83" s="10" t="n">
        <f aca="false">CHOOSE($C$3,C83,D83,E83)</f>
        <v>10</v>
      </c>
      <c r="G83" s="11" t="s">
        <v>34</v>
      </c>
      <c r="H83" s="11" t="s">
        <v>30</v>
      </c>
      <c r="J83" s="3"/>
    </row>
    <row r="84" customFormat="false" ht="15" hidden="false" customHeight="false" outlineLevel="0" collapsed="false">
      <c r="A84" s="0" t="s">
        <v>288</v>
      </c>
      <c r="B84" s="3" t="s">
        <v>289</v>
      </c>
      <c r="C84" s="12" t="n">
        <v>0.04</v>
      </c>
      <c r="D84" s="12" t="n">
        <v>0.05</v>
      </c>
      <c r="E84" s="12" t="n">
        <v>0.03</v>
      </c>
      <c r="F84" s="10" t="n">
        <f aca="false">CHOOSE($C$3,C84,D84,E84)</f>
        <v>0.04</v>
      </c>
      <c r="G84" s="11" t="s">
        <v>53</v>
      </c>
      <c r="H84" s="11" t="s">
        <v>39</v>
      </c>
      <c r="I84" s="11" t="s">
        <v>94</v>
      </c>
      <c r="J84" s="3" t="s">
        <v>290</v>
      </c>
    </row>
    <row r="85" customFormat="false" ht="15" hidden="false" customHeight="false" outlineLevel="0" collapsed="false">
      <c r="A85" s="0" t="s">
        <v>291</v>
      </c>
      <c r="B85" s="3" t="s">
        <v>292</v>
      </c>
      <c r="C85" s="9" t="n">
        <v>3</v>
      </c>
      <c r="D85" s="9" t="n">
        <v>3.5</v>
      </c>
      <c r="E85" s="9" t="n">
        <v>2.5</v>
      </c>
      <c r="F85" s="10" t="n">
        <f aca="false">CHOOSE($C$3,C85,D85,E85)</f>
        <v>3</v>
      </c>
      <c r="G85" s="11" t="s">
        <v>293</v>
      </c>
      <c r="H85" s="11" t="s">
        <v>30</v>
      </c>
      <c r="J85" s="3" t="s">
        <v>294</v>
      </c>
    </row>
    <row r="86" customFormat="false" ht="15" hidden="false" customHeight="false" outlineLevel="0" collapsed="false">
      <c r="A86" s="0" t="s">
        <v>295</v>
      </c>
      <c r="B86" s="3" t="s">
        <v>296</v>
      </c>
      <c r="C86" s="9" t="n">
        <v>9</v>
      </c>
      <c r="D86" s="9" t="n">
        <v>10</v>
      </c>
      <c r="E86" s="9" t="n">
        <v>8</v>
      </c>
      <c r="F86" s="10" t="n">
        <f aca="false">CHOOSE($C$3,C86,D86,E86)</f>
        <v>9</v>
      </c>
      <c r="G86" s="11" t="s">
        <v>170</v>
      </c>
      <c r="H86" s="11" t="s">
        <v>30</v>
      </c>
      <c r="J86" s="3"/>
    </row>
    <row r="87" customFormat="false" ht="15" hidden="false" customHeight="false" outlineLevel="0" collapsed="false">
      <c r="A87" s="0" t="s">
        <v>297</v>
      </c>
      <c r="B87" s="3" t="s">
        <v>298</v>
      </c>
      <c r="C87" s="12" t="n">
        <v>0.03</v>
      </c>
      <c r="D87" s="12" t="n">
        <v>0.05</v>
      </c>
      <c r="E87" s="12" t="n">
        <v>0.02</v>
      </c>
      <c r="F87" s="10" t="n">
        <f aca="false">CHOOSE($C$3,C87,D87,E87)</f>
        <v>0.03</v>
      </c>
      <c r="G87" s="11" t="s">
        <v>38</v>
      </c>
      <c r="H87" s="11" t="s">
        <v>30</v>
      </c>
      <c r="J87" s="3"/>
    </row>
    <row r="88" customFormat="false" ht="15" hidden="false" customHeight="false" outlineLevel="0" collapsed="false">
      <c r="A88" s="0" t="s">
        <v>299</v>
      </c>
      <c r="B88" s="3" t="s">
        <v>300</v>
      </c>
      <c r="C88" s="12" t="n">
        <v>0.1</v>
      </c>
      <c r="D88" s="12" t="n">
        <v>0.15</v>
      </c>
      <c r="E88" s="12" t="n">
        <v>0.05</v>
      </c>
      <c r="F88" s="10" t="n">
        <f aca="false">CHOOSE($C$3,C88,D88,E88)</f>
        <v>0.1</v>
      </c>
      <c r="G88" s="11" t="s">
        <v>38</v>
      </c>
      <c r="H88" s="11" t="s">
        <v>30</v>
      </c>
      <c r="J88" s="3" t="s">
        <v>301</v>
      </c>
    </row>
    <row r="89" customFormat="false" ht="15" hidden="false" customHeight="false" outlineLevel="0" collapsed="false">
      <c r="A89" s="0" t="s">
        <v>302</v>
      </c>
      <c r="B89" s="3" t="s">
        <v>303</v>
      </c>
      <c r="C89" s="9" t="n">
        <v>300</v>
      </c>
      <c r="D89" s="9" t="n">
        <v>250</v>
      </c>
      <c r="E89" s="9" t="n">
        <v>350</v>
      </c>
      <c r="F89" s="10" t="n">
        <f aca="false">CHOOSE($C$3,C89,D89,E89)</f>
        <v>300</v>
      </c>
      <c r="G89" s="11" t="s">
        <v>226</v>
      </c>
      <c r="H89" s="11" t="s">
        <v>30</v>
      </c>
      <c r="J89" s="3" t="s">
        <v>304</v>
      </c>
    </row>
    <row r="90" customFormat="false" ht="15" hidden="false" customHeight="false" outlineLevel="0" collapsed="false">
      <c r="A90" s="7" t="s">
        <v>305</v>
      </c>
      <c r="B90" s="8"/>
      <c r="C90" s="8"/>
      <c r="D90" s="8"/>
      <c r="E90" s="8"/>
      <c r="F90" s="8"/>
      <c r="G90" s="8"/>
      <c r="H90" s="8"/>
      <c r="I90" s="8"/>
      <c r="J90" s="8"/>
    </row>
    <row r="91" customFormat="false" ht="15" hidden="false" customHeight="false" outlineLevel="0" collapsed="false">
      <c r="A91" s="0" t="s">
        <v>306</v>
      </c>
      <c r="B91" s="3" t="s">
        <v>307</v>
      </c>
      <c r="C91" s="9" t="n">
        <v>2.69</v>
      </c>
      <c r="D91" s="9" t="n">
        <v>2.69</v>
      </c>
      <c r="E91" s="9" t="n">
        <v>2.75</v>
      </c>
      <c r="F91" s="10" t="n">
        <f aca="false">CHOOSE($C$3,C91,D91,E91)</f>
        <v>2.69</v>
      </c>
      <c r="G91" s="11" t="s">
        <v>308</v>
      </c>
      <c r="H91" s="11" t="s">
        <v>39</v>
      </c>
      <c r="I91" s="11" t="s">
        <v>193</v>
      </c>
      <c r="J91" s="3" t="s">
        <v>309</v>
      </c>
    </row>
    <row r="92" customFormat="false" ht="28.35" hidden="false" customHeight="false" outlineLevel="0" collapsed="false">
      <c r="A92" s="0" t="s">
        <v>310</v>
      </c>
      <c r="B92" s="3" t="s">
        <v>311</v>
      </c>
      <c r="C92" s="12" t="n">
        <v>0.25</v>
      </c>
      <c r="D92" s="12" t="n">
        <v>0.15</v>
      </c>
      <c r="E92" s="12" t="n">
        <v>0.35</v>
      </c>
      <c r="F92" s="10" t="n">
        <f aca="false">CHOOSE($C$3,C92,D92,E92)</f>
        <v>0.25</v>
      </c>
      <c r="G92" s="11" t="s">
        <v>38</v>
      </c>
      <c r="H92" s="11" t="s">
        <v>30</v>
      </c>
      <c r="I92" s="11" t="s">
        <v>312</v>
      </c>
      <c r="J92" s="3" t="s">
        <v>313</v>
      </c>
    </row>
    <row r="93" customFormat="false" ht="15" hidden="false" customHeight="false" outlineLevel="0" collapsed="false">
      <c r="A93" s="0" t="s">
        <v>314</v>
      </c>
      <c r="B93" s="3" t="s">
        <v>315</v>
      </c>
      <c r="C93" s="9" t="n">
        <v>2.27</v>
      </c>
      <c r="D93" s="9" t="n">
        <v>2.27</v>
      </c>
      <c r="E93" s="9" t="n">
        <v>2.31</v>
      </c>
      <c r="F93" s="10" t="n">
        <f aca="false">CHOOSE($C$3,C93,D93,E93)</f>
        <v>2.27</v>
      </c>
      <c r="G93" s="11" t="s">
        <v>316</v>
      </c>
      <c r="H93" s="11" t="s">
        <v>39</v>
      </c>
      <c r="I93" s="11" t="s">
        <v>193</v>
      </c>
      <c r="J93" s="3" t="s">
        <v>317</v>
      </c>
    </row>
    <row r="94" customFormat="false" ht="15" hidden="false" customHeight="false" outlineLevel="0" collapsed="false">
      <c r="A94" s="0" t="s">
        <v>318</v>
      </c>
      <c r="B94" s="3" t="s">
        <v>319</v>
      </c>
      <c r="C94" s="12" t="n">
        <v>0.2</v>
      </c>
      <c r="D94" s="12" t="n">
        <v>0.15</v>
      </c>
      <c r="E94" s="12" t="n">
        <v>0.25</v>
      </c>
      <c r="F94" s="10" t="n">
        <f aca="false">CHOOSE($C$3,C94,D94,E94)</f>
        <v>0.2</v>
      </c>
      <c r="G94" s="11" t="s">
        <v>38</v>
      </c>
      <c r="H94" s="11" t="s">
        <v>30</v>
      </c>
      <c r="I94" s="11" t="s">
        <v>320</v>
      </c>
      <c r="J94" s="3"/>
    </row>
    <row r="95" customFormat="false" ht="15" hidden="false" customHeight="false" outlineLevel="0" collapsed="false">
      <c r="A95" s="0" t="s">
        <v>321</v>
      </c>
      <c r="B95" s="3" t="s">
        <v>322</v>
      </c>
      <c r="C95" s="9" t="n">
        <v>2</v>
      </c>
      <c r="D95" s="9" t="n">
        <v>3.5</v>
      </c>
      <c r="E95" s="9" t="n">
        <v>1.2</v>
      </c>
      <c r="F95" s="10" t="n">
        <f aca="false">CHOOSE($C$3,C95,D95,E95)</f>
        <v>2</v>
      </c>
      <c r="G95" s="11" t="s">
        <v>323</v>
      </c>
      <c r="H95" s="11" t="s">
        <v>39</v>
      </c>
      <c r="I95" s="11" t="s">
        <v>324</v>
      </c>
      <c r="J95" s="3" t="s">
        <v>325</v>
      </c>
    </row>
    <row r="96" customFormat="false" ht="15" hidden="false" customHeight="false" outlineLevel="0" collapsed="false">
      <c r="A96" s="0" t="s">
        <v>326</v>
      </c>
      <c r="B96" s="3" t="s">
        <v>327</v>
      </c>
      <c r="C96" s="9" t="n">
        <v>39</v>
      </c>
      <c r="D96" s="9" t="n">
        <v>43</v>
      </c>
      <c r="E96" s="9" t="n">
        <v>35</v>
      </c>
      <c r="F96" s="10" t="n">
        <f aca="false">CHOOSE($C$3,C96,D96,E96)</f>
        <v>39</v>
      </c>
      <c r="G96" s="11" t="s">
        <v>323</v>
      </c>
      <c r="H96" s="11" t="s">
        <v>110</v>
      </c>
      <c r="I96" s="11" t="s">
        <v>328</v>
      </c>
      <c r="J96" s="3" t="s">
        <v>329</v>
      </c>
    </row>
    <row r="97" customFormat="false" ht="15" hidden="false" customHeight="false" outlineLevel="0" collapsed="false">
      <c r="A97" s="0" t="s">
        <v>330</v>
      </c>
      <c r="B97" s="3" t="s">
        <v>331</v>
      </c>
      <c r="C97" s="9" t="n">
        <v>12</v>
      </c>
      <c r="D97" s="9" t="n">
        <v>14</v>
      </c>
      <c r="E97" s="9" t="n">
        <v>10</v>
      </c>
      <c r="F97" s="10" t="n">
        <f aca="false">CHOOSE($C$3,C97,D97,E97)</f>
        <v>12</v>
      </c>
      <c r="G97" s="11" t="s">
        <v>323</v>
      </c>
      <c r="H97" s="11" t="s">
        <v>39</v>
      </c>
      <c r="I97" s="11" t="s">
        <v>332</v>
      </c>
      <c r="J97" s="3"/>
    </row>
    <row r="98" customFormat="false" ht="28.35" hidden="false" customHeight="false" outlineLevel="0" collapsed="false">
      <c r="A98" s="0" t="s">
        <v>333</v>
      </c>
      <c r="B98" s="3" t="s">
        <v>334</v>
      </c>
      <c r="C98" s="13" t="n">
        <v>0.86</v>
      </c>
      <c r="D98" s="13" t="n">
        <v>0.86</v>
      </c>
      <c r="E98" s="13" t="n">
        <v>0.86</v>
      </c>
      <c r="F98" s="10" t="n">
        <f aca="false">CHOOSE($C$3,C98,D98,E98)</f>
        <v>0.86</v>
      </c>
      <c r="G98" s="11" t="s">
        <v>335</v>
      </c>
      <c r="H98" s="11" t="s">
        <v>39</v>
      </c>
      <c r="I98" s="11" t="s">
        <v>328</v>
      </c>
      <c r="J98" s="3" t="s">
        <v>336</v>
      </c>
    </row>
    <row r="99" customFormat="false" ht="28.35" hidden="false" customHeight="false" outlineLevel="0" collapsed="false">
      <c r="A99" s="0" t="s">
        <v>337</v>
      </c>
      <c r="B99" s="3" t="s">
        <v>338</v>
      </c>
      <c r="C99" s="13" t="n">
        <v>0.58</v>
      </c>
      <c r="D99" s="13" t="n">
        <v>0.52</v>
      </c>
      <c r="E99" s="13" t="n">
        <v>0.66</v>
      </c>
      <c r="F99" s="10" t="n">
        <f aca="false">CHOOSE($C$3,C99,D99,E99)</f>
        <v>0.58</v>
      </c>
      <c r="G99" s="11" t="s">
        <v>335</v>
      </c>
      <c r="H99" s="11" t="s">
        <v>39</v>
      </c>
      <c r="I99" s="11" t="s">
        <v>339</v>
      </c>
      <c r="J99" s="3" t="s">
        <v>340</v>
      </c>
    </row>
    <row r="100" customFormat="false" ht="15" hidden="false" customHeight="false" outlineLevel="0" collapsed="false">
      <c r="A100" s="0" t="s">
        <v>341</v>
      </c>
      <c r="B100" s="3" t="s">
        <v>342</v>
      </c>
      <c r="C100" s="9" t="n">
        <v>7</v>
      </c>
      <c r="D100" s="9" t="n">
        <v>6</v>
      </c>
      <c r="E100" s="9" t="n">
        <v>8.5</v>
      </c>
      <c r="F100" s="10" t="n">
        <f aca="false">CHOOSE($C$3,C100,D100,E100)</f>
        <v>7</v>
      </c>
      <c r="G100" s="11" t="s">
        <v>343</v>
      </c>
      <c r="H100" s="11" t="s">
        <v>110</v>
      </c>
      <c r="I100" s="11" t="s">
        <v>344</v>
      </c>
      <c r="J100" s="3" t="s">
        <v>345</v>
      </c>
    </row>
    <row r="101" customFormat="false" ht="15" hidden="false" customHeight="false" outlineLevel="0" collapsed="false">
      <c r="A101" s="0" t="s">
        <v>346</v>
      </c>
      <c r="B101" s="3" t="s">
        <v>347</v>
      </c>
      <c r="C101" s="9" t="n">
        <v>150000</v>
      </c>
      <c r="D101" s="9" t="n">
        <v>180000</v>
      </c>
      <c r="E101" s="9" t="n">
        <v>120000</v>
      </c>
      <c r="F101" s="10" t="n">
        <f aca="false">CHOOSE($C$3,C101,D101,E101)</f>
        <v>150000</v>
      </c>
      <c r="G101" s="11" t="s">
        <v>348</v>
      </c>
      <c r="H101" s="11" t="s">
        <v>30</v>
      </c>
      <c r="J101" s="3"/>
    </row>
    <row r="102" customFormat="false" ht="15" hidden="false" customHeight="false" outlineLevel="0" collapsed="false">
      <c r="A102" s="0" t="s">
        <v>349</v>
      </c>
      <c r="B102" s="3" t="s">
        <v>350</v>
      </c>
      <c r="C102" s="13" t="n">
        <v>0.5</v>
      </c>
      <c r="D102" s="13" t="n">
        <v>0.7</v>
      </c>
      <c r="E102" s="13" t="n">
        <v>0.4</v>
      </c>
      <c r="F102" s="10" t="n">
        <f aca="false">CHOOSE($C$3,C102,D102,E102)</f>
        <v>0.5</v>
      </c>
      <c r="G102" s="11" t="s">
        <v>343</v>
      </c>
      <c r="H102" s="11" t="s">
        <v>110</v>
      </c>
      <c r="J102" s="3" t="s">
        <v>351</v>
      </c>
    </row>
    <row r="103" customFormat="false" ht="15" hidden="false" customHeight="false" outlineLevel="0" collapsed="false">
      <c r="A103" s="0" t="s">
        <v>352</v>
      </c>
      <c r="B103" s="3" t="s">
        <v>353</v>
      </c>
      <c r="C103" s="9" t="n">
        <v>60</v>
      </c>
      <c r="D103" s="9" t="n">
        <v>60</v>
      </c>
      <c r="E103" s="9" t="n">
        <v>60</v>
      </c>
      <c r="F103" s="10" t="n">
        <f aca="false">CHOOSE($C$3,C103,D103,E103)</f>
        <v>60</v>
      </c>
      <c r="G103" s="11" t="s">
        <v>354</v>
      </c>
      <c r="H103" s="11" t="s">
        <v>39</v>
      </c>
      <c r="I103" s="11" t="s">
        <v>355</v>
      </c>
      <c r="J103" s="3"/>
    </row>
    <row r="104" customFormat="false" ht="15" hidden="false" customHeight="false" outlineLevel="0" collapsed="false">
      <c r="A104" s="7" t="s">
        <v>356</v>
      </c>
      <c r="B104" s="8"/>
      <c r="C104" s="8"/>
      <c r="D104" s="8"/>
      <c r="E104" s="8"/>
      <c r="F104" s="8"/>
      <c r="G104" s="8"/>
      <c r="H104" s="8"/>
      <c r="I104" s="8"/>
      <c r="J104" s="8"/>
    </row>
    <row r="105" customFormat="false" ht="28.35" hidden="false" customHeight="false" outlineLevel="0" collapsed="false">
      <c r="A105" s="0" t="s">
        <v>357</v>
      </c>
      <c r="B105" s="3" t="s">
        <v>358</v>
      </c>
      <c r="C105" s="9" t="n">
        <v>8195000</v>
      </c>
      <c r="D105" s="9" t="n">
        <v>7500000</v>
      </c>
      <c r="E105" s="9" t="n">
        <v>8800000</v>
      </c>
      <c r="F105" s="10" t="n">
        <f aca="false">CHOOSE($C$3,C105,D105,E105)</f>
        <v>8195000</v>
      </c>
      <c r="G105" s="11" t="s">
        <v>359</v>
      </c>
      <c r="H105" s="11" t="s">
        <v>39</v>
      </c>
      <c r="I105" s="11" t="s">
        <v>360</v>
      </c>
      <c r="J105" s="3" t="s">
        <v>361</v>
      </c>
    </row>
    <row r="106" customFormat="false" ht="41.75" hidden="false" customHeight="false" outlineLevel="0" collapsed="false">
      <c r="A106" s="0" t="s">
        <v>362</v>
      </c>
      <c r="B106" s="3" t="s">
        <v>363</v>
      </c>
      <c r="C106" s="12" t="n">
        <v>0.55</v>
      </c>
      <c r="D106" s="12" t="n">
        <v>0.45</v>
      </c>
      <c r="E106" s="12" t="n">
        <v>0.6</v>
      </c>
      <c r="F106" s="10" t="n">
        <f aca="false">CHOOSE($C$3,C106,D106,E106)</f>
        <v>0.55</v>
      </c>
      <c r="G106" s="11" t="s">
        <v>38</v>
      </c>
      <c r="H106" s="11" t="s">
        <v>110</v>
      </c>
      <c r="I106" s="11" t="s">
        <v>364</v>
      </c>
      <c r="J106" s="3" t="s">
        <v>365</v>
      </c>
    </row>
    <row r="107" customFormat="false" ht="28.35" hidden="false" customHeight="false" outlineLevel="0" collapsed="false">
      <c r="A107" s="0" t="s">
        <v>366</v>
      </c>
      <c r="B107" s="3" t="s">
        <v>367</v>
      </c>
      <c r="C107" s="12" t="n">
        <v>0.5</v>
      </c>
      <c r="D107" s="12" t="n">
        <v>0.45</v>
      </c>
      <c r="E107" s="12" t="n">
        <v>0.55</v>
      </c>
      <c r="F107" s="10" t="n">
        <f aca="false">CHOOSE($C$3,C107,D107,E107)</f>
        <v>0.5</v>
      </c>
      <c r="G107" s="11" t="s">
        <v>38</v>
      </c>
      <c r="H107" s="11" t="s">
        <v>110</v>
      </c>
      <c r="I107" s="11" t="s">
        <v>368</v>
      </c>
      <c r="J107" s="3" t="s">
        <v>369</v>
      </c>
    </row>
    <row r="108" customFormat="false" ht="28.35" hidden="false" customHeight="false" outlineLevel="0" collapsed="false">
      <c r="A108" s="0" t="s">
        <v>370</v>
      </c>
      <c r="B108" s="3" t="s">
        <v>371</v>
      </c>
      <c r="C108" s="12" t="n">
        <v>0.2</v>
      </c>
      <c r="D108" s="12" t="n">
        <v>0.15</v>
      </c>
      <c r="E108" s="12" t="n">
        <v>0.25</v>
      </c>
      <c r="F108" s="10" t="n">
        <f aca="false">CHOOSE($C$3,C108,D108,E108)</f>
        <v>0.2</v>
      </c>
      <c r="G108" s="11" t="s">
        <v>38</v>
      </c>
      <c r="H108" s="11" t="s">
        <v>30</v>
      </c>
      <c r="I108" s="11" t="s">
        <v>372</v>
      </c>
      <c r="J108" s="3" t="s">
        <v>373</v>
      </c>
    </row>
    <row r="109" customFormat="false" ht="28.35" hidden="false" customHeight="false" outlineLevel="0" collapsed="false">
      <c r="A109" s="0" t="s">
        <v>374</v>
      </c>
      <c r="B109" s="3" t="s">
        <v>375</v>
      </c>
      <c r="C109" s="12" t="n">
        <v>0.4</v>
      </c>
      <c r="D109" s="12" t="n">
        <v>0.3</v>
      </c>
      <c r="E109" s="12" t="n">
        <v>0.5</v>
      </c>
      <c r="F109" s="10" t="n">
        <f aca="false">CHOOSE($C$3,C109,D109,E109)</f>
        <v>0.4</v>
      </c>
      <c r="G109" s="11" t="s">
        <v>38</v>
      </c>
      <c r="H109" s="11" t="s">
        <v>30</v>
      </c>
      <c r="I109" s="11" t="s">
        <v>376</v>
      </c>
      <c r="J109" s="3" t="s">
        <v>377</v>
      </c>
    </row>
    <row r="110" customFormat="false" ht="15" hidden="false" customHeight="false" outlineLevel="0" collapsed="false">
      <c r="A110" s="0" t="s">
        <v>378</v>
      </c>
      <c r="B110" s="3" t="s">
        <v>379</v>
      </c>
      <c r="C110" s="12" t="n">
        <v>0.05</v>
      </c>
      <c r="D110" s="12" t="n">
        <v>0.03</v>
      </c>
      <c r="E110" s="12" t="n">
        <v>0.08</v>
      </c>
      <c r="F110" s="10" t="n">
        <f aca="false">CHOOSE($C$3,C110,D110,E110)</f>
        <v>0.05</v>
      </c>
      <c r="G110" s="11" t="s">
        <v>38</v>
      </c>
      <c r="H110" s="11" t="s">
        <v>30</v>
      </c>
      <c r="J110" s="3" t="s">
        <v>380</v>
      </c>
    </row>
    <row r="111" customFormat="false" ht="28.35" hidden="false" customHeight="false" outlineLevel="0" collapsed="false">
      <c r="A111" s="0" t="s">
        <v>381</v>
      </c>
      <c r="B111" s="3" t="s">
        <v>382</v>
      </c>
      <c r="C111" s="9" t="n">
        <v>8</v>
      </c>
      <c r="D111" s="9" t="n">
        <v>4</v>
      </c>
      <c r="E111" s="9" t="n">
        <v>15</v>
      </c>
      <c r="F111" s="10" t="n">
        <f aca="false">CHOOSE($C$3,C111,D111,E111)</f>
        <v>8</v>
      </c>
      <c r="G111" s="11" t="s">
        <v>383</v>
      </c>
      <c r="H111" s="11" t="s">
        <v>254</v>
      </c>
      <c r="I111" s="11" t="s">
        <v>384</v>
      </c>
      <c r="J111" s="3" t="s">
        <v>385</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6"/>
    <col collapsed="false" customWidth="true" hidden="false" outlineLevel="0" max="5" min="4" style="0" width="20"/>
    <col collapsed="false" customWidth="true" hidden="false" outlineLevel="0" max="7" min="6" style="0" width="18"/>
    <col collapsed="false" customWidth="true" hidden="false" outlineLevel="0" max="8" min="8" style="0" width="8"/>
    <col collapsed="false" customWidth="true" hidden="false" outlineLevel="0" max="9" min="9" style="0" width="70"/>
  </cols>
  <sheetData>
    <row r="1" customFormat="false" ht="17.35" hidden="false" customHeight="false" outlineLevel="0" collapsed="false">
      <c r="A1" s="1" t="s">
        <v>386</v>
      </c>
    </row>
    <row r="2" customFormat="false" ht="15" hidden="false" customHeight="false" outlineLevel="0" collapsed="false">
      <c r="A2" s="2" t="s">
        <v>387</v>
      </c>
    </row>
    <row r="4" customFormat="false" ht="28.35" hidden="false" customHeight="false" outlineLevel="0" collapsed="false">
      <c r="A4" s="6" t="s">
        <v>388</v>
      </c>
      <c r="B4" s="6" t="s">
        <v>389</v>
      </c>
      <c r="C4" s="6" t="s">
        <v>390</v>
      </c>
      <c r="D4" s="6" t="s">
        <v>391</v>
      </c>
      <c r="E4" s="6" t="s">
        <v>392</v>
      </c>
      <c r="F4" s="6" t="s">
        <v>393</v>
      </c>
      <c r="G4" s="6" t="s">
        <v>394</v>
      </c>
      <c r="H4" s="6" t="s">
        <v>23</v>
      </c>
      <c r="I4" s="6" t="s">
        <v>395</v>
      </c>
    </row>
    <row r="5" customFormat="false" ht="15" hidden="false" customHeight="false" outlineLevel="0" collapsed="false">
      <c r="B5" s="15" t="s">
        <v>396</v>
      </c>
    </row>
    <row r="6" customFormat="false" ht="55.2" hidden="false" customHeight="false" outlineLevel="0" collapsed="false">
      <c r="A6" s="0" t="n">
        <v>1</v>
      </c>
      <c r="B6" s="3" t="s">
        <v>397</v>
      </c>
      <c r="C6" s="5" t="n">
        <v>1</v>
      </c>
      <c r="D6" s="14" t="n">
        <v>250000</v>
      </c>
      <c r="E6" s="14" t="n">
        <v>95000</v>
      </c>
      <c r="F6" s="16" t="n">
        <f aca="false">C6*D6</f>
        <v>250000</v>
      </c>
      <c r="G6" s="16" t="n">
        <f aca="false">C6*E6</f>
        <v>95000</v>
      </c>
      <c r="H6" s="11" t="s">
        <v>110</v>
      </c>
      <c r="I6" s="3" t="s">
        <v>398</v>
      </c>
    </row>
    <row r="7" customFormat="false" ht="28.35" hidden="false" customHeight="false" outlineLevel="0" collapsed="false">
      <c r="A7" s="0" t="n">
        <v>2</v>
      </c>
      <c r="B7" s="3" t="s">
        <v>399</v>
      </c>
      <c r="C7" s="5" t="n">
        <v>1</v>
      </c>
      <c r="D7" s="14" t="n">
        <v>55000</v>
      </c>
      <c r="E7" s="14" t="n">
        <v>18000</v>
      </c>
      <c r="F7" s="16" t="n">
        <f aca="false">C7*D7</f>
        <v>55000</v>
      </c>
      <c r="G7" s="16" t="n">
        <f aca="false">C7*E7</f>
        <v>18000</v>
      </c>
      <c r="H7" s="11" t="s">
        <v>30</v>
      </c>
      <c r="I7" s="3" t="s">
        <v>400</v>
      </c>
    </row>
    <row r="8" customFormat="false" ht="28.35" hidden="false" customHeight="false" outlineLevel="0" collapsed="false">
      <c r="A8" s="0" t="n">
        <v>3</v>
      </c>
      <c r="B8" s="3" t="s">
        <v>401</v>
      </c>
      <c r="C8" s="5" t="n">
        <v>1</v>
      </c>
      <c r="D8" s="14" t="n">
        <v>30000</v>
      </c>
      <c r="E8" s="14" t="n">
        <v>11000</v>
      </c>
      <c r="F8" s="16" t="n">
        <f aca="false">C8*D8</f>
        <v>30000</v>
      </c>
      <c r="G8" s="16" t="n">
        <f aca="false">C8*E8</f>
        <v>11000</v>
      </c>
      <c r="H8" s="11" t="s">
        <v>30</v>
      </c>
      <c r="I8" s="3" t="s">
        <v>402</v>
      </c>
    </row>
    <row r="9" customFormat="false" ht="15" hidden="false" customHeight="false" outlineLevel="0" collapsed="false">
      <c r="B9" s="15" t="s">
        <v>403</v>
      </c>
    </row>
    <row r="10" customFormat="false" ht="15" hidden="false" customHeight="false" outlineLevel="0" collapsed="false">
      <c r="A10" s="0" t="n">
        <v>4</v>
      </c>
      <c r="B10" s="3" t="s">
        <v>404</v>
      </c>
      <c r="C10" s="5" t="n">
        <v>1</v>
      </c>
      <c r="D10" s="14" t="n">
        <v>25000</v>
      </c>
      <c r="E10" s="14" t="n">
        <v>8000</v>
      </c>
      <c r="F10" s="16" t="n">
        <f aca="false">C10*D10</f>
        <v>25000</v>
      </c>
      <c r="G10" s="16" t="n">
        <f aca="false">C10*E10</f>
        <v>8000</v>
      </c>
      <c r="H10" s="11" t="s">
        <v>30</v>
      </c>
      <c r="I10" s="3" t="s">
        <v>405</v>
      </c>
    </row>
    <row r="11" customFormat="false" ht="15" hidden="false" customHeight="false" outlineLevel="0" collapsed="false">
      <c r="A11" s="0" t="n">
        <v>5</v>
      </c>
      <c r="B11" s="3" t="s">
        <v>406</v>
      </c>
      <c r="C11" s="5" t="n">
        <v>1</v>
      </c>
      <c r="D11" s="14" t="n">
        <v>18000</v>
      </c>
      <c r="E11" s="14" t="n">
        <v>7000</v>
      </c>
      <c r="F11" s="16" t="n">
        <f aca="false">C11*D11</f>
        <v>18000</v>
      </c>
      <c r="G11" s="16" t="n">
        <f aca="false">C11*E11</f>
        <v>7000</v>
      </c>
      <c r="H11" s="11" t="s">
        <v>30</v>
      </c>
      <c r="I11" s="3" t="s">
        <v>407</v>
      </c>
    </row>
    <row r="12" customFormat="false" ht="28.35" hidden="false" customHeight="false" outlineLevel="0" collapsed="false">
      <c r="A12" s="0" t="n">
        <v>6</v>
      </c>
      <c r="B12" s="3" t="s">
        <v>408</v>
      </c>
      <c r="C12" s="5" t="n">
        <v>1</v>
      </c>
      <c r="D12" s="14" t="n">
        <v>55000</v>
      </c>
      <c r="E12" s="14" t="n">
        <v>15000</v>
      </c>
      <c r="F12" s="16" t="n">
        <f aca="false">C12*D12</f>
        <v>55000</v>
      </c>
      <c r="G12" s="16" t="n">
        <f aca="false">C12*E12</f>
        <v>15000</v>
      </c>
      <c r="H12" s="11" t="s">
        <v>30</v>
      </c>
      <c r="I12" s="3" t="s">
        <v>409</v>
      </c>
    </row>
    <row r="13" customFormat="false" ht="15" hidden="false" customHeight="false" outlineLevel="0" collapsed="false">
      <c r="A13" s="0" t="n">
        <v>7</v>
      </c>
      <c r="B13" s="3" t="s">
        <v>410</v>
      </c>
      <c r="C13" s="5" t="n">
        <v>1</v>
      </c>
      <c r="D13" s="14" t="n">
        <v>40000</v>
      </c>
      <c r="E13" s="14" t="n">
        <v>12000</v>
      </c>
      <c r="F13" s="16" t="n">
        <f aca="false">C13*D13</f>
        <v>40000</v>
      </c>
      <c r="G13" s="16" t="n">
        <f aca="false">C13*E13</f>
        <v>12000</v>
      </c>
      <c r="H13" s="11" t="s">
        <v>30</v>
      </c>
      <c r="I13" s="3" t="s">
        <v>411</v>
      </c>
    </row>
    <row r="14" customFormat="false" ht="15" hidden="false" customHeight="false" outlineLevel="0" collapsed="false">
      <c r="A14" s="0" t="n">
        <v>8</v>
      </c>
      <c r="B14" s="3" t="s">
        <v>412</v>
      </c>
      <c r="C14" s="5" t="n">
        <v>1</v>
      </c>
      <c r="D14" s="14" t="n">
        <v>8000</v>
      </c>
      <c r="E14" s="14" t="n">
        <v>3500</v>
      </c>
      <c r="F14" s="16" t="n">
        <f aca="false">C14*D14</f>
        <v>8000</v>
      </c>
      <c r="G14" s="16" t="n">
        <f aca="false">C14*E14</f>
        <v>3500</v>
      </c>
      <c r="H14" s="11" t="s">
        <v>30</v>
      </c>
      <c r="I14" s="3" t="s">
        <v>407</v>
      </c>
    </row>
    <row r="15" customFormat="false" ht="15" hidden="false" customHeight="false" outlineLevel="0" collapsed="false">
      <c r="B15" s="15" t="s">
        <v>413</v>
      </c>
    </row>
    <row r="16" customFormat="false" ht="28.35" hidden="false" customHeight="false" outlineLevel="0" collapsed="false">
      <c r="A16" s="0" t="n">
        <v>9</v>
      </c>
      <c r="B16" s="3" t="s">
        <v>414</v>
      </c>
      <c r="C16" s="5" t="n">
        <v>1</v>
      </c>
      <c r="D16" s="14" t="n">
        <v>45000</v>
      </c>
      <c r="E16" s="14" t="n">
        <v>15000</v>
      </c>
      <c r="F16" s="16" t="n">
        <f aca="false">C16*D16</f>
        <v>45000</v>
      </c>
      <c r="G16" s="16" t="n">
        <f aca="false">C16*E16</f>
        <v>15000</v>
      </c>
      <c r="H16" s="11" t="s">
        <v>30</v>
      </c>
      <c r="I16" s="3" t="s">
        <v>415</v>
      </c>
    </row>
    <row r="17" customFormat="false" ht="28.35" hidden="false" customHeight="false" outlineLevel="0" collapsed="false">
      <c r="A17" s="0" t="n">
        <v>10</v>
      </c>
      <c r="B17" s="3" t="s">
        <v>416</v>
      </c>
      <c r="C17" s="5" t="n">
        <v>1</v>
      </c>
      <c r="D17" s="14" t="n">
        <v>22000</v>
      </c>
      <c r="E17" s="14" t="n">
        <v>7000</v>
      </c>
      <c r="F17" s="16" t="n">
        <f aca="false">C17*D17</f>
        <v>22000</v>
      </c>
      <c r="G17" s="16" t="n">
        <f aca="false">C17*E17</f>
        <v>7000</v>
      </c>
      <c r="H17" s="11" t="s">
        <v>30</v>
      </c>
      <c r="I17" s="3" t="s">
        <v>417</v>
      </c>
    </row>
    <row r="18" customFormat="false" ht="15" hidden="false" customHeight="false" outlineLevel="0" collapsed="false">
      <c r="B18" s="15" t="s">
        <v>418</v>
      </c>
    </row>
    <row r="19" customFormat="false" ht="28.35" hidden="false" customHeight="false" outlineLevel="0" collapsed="false">
      <c r="A19" s="0" t="n">
        <v>11</v>
      </c>
      <c r="B19" s="3" t="s">
        <v>419</v>
      </c>
      <c r="C19" s="5" t="n">
        <v>1</v>
      </c>
      <c r="D19" s="14" t="n">
        <v>8000</v>
      </c>
      <c r="E19" s="14" t="n">
        <v>4000</v>
      </c>
      <c r="F19" s="16" t="n">
        <f aca="false">C19*D19</f>
        <v>8000</v>
      </c>
      <c r="G19" s="16" t="n">
        <f aca="false">C19*E19</f>
        <v>4000</v>
      </c>
      <c r="H19" s="11" t="s">
        <v>30</v>
      </c>
      <c r="I19" s="3" t="s">
        <v>420</v>
      </c>
    </row>
    <row r="20" customFormat="false" ht="28.35" hidden="false" customHeight="false" outlineLevel="0" collapsed="false">
      <c r="A20" s="0" t="n">
        <v>12</v>
      </c>
      <c r="B20" s="3" t="s">
        <v>421</v>
      </c>
      <c r="C20" s="5" t="n">
        <v>1</v>
      </c>
      <c r="D20" s="14" t="n">
        <v>35000</v>
      </c>
      <c r="E20" s="14" t="n">
        <v>15000</v>
      </c>
      <c r="F20" s="16" t="n">
        <f aca="false">C20*D20</f>
        <v>35000</v>
      </c>
      <c r="G20" s="16" t="n">
        <f aca="false">C20*E20</f>
        <v>15000</v>
      </c>
      <c r="H20" s="11" t="s">
        <v>30</v>
      </c>
      <c r="I20" s="3" t="s">
        <v>422</v>
      </c>
    </row>
    <row r="21" customFormat="false" ht="15" hidden="false" customHeight="false" outlineLevel="0" collapsed="false">
      <c r="B21" s="15" t="s">
        <v>423</v>
      </c>
    </row>
    <row r="22" customFormat="false" ht="15" hidden="false" customHeight="false" outlineLevel="0" collapsed="false">
      <c r="A22" s="0" t="n">
        <v>13</v>
      </c>
      <c r="B22" s="3" t="s">
        <v>424</v>
      </c>
      <c r="C22" s="5" t="n">
        <v>40</v>
      </c>
      <c r="D22" s="14" t="n">
        <v>600</v>
      </c>
      <c r="E22" s="14" t="n">
        <v>600</v>
      </c>
      <c r="F22" s="16" t="n">
        <f aca="false">C22*D22</f>
        <v>24000</v>
      </c>
      <c r="G22" s="16" t="n">
        <f aca="false">14*E22</f>
        <v>8400</v>
      </c>
      <c r="H22" s="11" t="s">
        <v>30</v>
      </c>
      <c r="I22" s="3" t="s">
        <v>425</v>
      </c>
    </row>
    <row r="23" customFormat="false" ht="15" hidden="false" customHeight="false" outlineLevel="0" collapsed="false">
      <c r="A23" s="0" t="n">
        <v>14</v>
      </c>
      <c r="B23" s="3" t="s">
        <v>426</v>
      </c>
      <c r="C23" s="5" t="n">
        <v>1</v>
      </c>
      <c r="D23" s="14" t="n">
        <v>10000</v>
      </c>
      <c r="E23" s="14" t="n">
        <v>2500</v>
      </c>
      <c r="F23" s="16" t="n">
        <f aca="false">C23*D23</f>
        <v>10000</v>
      </c>
      <c r="G23" s="16" t="n">
        <f aca="false">C23*E23</f>
        <v>2500</v>
      </c>
      <c r="H23" s="11" t="s">
        <v>30</v>
      </c>
      <c r="I23" s="3" t="s">
        <v>407</v>
      </c>
    </row>
    <row r="24" customFormat="false" ht="28.35" hidden="false" customHeight="false" outlineLevel="0" collapsed="false">
      <c r="A24" s="0" t="n">
        <v>15</v>
      </c>
      <c r="B24" s="3" t="s">
        <v>427</v>
      </c>
      <c r="C24" s="5" t="n">
        <v>1</v>
      </c>
      <c r="D24" s="14" t="n">
        <v>0</v>
      </c>
      <c r="E24" s="14" t="n">
        <v>8000</v>
      </c>
      <c r="F24" s="16" t="n">
        <f aca="false">C24*D24</f>
        <v>0</v>
      </c>
      <c r="G24" s="16" t="n">
        <f aca="false">C24*E24</f>
        <v>8000</v>
      </c>
      <c r="H24" s="11" t="s">
        <v>110</v>
      </c>
      <c r="I24" s="3" t="s">
        <v>428</v>
      </c>
    </row>
    <row r="26" customFormat="false" ht="15" hidden="false" customHeight="false" outlineLevel="0" collapsed="false">
      <c r="B26" s="4" t="s">
        <v>429</v>
      </c>
      <c r="F26" s="17" t="n">
        <f aca="false">SUM(F6:F24)</f>
        <v>625000</v>
      </c>
      <c r="G26" s="17" t="n">
        <f aca="false">SUM(G6:G24)</f>
        <v>229400</v>
      </c>
    </row>
    <row r="27" customFormat="false" ht="15" hidden="false" customHeight="false" outlineLevel="0" collapsed="false">
      <c r="B27" s="0" t="s">
        <v>430</v>
      </c>
      <c r="D27" s="18" t="n">
        <v>0.05</v>
      </c>
      <c r="E27" s="18" t="n">
        <v>0.04</v>
      </c>
      <c r="F27" s="16" t="n">
        <f aca="false">F26*D27</f>
        <v>31250</v>
      </c>
      <c r="G27" s="16" t="n">
        <f aca="false">G26*E27</f>
        <v>9176</v>
      </c>
    </row>
    <row r="28" customFormat="false" ht="15" hidden="false" customHeight="false" outlineLevel="0" collapsed="false">
      <c r="B28" s="0" t="s">
        <v>431</v>
      </c>
      <c r="D28" s="18" t="n">
        <v>0</v>
      </c>
      <c r="E28" s="18" t="n">
        <v>0.15</v>
      </c>
      <c r="F28" s="16" t="n">
        <f aca="false">F26*D28</f>
        <v>0</v>
      </c>
      <c r="G28" s="16" t="n">
        <f aca="false">G26*E28</f>
        <v>34410</v>
      </c>
    </row>
    <row r="29" customFormat="false" ht="15" hidden="false" customHeight="false" outlineLevel="0" collapsed="false">
      <c r="B29" s="0" t="s">
        <v>432</v>
      </c>
      <c r="D29" s="18" t="n">
        <v>0.18</v>
      </c>
      <c r="E29" s="18" t="n">
        <v>0.18</v>
      </c>
      <c r="F29" s="16" t="n">
        <f aca="false">(F26+F27+F28)*D29</f>
        <v>118125</v>
      </c>
      <c r="G29" s="16" t="n">
        <f aca="false">(G26+G27+G28)*E29</f>
        <v>49137.48</v>
      </c>
    </row>
    <row r="40" customFormat="false" ht="15" hidden="false" customHeight="false" outlineLevel="0" collapsed="false">
      <c r="B40" s="19" t="s">
        <v>433</v>
      </c>
      <c r="E40" s="4" t="s">
        <v>434</v>
      </c>
      <c r="F40" s="20" t="n">
        <f aca="false">F26+F27+F28+F29</f>
        <v>774375</v>
      </c>
      <c r="G40" s="20" t="n">
        <f aca="false">F40</f>
        <v>774375</v>
      </c>
      <c r="H40" s="20" t="n">
        <f aca="false">G26+G27+G28+G29</f>
        <v>322123.48</v>
      </c>
    </row>
    <row r="41" customFormat="false" ht="15" hidden="false" customHeight="false" outlineLevel="0" collapsed="false">
      <c r="B41" s="0" t="s">
        <v>435</v>
      </c>
      <c r="F41" s="21" t="n">
        <f aca="false">(G6+G7)/G26</f>
        <v>0.492589363557106</v>
      </c>
    </row>
    <row r="42" customFormat="false" ht="15" hidden="false" customHeight="false" outlineLevel="0" collapsed="false">
      <c r="B42" s="0" t="s">
        <v>436</v>
      </c>
      <c r="F42" s="22" t="n">
        <f aca="false">H40/100000</f>
        <v>3.2212348</v>
      </c>
    </row>
    <row r="43" customFormat="false" ht="15" hidden="false" customHeight="false" outlineLevel="0" collapsed="false">
      <c r="B43" s="0" t="s">
        <v>437</v>
      </c>
      <c r="F43" s="22" t="n">
        <f aca="false">G40/100000</f>
        <v>7.74375</v>
      </c>
    </row>
    <row r="44" customFormat="false" ht="15" hidden="false" customHeight="false" outlineLevel="0" collapsed="false">
      <c r="B44" s="0" t="s">
        <v>438</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4"/>
    <col collapsed="false" customWidth="true" hidden="false" outlineLevel="0" max="2" min="2" style="0" width="16"/>
    <col collapsed="false" customWidth="true" hidden="false" outlineLevel="0" max="3" min="3" style="0" width="14"/>
    <col collapsed="false" customWidth="true" hidden="false" outlineLevel="0" max="4" min="4" style="0" width="90"/>
  </cols>
  <sheetData>
    <row r="1" customFormat="false" ht="17.35" hidden="false" customHeight="false" outlineLevel="0" collapsed="false">
      <c r="A1" s="1" t="s">
        <v>439</v>
      </c>
    </row>
    <row r="2" customFormat="false" ht="15" hidden="false" customHeight="false" outlineLevel="0" collapsed="false">
      <c r="A2" s="2" t="s">
        <v>440</v>
      </c>
    </row>
    <row r="4" customFormat="false" ht="15" hidden="false" customHeight="false" outlineLevel="0" collapsed="false">
      <c r="A4" s="6" t="s">
        <v>441</v>
      </c>
      <c r="B4" s="6" t="s">
        <v>442</v>
      </c>
      <c r="C4" s="6" t="s">
        <v>22</v>
      </c>
      <c r="D4" s="6" t="s">
        <v>443</v>
      </c>
    </row>
    <row r="5" customFormat="false" ht="15" hidden="false" customHeight="false" outlineLevel="0" collapsed="false">
      <c r="A5" s="3" t="s">
        <v>444</v>
      </c>
      <c r="B5" s="23" t="n">
        <f aca="false">Inputs!$F$55/Inputs!$F$19</f>
        <v>1.92</v>
      </c>
      <c r="C5" s="11" t="s">
        <v>445</v>
      </c>
      <c r="D5" s="3" t="s">
        <v>446</v>
      </c>
    </row>
    <row r="6" customFormat="false" ht="15" hidden="false" customHeight="false" outlineLevel="0" collapsed="false">
      <c r="A6" s="3" t="s">
        <v>447</v>
      </c>
      <c r="B6" s="23" t="n">
        <f aca="false">Inputs!$F$56/Inputs!$F$21</f>
        <v>2.14666666666667</v>
      </c>
      <c r="C6" s="11" t="s">
        <v>445</v>
      </c>
      <c r="D6" s="3"/>
    </row>
    <row r="7" customFormat="false" ht="15" hidden="false" customHeight="false" outlineLevel="0" collapsed="false">
      <c r="A7" s="3" t="s">
        <v>448</v>
      </c>
      <c r="B7" s="23" t="n">
        <f aca="false">Inputs!$F$33</f>
        <v>1.85</v>
      </c>
      <c r="C7" s="11" t="s">
        <v>125</v>
      </c>
      <c r="D7" s="3" t="s">
        <v>449</v>
      </c>
    </row>
    <row r="8" customFormat="false" ht="15" hidden="false" customHeight="false" outlineLevel="0" collapsed="false">
      <c r="A8" s="3" t="s">
        <v>450</v>
      </c>
      <c r="B8" s="23" t="n">
        <f aca="false">B7/100*Inputs!$F$57</f>
        <v>2.22</v>
      </c>
      <c r="C8" s="11" t="s">
        <v>445</v>
      </c>
      <c r="D8" s="3"/>
    </row>
    <row r="9" customFormat="false" ht="28.35" hidden="false" customHeight="false" outlineLevel="0" collapsed="false">
      <c r="A9" s="3" t="s">
        <v>451</v>
      </c>
      <c r="B9" s="23" t="n">
        <f aca="false">B5/B8</f>
        <v>0.864864864864865</v>
      </c>
      <c r="C9" s="11" t="s">
        <v>452</v>
      </c>
      <c r="D9" s="3" t="s">
        <v>453</v>
      </c>
    </row>
    <row r="10" customFormat="false" ht="15" hidden="false" customHeight="false" outlineLevel="0" collapsed="false">
      <c r="A10" s="3" t="s">
        <v>454</v>
      </c>
      <c r="B10" s="23" t="n">
        <f aca="false">100/B7</f>
        <v>54.0540540540541</v>
      </c>
      <c r="C10" s="11" t="s">
        <v>76</v>
      </c>
      <c r="D10" s="3"/>
    </row>
    <row r="11" customFormat="false" ht="15" hidden="false" customHeight="false" outlineLevel="0" collapsed="false">
      <c r="A11" s="3" t="s">
        <v>455</v>
      </c>
      <c r="B11" s="23" t="n">
        <f aca="false">Inputs!$F$58</f>
        <v>60</v>
      </c>
      <c r="C11" s="11" t="s">
        <v>204</v>
      </c>
      <c r="D11" s="3"/>
    </row>
    <row r="12" customFormat="false" ht="15" hidden="false" customHeight="false" outlineLevel="0" collapsed="false">
      <c r="A12" s="3" t="s">
        <v>456</v>
      </c>
      <c r="B12" s="23" t="n">
        <f aca="false">B11/1000*Inputs!$F$59</f>
        <v>1.44</v>
      </c>
      <c r="C12" s="11" t="s">
        <v>226</v>
      </c>
      <c r="D12" s="3" t="s">
        <v>457</v>
      </c>
    </row>
    <row r="13" customFormat="false" ht="15" hidden="false" customHeight="false" outlineLevel="0" collapsed="false">
      <c r="A13" s="3" t="s">
        <v>458</v>
      </c>
      <c r="B13" s="23" t="n">
        <f aca="false">B11/1000*Inputs!$F$60</f>
        <v>2.412</v>
      </c>
      <c r="C13" s="11" t="s">
        <v>226</v>
      </c>
      <c r="D13" s="3" t="s">
        <v>459</v>
      </c>
    </row>
    <row r="14" customFormat="false" ht="15" hidden="false" customHeight="false" outlineLevel="0" collapsed="false">
      <c r="A14" s="3" t="s">
        <v>460</v>
      </c>
      <c r="B14" s="23" t="n">
        <f aca="false">B12*Inputs!$F$61</f>
        <v>1.224</v>
      </c>
      <c r="C14" s="11" t="s">
        <v>226</v>
      </c>
      <c r="D14" s="3" t="s">
        <v>461</v>
      </c>
    </row>
    <row r="15" customFormat="false" ht="15" hidden="false" customHeight="false" outlineLevel="0" collapsed="false">
      <c r="A15" s="3" t="s">
        <v>462</v>
      </c>
      <c r="B15" s="23" t="n">
        <f aca="false">B11/1000*Inputs!$F$62</f>
        <v>0.102</v>
      </c>
      <c r="C15" s="11" t="s">
        <v>226</v>
      </c>
      <c r="D15" s="3" t="s">
        <v>220</v>
      </c>
    </row>
    <row r="16" customFormat="false" ht="15" hidden="false" customHeight="false" outlineLevel="0" collapsed="false">
      <c r="A16" s="24" t="s">
        <v>463</v>
      </c>
      <c r="B16" s="25" t="n">
        <f aca="false">B14-B15</f>
        <v>1.122</v>
      </c>
      <c r="C16" s="11" t="s">
        <v>226</v>
      </c>
      <c r="D16" s="3" t="s">
        <v>464</v>
      </c>
    </row>
    <row r="17" customFormat="false" ht="15" hidden="false" customHeight="false" outlineLevel="0" collapsed="false">
      <c r="A17" s="24" t="s">
        <v>465</v>
      </c>
      <c r="B17" s="25" t="n">
        <f aca="false">B16/(B7/100)</f>
        <v>60.6486486486486</v>
      </c>
      <c r="C17" s="11" t="s">
        <v>348</v>
      </c>
      <c r="D17" s="3" t="s">
        <v>464</v>
      </c>
    </row>
    <row r="18" customFormat="false" ht="15" hidden="false" customHeight="false" outlineLevel="0" collapsed="false">
      <c r="A18" s="3" t="s">
        <v>466</v>
      </c>
      <c r="B18" s="23" t="n">
        <f aca="false">(B13*Inputs!$F$61-B15)/(B7/100)</f>
        <v>105.308108108108</v>
      </c>
      <c r="C18" s="11" t="s">
        <v>348</v>
      </c>
      <c r="D18" s="3"/>
    </row>
    <row r="19" customFormat="false" ht="15" hidden="false" customHeight="false" outlineLevel="0" collapsed="false">
      <c r="A19" s="3" t="s">
        <v>467</v>
      </c>
      <c r="B19" s="23" t="n">
        <f aca="false">Inputs!$F$71*Inputs!$F$21</f>
        <v>555</v>
      </c>
      <c r="C19" s="11" t="s">
        <v>348</v>
      </c>
      <c r="D19" s="3" t="s">
        <v>468</v>
      </c>
    </row>
    <row r="20" customFormat="false" ht="15" hidden="false" customHeight="false" outlineLevel="0" collapsed="false">
      <c r="A20" s="3" t="s">
        <v>469</v>
      </c>
      <c r="B20" s="23" t="n">
        <f aca="false">Inputs!$F$11*B7/100</f>
        <v>3.0895</v>
      </c>
      <c r="C20" s="11" t="s">
        <v>274</v>
      </c>
      <c r="D20" s="3"/>
    </row>
    <row r="21" customFormat="false" ht="15" hidden="false" customHeight="false" outlineLevel="0" collapsed="false">
      <c r="A21" s="3" t="s">
        <v>470</v>
      </c>
      <c r="B21" s="23" t="n">
        <f aca="false">B20/B16</f>
        <v>2.75356506238859</v>
      </c>
      <c r="C21" s="11" t="s">
        <v>223</v>
      </c>
      <c r="D21" s="3"/>
    </row>
    <row r="22" customFormat="false" ht="15" hidden="false" customHeight="false" outlineLevel="0" collapsed="false">
      <c r="A22" s="24" t="s">
        <v>471</v>
      </c>
      <c r="B22" s="25" t="n">
        <f aca="false">MIN(1,Inputs!$F$63*B16/B20)</f>
        <v>0.726331121540702</v>
      </c>
      <c r="C22" s="11" t="s">
        <v>38</v>
      </c>
      <c r="D22" s="3" t="s">
        <v>472</v>
      </c>
    </row>
    <row r="23" customFormat="false" ht="15" hidden="false" customHeight="false" outlineLevel="0" collapsed="false">
      <c r="A23" s="3" t="s">
        <v>473</v>
      </c>
      <c r="B23" s="23" t="n">
        <f aca="false">Inputs!$F$34</f>
        <v>0.65</v>
      </c>
      <c r="C23" s="11" t="s">
        <v>38</v>
      </c>
      <c r="D23" s="3"/>
    </row>
    <row r="24" customFormat="false" ht="15" hidden="false" customHeight="false" outlineLevel="0" collapsed="false">
      <c r="A24" s="3" t="s">
        <v>474</v>
      </c>
      <c r="B24" s="23" t="n">
        <f aca="false">Inputs!$F$11*B7/100*B23</f>
        <v>2.008175</v>
      </c>
      <c r="C24" s="11" t="s">
        <v>274</v>
      </c>
      <c r="D24" s="3"/>
    </row>
    <row r="25" customFormat="false" ht="15" hidden="false" customHeight="false" outlineLevel="0" collapsed="false">
      <c r="A25" s="3" t="s">
        <v>475</v>
      </c>
      <c r="B25" s="23" t="n">
        <f aca="false">Inputs!$F$64+Inputs!$F$65</f>
        <v>50</v>
      </c>
      <c r="C25" s="11" t="s">
        <v>226</v>
      </c>
      <c r="D25" s="3"/>
    </row>
    <row r="26" customFormat="false" ht="15" hidden="false" customHeight="false" outlineLevel="0" collapsed="false">
      <c r="A26" s="3" t="s">
        <v>476</v>
      </c>
      <c r="B26" s="23" t="n">
        <f aca="false">Inputs!$F$66+Inputs!$F$67</f>
        <v>63</v>
      </c>
      <c r="C26" s="11" t="s">
        <v>226</v>
      </c>
      <c r="D26" s="3"/>
    </row>
    <row r="27" customFormat="false" ht="15" hidden="false" customHeight="false" outlineLevel="0" collapsed="false">
      <c r="A27" s="3" t="s">
        <v>477</v>
      </c>
      <c r="B27" s="23" t="n">
        <f aca="false">B25-B26</f>
        <v>-13</v>
      </c>
      <c r="C27" s="11" t="s">
        <v>226</v>
      </c>
      <c r="D27" s="3" t="s">
        <v>478</v>
      </c>
    </row>
    <row r="28" customFormat="false" ht="15" hidden="false" customHeight="false" outlineLevel="0" collapsed="false">
      <c r="A28" s="3" t="s">
        <v>479</v>
      </c>
      <c r="B28" s="23" t="n">
        <f aca="false">Inputs!$F$68</f>
        <v>81.6</v>
      </c>
      <c r="C28" s="11" t="s">
        <v>238</v>
      </c>
      <c r="D28" s="3" t="s">
        <v>480</v>
      </c>
    </row>
    <row r="29" customFormat="false" ht="15" hidden="false" customHeight="false" outlineLevel="0" collapsed="false">
      <c r="A29" s="3" t="s">
        <v>481</v>
      </c>
      <c r="B29" s="23" t="n">
        <f aca="false">Inputs!$F$69</f>
        <v>70</v>
      </c>
      <c r="C29" s="11" t="s">
        <v>238</v>
      </c>
      <c r="D29" s="3" t="s">
        <v>482</v>
      </c>
    </row>
    <row r="30" customFormat="false" ht="15" hidden="false" customHeight="false" outlineLevel="0" collapsed="false">
      <c r="A30" s="24" t="s">
        <v>483</v>
      </c>
      <c r="B30" s="25" t="n">
        <f aca="false">Inputs!$F$68*Inputs!$F$70</f>
        <v>42.432</v>
      </c>
      <c r="C30" s="11" t="s">
        <v>238</v>
      </c>
      <c r="D30" s="3" t="s">
        <v>484</v>
      </c>
    </row>
    <row r="31" customFormat="false" ht="15" hidden="false" customHeight="false" outlineLevel="0" collapsed="false">
      <c r="A31" s="3" t="s">
        <v>485</v>
      </c>
      <c r="B31" s="23" t="n">
        <f aca="false">1-Inputs!$F$70</f>
        <v>0.48</v>
      </c>
      <c r="C31" s="11" t="s">
        <v>38</v>
      </c>
      <c r="D31" s="3"/>
    </row>
    <row r="32" customFormat="false" ht="15" hidden="false" customHeight="false" outlineLevel="0" collapsed="false">
      <c r="A32" s="3" t="s">
        <v>486</v>
      </c>
      <c r="B32" s="23" t="n">
        <f aca="false">1-B30/B29</f>
        <v>0.393828571428572</v>
      </c>
      <c r="C32" s="11" t="s">
        <v>38</v>
      </c>
      <c r="D32" s="3"/>
    </row>
    <row r="33" customFormat="false" ht="15" hidden="false" customHeight="false" outlineLevel="0" collapsed="false">
      <c r="A33" s="3" t="s">
        <v>487</v>
      </c>
      <c r="B33" s="23" t="n">
        <f aca="false">B30/((1045+B27+300)/1000)</f>
        <v>31.8558558558559</v>
      </c>
      <c r="C33" s="11" t="s">
        <v>488</v>
      </c>
      <c r="D33" s="3" t="s">
        <v>489</v>
      </c>
    </row>
    <row r="34" customFormat="false" ht="15" hidden="false" customHeight="false" outlineLevel="0" collapsed="false">
      <c r="A34" s="3" t="s">
        <v>490</v>
      </c>
      <c r="B34" s="23" t="n">
        <f aca="false">(18*10.8)/(18*10.8+82*35.8)</f>
        <v>0.0621086261980831</v>
      </c>
      <c r="C34" s="11" t="s">
        <v>38</v>
      </c>
      <c r="D34" s="3" t="s">
        <v>491</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8" min="2" style="0" width="15"/>
  </cols>
  <sheetData>
    <row r="1" customFormat="false" ht="17.35" hidden="false" customHeight="false" outlineLevel="0" collapsed="false">
      <c r="A1" s="1" t="s">
        <v>492</v>
      </c>
    </row>
    <row r="2" customFormat="false" ht="15" hidden="false" customHeight="false" outlineLevel="0" collapsed="false">
      <c r="A2" s="2" t="s">
        <v>493</v>
      </c>
    </row>
    <row r="3" customFormat="false" ht="15" hidden="false" customHeight="false" outlineLevel="0" collapsed="false">
      <c r="A3" s="4" t="s">
        <v>494</v>
      </c>
      <c r="C3" s="4" t="n">
        <v>0</v>
      </c>
      <c r="D3" s="4" t="n">
        <v>1</v>
      </c>
      <c r="E3" s="4" t="n">
        <v>2</v>
      </c>
      <c r="F3" s="4" t="n">
        <v>3</v>
      </c>
      <c r="G3" s="4" t="n">
        <v>4</v>
      </c>
      <c r="H3" s="4" t="n">
        <v>5</v>
      </c>
    </row>
    <row r="4" customFormat="false" ht="15" hidden="false" customHeight="false" outlineLevel="0" collapsed="false">
      <c r="A4" s="0" t="s">
        <v>495</v>
      </c>
      <c r="C4" s="0" t="n">
        <f aca="false">Inputs!$F$7+C3</f>
        <v>2028</v>
      </c>
      <c r="D4" s="0" t="n">
        <f aca="false">Inputs!$F$7+D3</f>
        <v>2029</v>
      </c>
      <c r="E4" s="0" t="n">
        <f aca="false">Inputs!$F$7+E3</f>
        <v>2030</v>
      </c>
      <c r="F4" s="0" t="n">
        <f aca="false">Inputs!$F$7+F3</f>
        <v>2031</v>
      </c>
      <c r="G4" s="0" t="n">
        <f aca="false">Inputs!$F$7+G3</f>
        <v>2032</v>
      </c>
      <c r="H4" s="0" t="n">
        <f aca="false">Inputs!$F$7+H3</f>
        <v>2033</v>
      </c>
    </row>
    <row r="5" customFormat="false" ht="15" hidden="false" customHeight="false" outlineLevel="0" collapsed="false">
      <c r="A5" s="0" t="s">
        <v>496</v>
      </c>
      <c r="C5" s="26" t="n">
        <f aca="false">1/(1+Inputs!$F$9)^C3</f>
        <v>1</v>
      </c>
      <c r="D5" s="26" t="n">
        <f aca="false">1/(1+Inputs!$F$9)^D3</f>
        <v>0.892857142857143</v>
      </c>
      <c r="E5" s="26" t="n">
        <f aca="false">1/(1+Inputs!$F$9)^E3</f>
        <v>0.79719387755102</v>
      </c>
      <c r="F5" s="26" t="n">
        <f aca="false">1/(1+Inputs!$F$9)^F3</f>
        <v>0.711780247813411</v>
      </c>
      <c r="G5" s="26" t="n">
        <f aca="false">1/(1+Inputs!$F$9)^G3</f>
        <v>0.635518078404831</v>
      </c>
      <c r="H5" s="26" t="n">
        <f aca="false">1/(1+Inputs!$F$9)^H3</f>
        <v>0.567426855718599</v>
      </c>
    </row>
    <row r="6" customFormat="false" ht="15" hidden="false" customHeight="false" outlineLevel="0" collapsed="false">
      <c r="A6" s="0" t="s">
        <v>497</v>
      </c>
      <c r="C6" s="0" t="n">
        <v>0</v>
      </c>
      <c r="D6" s="16" t="n">
        <f aca="false">Inputs!$F$10*Inputs!$F$11</f>
        <v>55110</v>
      </c>
      <c r="E6" s="16" t="n">
        <f aca="false">Inputs!$F$10*Inputs!$F$11</f>
        <v>55110</v>
      </c>
      <c r="F6" s="16" t="n">
        <f aca="false">Inputs!$F$10*Inputs!$F$11</f>
        <v>55110</v>
      </c>
      <c r="G6" s="16" t="n">
        <f aca="false">Inputs!$F$10*Inputs!$F$11</f>
        <v>55110</v>
      </c>
      <c r="H6" s="16" t="n">
        <f aca="false">Inputs!$F$10*Inputs!$F$11</f>
        <v>55110</v>
      </c>
    </row>
    <row r="7" customFormat="false" ht="15" hidden="false" customHeight="false" outlineLevel="0" collapsed="false">
      <c r="A7" s="0" t="s">
        <v>498</v>
      </c>
      <c r="D7" s="27" t="n">
        <f aca="false">Inputs!$F$20*(1+Inputs!$F$12)^(D3-1)</f>
        <v>102</v>
      </c>
      <c r="E7" s="27" t="n">
        <f aca="false">Inputs!$F$20*(1+Inputs!$F$12)^(E3-1)</f>
        <v>105.06</v>
      </c>
      <c r="F7" s="27" t="n">
        <f aca="false">Inputs!$F$20*(1+Inputs!$F$12)^(F3-1)</f>
        <v>108.2118</v>
      </c>
      <c r="G7" s="27" t="n">
        <f aca="false">Inputs!$F$20*(1+Inputs!$F$12)^(G3-1)</f>
        <v>111.458154</v>
      </c>
      <c r="H7" s="27" t="n">
        <f aca="false">Inputs!$F$20*(1+Inputs!$F$12)^(H3-1)</f>
        <v>114.80189862</v>
      </c>
    </row>
    <row r="8" customFormat="false" ht="15" hidden="false" customHeight="false" outlineLevel="0" collapsed="false">
      <c r="A8" s="0" t="s">
        <v>499</v>
      </c>
      <c r="D8" s="27" t="n">
        <f aca="false">Inputs!$F$18*(1+Inputs!$F$12)^(D3-1)</f>
        <v>87</v>
      </c>
      <c r="E8" s="27" t="n">
        <f aca="false">Inputs!$F$18*(1+Inputs!$F$12)^(E3-1)</f>
        <v>89.61</v>
      </c>
      <c r="F8" s="27" t="n">
        <f aca="false">Inputs!$F$18*(1+Inputs!$F$12)^(F3-1)</f>
        <v>92.2983</v>
      </c>
      <c r="G8" s="27" t="n">
        <f aca="false">Inputs!$F$18*(1+Inputs!$F$12)^(G3-1)</f>
        <v>95.067249</v>
      </c>
      <c r="H8" s="27" t="n">
        <f aca="false">Inputs!$F$18*(1+Inputs!$F$12)^(H3-1)</f>
        <v>97.91926647</v>
      </c>
    </row>
    <row r="9" customFormat="false" ht="15" hidden="false" customHeight="false" outlineLevel="0" collapsed="false">
      <c r="A9" s="0" t="s">
        <v>500</v>
      </c>
      <c r="D9" s="28" t="n">
        <f aca="false">Inputs!$F$35*(1+Inputs!$F$36)^(D3-1)</f>
        <v>800</v>
      </c>
      <c r="E9" s="28" t="n">
        <f aca="false">Inputs!$F$35*(1+Inputs!$F$36)^(E3-1)</f>
        <v>720</v>
      </c>
      <c r="F9" s="28" t="n">
        <f aca="false">Inputs!$F$35*(1+Inputs!$F$36)^(F3-1)</f>
        <v>648</v>
      </c>
      <c r="G9" s="28" t="n">
        <f aca="false">Inputs!$F$35*(1+Inputs!$F$36)^(G3-1)</f>
        <v>583.2</v>
      </c>
      <c r="H9" s="28" t="n">
        <f aca="false">Inputs!$F$35*(1+Inputs!$F$36)^(H3-1)</f>
        <v>524.88</v>
      </c>
    </row>
    <row r="10" customFormat="false" ht="15" hidden="false" customHeight="false" outlineLevel="0" collapsed="false">
      <c r="A10" s="0" t="s">
        <v>501</v>
      </c>
      <c r="D10" s="26" t="n">
        <f aca="false">(1+Inputs!$F$36)^(D3-1)</f>
        <v>1</v>
      </c>
      <c r="E10" s="26" t="n">
        <f aca="false">(1+Inputs!$F$36)^(E3-1)</f>
        <v>0.9</v>
      </c>
      <c r="F10" s="26" t="n">
        <f aca="false">(1+Inputs!$F$36)^(F3-1)</f>
        <v>0.81</v>
      </c>
      <c r="G10" s="26" t="n">
        <f aca="false">(1+Inputs!$F$36)^(G3-1)</f>
        <v>0.729</v>
      </c>
      <c r="H10" s="26" t="n">
        <f aca="false">(1+Inputs!$F$36)^(H3-1)</f>
        <v>0.6561</v>
      </c>
    </row>
    <row r="11" customFormat="false" ht="15" hidden="false" customHeight="false" outlineLevel="0" collapsed="false">
      <c r="A11" s="0" t="s">
        <v>502</v>
      </c>
      <c r="D11" s="22" t="n">
        <f aca="false">Inputs!$F$47*(1+Inputs!$F$13)^(D3-1)</f>
        <v>6</v>
      </c>
      <c r="E11" s="22" t="n">
        <f aca="false">Inputs!$F$47*(1+Inputs!$F$13)^(E3-1)</f>
        <v>6.12</v>
      </c>
      <c r="F11" s="22" t="n">
        <f aca="false">Inputs!$F$47*(1+Inputs!$F$13)^(F3-1)</f>
        <v>6.2424</v>
      </c>
      <c r="G11" s="22" t="n">
        <f aca="false">Inputs!$F$47*(1+Inputs!$F$13)^(G3-1)</f>
        <v>6.367248</v>
      </c>
      <c r="H11" s="22" t="n">
        <f aca="false">Inputs!$F$47*(1+Inputs!$F$13)^(H3-1)</f>
        <v>6.49459296</v>
      </c>
    </row>
    <row r="12" customFormat="false" ht="15" hidden="false" customHeight="false" outlineLevel="0" collapsed="false">
      <c r="A12" s="0" t="s">
        <v>503</v>
      </c>
      <c r="D12" s="22" t="n">
        <f aca="false">Inputs!$F$48*(1+Inputs!$F$13)^(D3-1)</f>
        <v>20</v>
      </c>
      <c r="E12" s="22" t="n">
        <f aca="false">Inputs!$F$48*(1+Inputs!$F$13)^(E3-1)</f>
        <v>20.4</v>
      </c>
      <c r="F12" s="22" t="n">
        <f aca="false">Inputs!$F$48*(1+Inputs!$F$13)^(F3-1)</f>
        <v>20.808</v>
      </c>
      <c r="G12" s="22" t="n">
        <f aca="false">Inputs!$F$48*(1+Inputs!$F$13)^(G3-1)</f>
        <v>21.22416</v>
      </c>
      <c r="H12" s="22" t="n">
        <f aca="false">Inputs!$F$48*(1+Inputs!$F$13)^(H3-1)</f>
        <v>21.6486432</v>
      </c>
    </row>
    <row r="13" customFormat="false" ht="15" hidden="false" customHeight="false" outlineLevel="0" collapsed="false">
      <c r="A13" s="0" t="s">
        <v>504</v>
      </c>
      <c r="D13" s="16" t="n">
        <f aca="false">D6*Inputs!$F$34*Inputs!$F$33/100</f>
        <v>662.69775</v>
      </c>
      <c r="E13" s="16" t="n">
        <f aca="false">E6*Inputs!$F$34*Inputs!$F$33/100</f>
        <v>662.69775</v>
      </c>
      <c r="F13" s="16" t="n">
        <f aca="false">F6*Inputs!$F$34*Inputs!$F$33/100</f>
        <v>662.69775</v>
      </c>
      <c r="G13" s="16" t="n">
        <f aca="false">G6*Inputs!$F$34*Inputs!$F$33/100</f>
        <v>662.69775</v>
      </c>
      <c r="H13" s="16" t="n">
        <f aca="false">H6*Inputs!$F$34*Inputs!$F$33/100</f>
        <v>662.69775</v>
      </c>
    </row>
    <row r="16" customFormat="false" ht="15" hidden="false" customHeight="false" outlineLevel="0" collapsed="false">
      <c r="A16" s="19" t="s">
        <v>505</v>
      </c>
      <c r="B16" s="8"/>
      <c r="C16" s="8"/>
      <c r="D16" s="8"/>
      <c r="E16" s="8"/>
      <c r="F16" s="8"/>
      <c r="G16" s="8"/>
      <c r="H16" s="8"/>
    </row>
    <row r="17" customFormat="false" ht="15" hidden="false" customHeight="false" outlineLevel="0" collapsed="false">
      <c r="A17" s="0" t="s">
        <v>506</v>
      </c>
      <c r="C17" s="16" t="n">
        <f aca="false">0</f>
        <v>0</v>
      </c>
      <c r="D17" s="0" t="n">
        <v>0</v>
      </c>
      <c r="E17" s="0" t="n">
        <v>0</v>
      </c>
      <c r="F17" s="0" t="n">
        <v>0</v>
      </c>
      <c r="G17" s="0" t="n">
        <v>0</v>
      </c>
      <c r="H17" s="0" t="n">
        <v>0</v>
      </c>
    </row>
    <row r="18" customFormat="false" ht="15" hidden="false" customHeight="false" outlineLevel="0" collapsed="false">
      <c r="A18" s="0" t="s">
        <v>507</v>
      </c>
      <c r="C18" s="0" t="n">
        <v>0</v>
      </c>
      <c r="D18" s="16" t="n">
        <f aca="false">D6*(1-Inputs!$F$22)/Inputs!$F$19*D8</f>
        <v>182193.66</v>
      </c>
      <c r="E18" s="16" t="n">
        <f aca="false">E6*(1-Inputs!$F$22)/Inputs!$F$19*E8</f>
        <v>187659.4698</v>
      </c>
      <c r="F18" s="16" t="n">
        <f aca="false">F6*(1-Inputs!$F$22)/Inputs!$F$19*F8</f>
        <v>193289.253894</v>
      </c>
      <c r="G18" s="16" t="n">
        <f aca="false">G6*(1-Inputs!$F$22)/Inputs!$F$19*G8</f>
        <v>199087.93151082</v>
      </c>
      <c r="H18" s="16" t="n">
        <f aca="false">H6*(1-Inputs!$F$22)/Inputs!$F$19*H8</f>
        <v>205060.569456145</v>
      </c>
    </row>
    <row r="19" customFormat="false" ht="15" hidden="false" customHeight="false" outlineLevel="0" collapsed="false">
      <c r="A19" s="0" t="s">
        <v>508</v>
      </c>
      <c r="C19" s="0" t="n">
        <v>0</v>
      </c>
      <c r="D19" s="16" t="n">
        <f aca="false">D6*Inputs!$F$22/Inputs!$F$21*D7</f>
        <v>18737.4</v>
      </c>
      <c r="E19" s="16" t="n">
        <f aca="false">E6*Inputs!$F$22/Inputs!$F$21*E7</f>
        <v>19299.522</v>
      </c>
      <c r="F19" s="16" t="n">
        <f aca="false">F6*Inputs!$F$22/Inputs!$F$21*F7</f>
        <v>19878.50766</v>
      </c>
      <c r="G19" s="16" t="n">
        <f aca="false">G6*Inputs!$F$22/Inputs!$F$21*G7</f>
        <v>20474.8628898</v>
      </c>
      <c r="H19" s="16" t="n">
        <f aca="false">H6*Inputs!$F$22/Inputs!$F$21*H7</f>
        <v>21089.108776494</v>
      </c>
    </row>
    <row r="20" customFormat="false" ht="15" hidden="false" customHeight="false" outlineLevel="0" collapsed="false">
      <c r="A20" s="0" t="s">
        <v>509</v>
      </c>
      <c r="C20" s="0" t="n">
        <v>0</v>
      </c>
      <c r="D20" s="16" t="n">
        <f aca="false">D6*Inputs!$F$23</f>
        <v>49599</v>
      </c>
      <c r="E20" s="16" t="n">
        <f aca="false">E6*Inputs!$F$23</f>
        <v>49599</v>
      </c>
      <c r="F20" s="16" t="n">
        <f aca="false">F6*Inputs!$F$23</f>
        <v>49599</v>
      </c>
      <c r="G20" s="16" t="n">
        <f aca="false">G6*Inputs!$F$23</f>
        <v>49599</v>
      </c>
      <c r="H20" s="16" t="n">
        <f aca="false">H6*Inputs!$F$23</f>
        <v>49599</v>
      </c>
    </row>
    <row r="21" customFormat="false" ht="15" hidden="false" customHeight="false" outlineLevel="0" collapsed="false">
      <c r="A21" s="0" t="s">
        <v>510</v>
      </c>
      <c r="C21" s="0" t="n">
        <v>0</v>
      </c>
      <c r="D21" s="16" t="n">
        <f aca="false">Inputs!$F$24</f>
        <v>18000</v>
      </c>
      <c r="E21" s="16" t="n">
        <f aca="false">Inputs!$F$24</f>
        <v>18000</v>
      </c>
      <c r="F21" s="16" t="n">
        <f aca="false">Inputs!$F$24</f>
        <v>18000</v>
      </c>
      <c r="G21" s="16" t="n">
        <f aca="false">Inputs!$F$24</f>
        <v>18000</v>
      </c>
      <c r="H21" s="16" t="n">
        <f aca="false">Inputs!$F$24</f>
        <v>18000</v>
      </c>
    </row>
    <row r="22" customFormat="false" ht="15" hidden="false" customHeight="false" outlineLevel="0" collapsed="false">
      <c r="A22" s="0" t="s">
        <v>511</v>
      </c>
      <c r="C22" s="0" t="n">
        <v>0</v>
      </c>
      <c r="D22" s="16" t="n">
        <f aca="false">Inputs!$F$25/3</f>
        <v>666.666666666667</v>
      </c>
      <c r="E22" s="16" t="n">
        <f aca="false">Inputs!$F$25/3</f>
        <v>666.666666666667</v>
      </c>
      <c r="F22" s="16" t="n">
        <f aca="false">Inputs!$F$25/3</f>
        <v>666.666666666667</v>
      </c>
      <c r="G22" s="16" t="n">
        <f aca="false">Inputs!$F$25/3</f>
        <v>666.666666666667</v>
      </c>
      <c r="H22" s="16" t="n">
        <f aca="false">Inputs!$F$25/3</f>
        <v>666.666666666667</v>
      </c>
    </row>
    <row r="23" customFormat="false" ht="15" hidden="false" customHeight="false" outlineLevel="0" collapsed="false">
      <c r="A23" s="0" t="s">
        <v>512</v>
      </c>
      <c r="C23" s="0" t="n">
        <v>0</v>
      </c>
      <c r="D23" s="16" t="n">
        <f aca="false">Inputs!$F$26*Inputs!$F$10*Inputs!$F$14</f>
        <v>24750</v>
      </c>
      <c r="E23" s="16" t="n">
        <f aca="false">Inputs!$F$26*Inputs!$F$10*Inputs!$F$14</f>
        <v>24750</v>
      </c>
      <c r="F23" s="16" t="n">
        <f aca="false">Inputs!$F$26*Inputs!$F$10*Inputs!$F$14</f>
        <v>24750</v>
      </c>
      <c r="G23" s="16" t="n">
        <f aca="false">Inputs!$F$26*Inputs!$F$10*Inputs!$F$14</f>
        <v>24750</v>
      </c>
      <c r="H23" s="16" t="n">
        <f aca="false">Inputs!$F$26*Inputs!$F$10*Inputs!$F$14</f>
        <v>24750</v>
      </c>
    </row>
    <row r="24" customFormat="false" ht="15" hidden="false" customHeight="false" outlineLevel="0" collapsed="false">
      <c r="A24" s="0" t="s">
        <v>513</v>
      </c>
      <c r="C24" s="0" t="n">
        <v>0</v>
      </c>
      <c r="D24" s="0" t="n">
        <v>0</v>
      </c>
      <c r="E24" s="0" t="n">
        <v>0</v>
      </c>
      <c r="F24" s="0" t="n">
        <v>0</v>
      </c>
      <c r="G24" s="0" t="n">
        <v>0</v>
      </c>
      <c r="H24" s="16" t="n">
        <f aca="false">-Inputs!$F$17</f>
        <v>-100000</v>
      </c>
    </row>
    <row r="25" customFormat="false" ht="15" hidden="false" customHeight="false" outlineLevel="0" collapsed="false">
      <c r="A25" s="4" t="s">
        <v>514</v>
      </c>
      <c r="C25" s="17" t="n">
        <f aca="false">SUM(C17:C24)</f>
        <v>0</v>
      </c>
      <c r="D25" s="17" t="n">
        <f aca="false">SUM(D17:D24)</f>
        <v>293946.726666667</v>
      </c>
      <c r="E25" s="17" t="n">
        <f aca="false">SUM(E17:E24)</f>
        <v>299974.658466667</v>
      </c>
      <c r="F25" s="17" t="n">
        <f aca="false">SUM(F17:F24)</f>
        <v>306183.428220667</v>
      </c>
      <c r="G25" s="17" t="n">
        <f aca="false">SUM(G17:G24)</f>
        <v>312578.461067287</v>
      </c>
      <c r="H25" s="17" t="n">
        <f aca="false">SUM(H17:H24)</f>
        <v>219165.344899305</v>
      </c>
    </row>
    <row r="26" customFormat="false" ht="15" hidden="false" customHeight="false" outlineLevel="0" collapsed="false">
      <c r="A26" s="0" t="s">
        <v>515</v>
      </c>
      <c r="C26" s="16" t="n">
        <f aca="false">C25*C$5</f>
        <v>0</v>
      </c>
      <c r="D26" s="16" t="n">
        <f aca="false">D25*D$5</f>
        <v>262452.434523809</v>
      </c>
      <c r="E26" s="16" t="n">
        <f aca="false">E25*E$5</f>
        <v>239137.961150085</v>
      </c>
      <c r="F26" s="16" t="n">
        <f aca="false">F25*F$5</f>
        <v>217935.316415266</v>
      </c>
      <c r="G26" s="16" t="n">
        <f aca="false">G25*G$5</f>
        <v>198649.262928221</v>
      </c>
      <c r="H26" s="16" t="n">
        <f aca="false">H25*H$5</f>
        <v>124360.302538695</v>
      </c>
    </row>
    <row r="27" customFormat="false" ht="15" hidden="false" customHeight="false" outlineLevel="0" collapsed="false">
      <c r="A27" s="29" t="s">
        <v>516</v>
      </c>
      <c r="C27" s="30" t="n">
        <f aca="false">SUM(C26:H26)</f>
        <v>1042535.27755608</v>
      </c>
    </row>
    <row r="30" customFormat="false" ht="15" hidden="false" customHeight="false" outlineLevel="0" collapsed="false">
      <c r="A30" s="19" t="s">
        <v>517</v>
      </c>
      <c r="B30" s="8"/>
      <c r="C30" s="8"/>
      <c r="D30" s="8"/>
      <c r="E30" s="8"/>
      <c r="F30" s="8"/>
      <c r="G30" s="8"/>
      <c r="H30" s="8"/>
    </row>
    <row r="31" customFormat="false" ht="15" hidden="false" customHeight="false" outlineLevel="0" collapsed="false">
      <c r="A31" s="0" t="s">
        <v>506</v>
      </c>
      <c r="C31" s="16" t="n">
        <f aca="false">Inputs!$F$28-Inputs!$F$30+Inputs!$F$31*Inputs!$F$32</f>
        <v>316623.48</v>
      </c>
      <c r="D31" s="0" t="n">
        <v>0</v>
      </c>
      <c r="E31" s="0" t="n">
        <v>0</v>
      </c>
      <c r="F31" s="0" t="n">
        <v>0</v>
      </c>
      <c r="G31" s="0" t="n">
        <v>0</v>
      </c>
      <c r="H31" s="0" t="n">
        <v>0</v>
      </c>
    </row>
    <row r="32" customFormat="false" ht="15" hidden="false" customHeight="false" outlineLevel="0" collapsed="false">
      <c r="A32" s="0" t="s">
        <v>518</v>
      </c>
      <c r="C32" s="0" t="n">
        <v>0</v>
      </c>
      <c r="D32" s="16" t="n">
        <f aca="false">D13*D9</f>
        <v>530158.2</v>
      </c>
      <c r="E32" s="16" t="n">
        <f aca="false">E13*E9</f>
        <v>477142.38</v>
      </c>
      <c r="F32" s="16" t="n">
        <f aca="false">F13*F9</f>
        <v>429428.142</v>
      </c>
      <c r="G32" s="16" t="n">
        <f aca="false">G13*G9</f>
        <v>386485.3278</v>
      </c>
      <c r="H32" s="16" t="n">
        <f aca="false">H13*H9</f>
        <v>347836.79502</v>
      </c>
    </row>
    <row r="33" customFormat="false" ht="15" hidden="false" customHeight="false" outlineLevel="0" collapsed="false">
      <c r="A33" s="0" t="s">
        <v>519</v>
      </c>
      <c r="C33" s="0" t="n">
        <v>0</v>
      </c>
      <c r="D33" s="16" t="n">
        <f aca="false">D6*(1-Inputs!$F$34)/Inputs!$F$21*D7</f>
        <v>131161.8</v>
      </c>
      <c r="E33" s="16" t="n">
        <f aca="false">E6*(1-Inputs!$F$34)/Inputs!$F$21*E7</f>
        <v>135096.654</v>
      </c>
      <c r="F33" s="16" t="n">
        <f aca="false">F6*(1-Inputs!$F$34)/Inputs!$F$21*F7</f>
        <v>139149.55362</v>
      </c>
      <c r="G33" s="16" t="n">
        <f aca="false">G6*(1-Inputs!$F$34)/Inputs!$F$21*G7</f>
        <v>143324.0402286</v>
      </c>
      <c r="H33" s="16" t="n">
        <f aca="false">H6*(1-Inputs!$F$34)/Inputs!$F$21*H7</f>
        <v>147623.761435458</v>
      </c>
    </row>
    <row r="34" customFormat="false" ht="15" hidden="false" customHeight="false" outlineLevel="0" collapsed="false">
      <c r="A34" s="0" t="s">
        <v>509</v>
      </c>
      <c r="C34" s="0" t="n">
        <v>0</v>
      </c>
      <c r="D34" s="16" t="n">
        <f aca="false">D6*Inputs!$F$37</f>
        <v>55110</v>
      </c>
      <c r="E34" s="16" t="n">
        <f aca="false">E6*Inputs!$F$37</f>
        <v>55110</v>
      </c>
      <c r="F34" s="16" t="n">
        <f aca="false">F6*Inputs!$F$37</f>
        <v>55110</v>
      </c>
      <c r="G34" s="16" t="n">
        <f aca="false">G6*Inputs!$F$37</f>
        <v>55110</v>
      </c>
      <c r="H34" s="16" t="n">
        <f aca="false">H6*Inputs!$F$37</f>
        <v>55110</v>
      </c>
    </row>
    <row r="35" customFormat="false" ht="15" hidden="false" customHeight="false" outlineLevel="0" collapsed="false">
      <c r="A35" s="0" t="s">
        <v>510</v>
      </c>
      <c r="C35" s="0" t="n">
        <v>0</v>
      </c>
      <c r="D35" s="16" t="n">
        <f aca="false">Inputs!$F$38</f>
        <v>21000</v>
      </c>
      <c r="E35" s="16" t="n">
        <f aca="false">Inputs!$F$38</f>
        <v>21000</v>
      </c>
      <c r="F35" s="16" t="n">
        <f aca="false">Inputs!$F$38</f>
        <v>21000</v>
      </c>
      <c r="G35" s="16" t="n">
        <f aca="false">Inputs!$F$38</f>
        <v>21000</v>
      </c>
      <c r="H35" s="16" t="n">
        <f aca="false">Inputs!$F$38</f>
        <v>21000</v>
      </c>
    </row>
    <row r="36" customFormat="false" ht="15" hidden="false" customHeight="false" outlineLevel="0" collapsed="false">
      <c r="A36" s="0" t="s">
        <v>520</v>
      </c>
      <c r="C36" s="0" t="n">
        <v>0</v>
      </c>
      <c r="D36" s="16" t="n">
        <f aca="false">Inputs!$F$39</f>
        <v>4000</v>
      </c>
      <c r="E36" s="16" t="n">
        <f aca="false">Inputs!$F$39</f>
        <v>4000</v>
      </c>
      <c r="F36" s="16" t="n">
        <f aca="false">Inputs!$F$39</f>
        <v>4000</v>
      </c>
      <c r="G36" s="16" t="n">
        <f aca="false">Inputs!$F$39</f>
        <v>4000</v>
      </c>
      <c r="H36" s="16" t="n">
        <f aca="false">Inputs!$F$39</f>
        <v>4000</v>
      </c>
    </row>
    <row r="37" customFormat="false" ht="15" hidden="false" customHeight="false" outlineLevel="0" collapsed="false">
      <c r="A37" s="0" t="s">
        <v>521</v>
      </c>
      <c r="C37" s="0" t="n">
        <v>0</v>
      </c>
      <c r="D37" s="16" t="n">
        <f aca="false">Inputs!$F$40*Inputs!$F$10*Inputs!$F$14</f>
        <v>19800</v>
      </c>
      <c r="E37" s="16" t="n">
        <f aca="false">Inputs!$F$40*Inputs!$F$10*Inputs!$F$14</f>
        <v>19800</v>
      </c>
      <c r="F37" s="16" t="n">
        <f aca="false">Inputs!$F$40*Inputs!$F$10*Inputs!$F$14</f>
        <v>19800</v>
      </c>
      <c r="G37" s="16" t="n">
        <f aca="false">Inputs!$F$40*Inputs!$F$10*Inputs!$F$14</f>
        <v>19800</v>
      </c>
      <c r="H37" s="16" t="n">
        <f aca="false">Inputs!$F$40*Inputs!$F$10*Inputs!$F$14</f>
        <v>19800</v>
      </c>
    </row>
    <row r="38" customFormat="false" ht="15" hidden="false" customHeight="false" outlineLevel="0" collapsed="false">
      <c r="A38" s="0" t="s">
        <v>513</v>
      </c>
      <c r="C38" s="0" t="n">
        <v>0</v>
      </c>
      <c r="D38" s="0" t="n">
        <v>0</v>
      </c>
      <c r="E38" s="0" t="n">
        <v>0</v>
      </c>
      <c r="F38" s="0" t="n">
        <v>0</v>
      </c>
      <c r="G38" s="0" t="n">
        <v>0</v>
      </c>
      <c r="H38" s="16" t="n">
        <f aca="false">-(Inputs!$F$17*Inputs!$F$41+Inputs!$F$42)</f>
        <v>-90000</v>
      </c>
    </row>
    <row r="39" customFormat="false" ht="15" hidden="false" customHeight="false" outlineLevel="0" collapsed="false">
      <c r="A39" s="4" t="s">
        <v>514</v>
      </c>
      <c r="C39" s="17" t="n">
        <f aca="false">SUM(C31:C38)</f>
        <v>316623.48</v>
      </c>
      <c r="D39" s="17" t="n">
        <f aca="false">SUM(D31:D38)</f>
        <v>761230</v>
      </c>
      <c r="E39" s="17" t="n">
        <f aca="false">SUM(E31:E38)</f>
        <v>712149.034</v>
      </c>
      <c r="F39" s="17" t="n">
        <f aca="false">SUM(F31:F38)</f>
        <v>668487.69562</v>
      </c>
      <c r="G39" s="17" t="n">
        <f aca="false">SUM(G31:G38)</f>
        <v>629719.3680286</v>
      </c>
      <c r="H39" s="17" t="n">
        <f aca="false">SUM(H31:H38)</f>
        <v>505370.556455458</v>
      </c>
    </row>
    <row r="40" customFormat="false" ht="15" hidden="false" customHeight="false" outlineLevel="0" collapsed="false">
      <c r="A40" s="0" t="s">
        <v>515</v>
      </c>
      <c r="C40" s="16" t="n">
        <f aca="false">C39*C$5</f>
        <v>316623.48</v>
      </c>
      <c r="D40" s="16" t="n">
        <f aca="false">D39*D$5</f>
        <v>679669.642857143</v>
      </c>
      <c r="E40" s="16" t="n">
        <f aca="false">E39*E$5</f>
        <v>567720.849808673</v>
      </c>
      <c r="F40" s="16" t="n">
        <f aca="false">F39*F$5</f>
        <v>475816.33764862</v>
      </c>
      <c r="G40" s="16" t="n">
        <f aca="false">G39*G$5</f>
        <v>400198.042703841</v>
      </c>
      <c r="H40" s="16" t="n">
        <f aca="false">H39*H$5</f>
        <v>286760.825822279</v>
      </c>
    </row>
    <row r="41" customFormat="false" ht="15" hidden="false" customHeight="false" outlineLevel="0" collapsed="false">
      <c r="A41" s="29" t="s">
        <v>516</v>
      </c>
      <c r="C41" s="30" t="n">
        <f aca="false">SUM(C40:H40)</f>
        <v>2726789.17884056</v>
      </c>
    </row>
    <row r="42" customFormat="false" ht="15" hidden="false" customHeight="false" outlineLevel="0" collapsed="false">
      <c r="A42" s="0" t="s">
        <v>522</v>
      </c>
      <c r="C42" s="16" t="n">
        <f aca="false">C41-SUMPRODUCT(D32:H32,D5:H5)</f>
        <v>1124409.83798278</v>
      </c>
    </row>
    <row r="45" customFormat="false" ht="15" hidden="false" customHeight="false" outlineLevel="0" collapsed="false">
      <c r="A45" s="19" t="s">
        <v>523</v>
      </c>
      <c r="B45" s="8"/>
      <c r="C45" s="8"/>
      <c r="D45" s="8"/>
      <c r="E45" s="8"/>
      <c r="F45" s="8"/>
      <c r="G45" s="8"/>
      <c r="H45" s="8"/>
    </row>
    <row r="46" customFormat="false" ht="15" hidden="false" customHeight="false" outlineLevel="0" collapsed="false">
      <c r="A46" s="0" t="s">
        <v>506</v>
      </c>
      <c r="C46" s="16" t="n">
        <f aca="false">Inputs!$F$44+Inputs!$F$45-Inputs!$F$16</f>
        <v>730000</v>
      </c>
      <c r="D46" s="0" t="n">
        <v>0</v>
      </c>
      <c r="E46" s="0" t="n">
        <v>0</v>
      </c>
      <c r="F46" s="0" t="n">
        <v>0</v>
      </c>
      <c r="G46" s="0" t="n">
        <v>0</v>
      </c>
      <c r="H46" s="0" t="n">
        <v>0</v>
      </c>
    </row>
    <row r="47" customFormat="false" ht="15" hidden="false" customHeight="false" outlineLevel="0" collapsed="false">
      <c r="A47" s="0" t="s">
        <v>524</v>
      </c>
      <c r="C47" s="0" t="n">
        <v>0</v>
      </c>
      <c r="D47" s="16" t="n">
        <f aca="false">D6*Inputs!$F$46/100*(Inputs!$F$49*D12+(1-Inputs!$F$49)*D11)</f>
        <v>84318.3</v>
      </c>
      <c r="E47" s="16" t="n">
        <f aca="false">E6*Inputs!$F$46/100*(Inputs!$F$49*E12+(1-Inputs!$F$49)*E11)</f>
        <v>86004.666</v>
      </c>
      <c r="F47" s="16" t="n">
        <f aca="false">F6*Inputs!$F$46/100*(Inputs!$F$49*F12+(1-Inputs!$F$49)*F11)</f>
        <v>87724.75932</v>
      </c>
      <c r="G47" s="16" t="n">
        <f aca="false">G6*Inputs!$F$46/100*(Inputs!$F$49*G12+(1-Inputs!$F$49)*G11)</f>
        <v>89479.2545064</v>
      </c>
      <c r="H47" s="16" t="n">
        <f aca="false">H6*Inputs!$F$46/100*(Inputs!$F$49*H12+(1-Inputs!$F$49)*H11)</f>
        <v>91268.839596528</v>
      </c>
    </row>
    <row r="48" customFormat="false" ht="15" hidden="false" customHeight="false" outlineLevel="0" collapsed="false">
      <c r="A48" s="0" t="s">
        <v>509</v>
      </c>
      <c r="C48" s="0" t="n">
        <v>0</v>
      </c>
      <c r="D48" s="16" t="n">
        <f aca="false">D6*Inputs!$F$50</f>
        <v>27555</v>
      </c>
      <c r="E48" s="16" t="n">
        <f aca="false">E6*Inputs!$F$50</f>
        <v>27555</v>
      </c>
      <c r="F48" s="16" t="n">
        <f aca="false">F6*Inputs!$F$50</f>
        <v>27555</v>
      </c>
      <c r="G48" s="16" t="n">
        <f aca="false">G6*Inputs!$F$50</f>
        <v>27555</v>
      </c>
      <c r="H48" s="16" t="n">
        <f aca="false">H6*Inputs!$F$50</f>
        <v>27555</v>
      </c>
    </row>
    <row r="49" customFormat="false" ht="15" hidden="false" customHeight="false" outlineLevel="0" collapsed="false">
      <c r="A49" s="0" t="s">
        <v>510</v>
      </c>
      <c r="C49" s="0" t="n">
        <v>0</v>
      </c>
      <c r="D49" s="16" t="n">
        <f aca="false">Inputs!$F$51</f>
        <v>30000</v>
      </c>
      <c r="E49" s="16" t="n">
        <f aca="false">Inputs!$F$51</f>
        <v>30000</v>
      </c>
      <c r="F49" s="16" t="n">
        <f aca="false">Inputs!$F$51</f>
        <v>30000</v>
      </c>
      <c r="G49" s="16" t="n">
        <f aca="false">Inputs!$F$51</f>
        <v>30000</v>
      </c>
      <c r="H49" s="16" t="n">
        <f aca="false">Inputs!$F$51</f>
        <v>30000</v>
      </c>
    </row>
    <row r="50" customFormat="false" ht="15" hidden="false" customHeight="false" outlineLevel="0" collapsed="false">
      <c r="A50" s="0" t="s">
        <v>525</v>
      </c>
      <c r="C50" s="0" t="n">
        <v>0</v>
      </c>
      <c r="D50" s="16" t="n">
        <f aca="false">Inputs!$F$53*Inputs!$F$10*Inputs!$F$14</f>
        <v>24750</v>
      </c>
      <c r="E50" s="16" t="n">
        <f aca="false">Inputs!$F$53*Inputs!$F$10*Inputs!$F$14</f>
        <v>24750</v>
      </c>
      <c r="F50" s="16" t="n">
        <f aca="false">Inputs!$F$53*Inputs!$F$10*Inputs!$F$14</f>
        <v>24750</v>
      </c>
      <c r="G50" s="16" t="n">
        <f aca="false">Inputs!$F$53*Inputs!$F$10*Inputs!$F$14</f>
        <v>24750</v>
      </c>
      <c r="H50" s="16" t="n">
        <f aca="false">Inputs!$F$53*Inputs!$F$10*Inputs!$F$14</f>
        <v>24750</v>
      </c>
    </row>
    <row r="51" customFormat="false" ht="15" hidden="false" customHeight="false" outlineLevel="0" collapsed="false">
      <c r="A51" s="0" t="s">
        <v>513</v>
      </c>
      <c r="C51" s="0" t="n">
        <v>0</v>
      </c>
      <c r="D51" s="0" t="n">
        <v>0</v>
      </c>
      <c r="E51" s="0" t="n">
        <v>0</v>
      </c>
      <c r="F51" s="0" t="n">
        <v>0</v>
      </c>
      <c r="G51" s="0" t="n">
        <v>0</v>
      </c>
      <c r="H51" s="16" t="n">
        <f aca="false">-Inputs!$F$52</f>
        <v>-420000</v>
      </c>
    </row>
    <row r="52" customFormat="false" ht="15" hidden="false" customHeight="false" outlineLevel="0" collapsed="false">
      <c r="A52" s="4" t="s">
        <v>514</v>
      </c>
      <c r="C52" s="17" t="n">
        <f aca="false">SUM(C46:C51)</f>
        <v>730000</v>
      </c>
      <c r="D52" s="17" t="n">
        <f aca="false">SUM(D46:D51)</f>
        <v>166623.3</v>
      </c>
      <c r="E52" s="17" t="n">
        <f aca="false">SUM(E46:E51)</f>
        <v>168309.666</v>
      </c>
      <c r="F52" s="17" t="n">
        <f aca="false">SUM(F46:F51)</f>
        <v>170029.75932</v>
      </c>
      <c r="G52" s="17" t="n">
        <f aca="false">SUM(G46:G51)</f>
        <v>171784.2545064</v>
      </c>
      <c r="H52" s="17" t="n">
        <f aca="false">SUM(H46:H51)</f>
        <v>-246426.160403472</v>
      </c>
    </row>
    <row r="53" customFormat="false" ht="15" hidden="false" customHeight="false" outlineLevel="0" collapsed="false">
      <c r="A53" s="0" t="s">
        <v>515</v>
      </c>
      <c r="C53" s="16" t="n">
        <f aca="false">C52*C$5</f>
        <v>730000</v>
      </c>
      <c r="D53" s="16" t="n">
        <f aca="false">D52*D$5</f>
        <v>148770.803571429</v>
      </c>
      <c r="E53" s="16" t="n">
        <f aca="false">E52*E$5</f>
        <v>134175.435267857</v>
      </c>
      <c r="F53" s="16" t="n">
        <f aca="false">F52*F$5</f>
        <v>121023.824224444</v>
      </c>
      <c r="G53" s="16" t="n">
        <f aca="false">G52*G$5</f>
        <v>109171.999324114</v>
      </c>
      <c r="H53" s="16" t="n">
        <f aca="false">H52*H$5</f>
        <v>-139828.821364549</v>
      </c>
    </row>
    <row r="54" customFormat="false" ht="15" hidden="false" customHeight="false" outlineLevel="0" collapsed="false">
      <c r="A54" s="29" t="s">
        <v>516</v>
      </c>
      <c r="C54" s="30" t="n">
        <f aca="false">SUM(C53:H53)</f>
        <v>1103313.24102329</v>
      </c>
    </row>
    <row r="57" customFormat="false" ht="15" hidden="false" customHeight="false" outlineLevel="0" collapsed="false">
      <c r="A57" s="31" t="s">
        <v>526</v>
      </c>
      <c r="B57" s="32"/>
      <c r="C57" s="32"/>
      <c r="D57" s="32"/>
      <c r="E57" s="32"/>
      <c r="F57" s="32"/>
      <c r="G57" s="32"/>
      <c r="H57" s="32"/>
    </row>
    <row r="58" customFormat="false" ht="15" hidden="false" customHeight="false" outlineLevel="0" collapsed="false">
      <c r="A58" s="0" t="s">
        <v>527</v>
      </c>
      <c r="C58" s="16" t="n">
        <f aca="false">SUMPRODUCT(D6:H6,D5:H5)</f>
        <v>198659.216511233</v>
      </c>
    </row>
    <row r="59" customFormat="false" ht="15" hidden="false" customHeight="false" outlineLevel="0" collapsed="false">
      <c r="A59" s="0" t="s">
        <v>528</v>
      </c>
      <c r="C59" s="16" t="n">
        <f aca="false">C27</f>
        <v>1042535.27755608</v>
      </c>
    </row>
    <row r="60" customFormat="false" ht="15" hidden="false" customHeight="false" outlineLevel="0" collapsed="false">
      <c r="A60" s="0" t="s">
        <v>529</v>
      </c>
      <c r="C60" s="16" t="n">
        <f aca="false">C41</f>
        <v>2726789.17884056</v>
      </c>
    </row>
    <row r="61" customFormat="false" ht="15" hidden="false" customHeight="false" outlineLevel="0" collapsed="false">
      <c r="A61" s="0" t="s">
        <v>530</v>
      </c>
      <c r="C61" s="16" t="n">
        <f aca="false">C54</f>
        <v>1103313.24102329</v>
      </c>
    </row>
    <row r="62" customFormat="false" ht="15" hidden="false" customHeight="false" outlineLevel="0" collapsed="false">
      <c r="A62" s="0" t="s">
        <v>531</v>
      </c>
      <c r="C62" s="22" t="n">
        <f aca="false">TCO!$C$59/TCO!$C$58</f>
        <v>5.24785759183303</v>
      </c>
    </row>
    <row r="63" customFormat="false" ht="15" hidden="false" customHeight="false" outlineLevel="0" collapsed="false">
      <c r="A63" s="0" t="s">
        <v>532</v>
      </c>
      <c r="C63" s="22" t="n">
        <f aca="false">TCO!$C$60/TCO!$C$58</f>
        <v>13.7259636211561</v>
      </c>
    </row>
    <row r="64" customFormat="false" ht="15" hidden="false" customHeight="false" outlineLevel="0" collapsed="false">
      <c r="A64" s="0" t="s">
        <v>533</v>
      </c>
      <c r="C64" s="22" t="n">
        <f aca="false">TCO!$C$61/TCO!$C$58</f>
        <v>5.55379841116462</v>
      </c>
    </row>
    <row r="65" customFormat="false" ht="15" hidden="false" customHeight="false" outlineLevel="0" collapsed="false">
      <c r="A65" s="0" t="s">
        <v>534</v>
      </c>
      <c r="C65" s="16" t="n">
        <f aca="false">TCO!$C$60-TCO!$C$59</f>
        <v>1684253.90128448</v>
      </c>
    </row>
    <row r="66" customFormat="false" ht="15" hidden="false" customHeight="false" outlineLevel="0" collapsed="false">
      <c r="A66" s="0" t="s">
        <v>535</v>
      </c>
      <c r="C66" s="16" t="n">
        <f aca="false">TCO!$C$60-TCO!$C$61</f>
        <v>1623475.93781726</v>
      </c>
    </row>
    <row r="67" customFormat="false" ht="15" hidden="false" customHeight="false" outlineLevel="0" collapsed="false">
      <c r="A67" s="0" t="s">
        <v>536</v>
      </c>
      <c r="C67" s="16" t="n">
        <f aca="false">TCO!$C$61-TCO!$C$59</f>
        <v>60777.9634672176</v>
      </c>
    </row>
    <row r="68" customFormat="false" ht="15" hidden="false" customHeight="false" outlineLevel="0" collapsed="false">
      <c r="A68" s="0" t="s">
        <v>537</v>
      </c>
      <c r="C68" s="22" t="n">
        <f aca="false">D8/Inputs!$F$19</f>
        <v>3.48</v>
      </c>
    </row>
    <row r="69" customFormat="false" ht="15" hidden="false" customHeight="false" outlineLevel="0" collapsed="false">
      <c r="A69" s="0" t="s">
        <v>538</v>
      </c>
      <c r="C69" s="22" t="n">
        <f aca="false">Inputs!$F$33/100*D9</f>
        <v>14.8</v>
      </c>
    </row>
    <row r="70" customFormat="false" ht="15" hidden="false" customHeight="false" outlineLevel="0" collapsed="false">
      <c r="A70" s="0" t="s">
        <v>539</v>
      </c>
      <c r="C70" s="22" t="n">
        <f aca="false">D7/Inputs!$F$21</f>
        <v>6.8</v>
      </c>
    </row>
    <row r="71" customFormat="false" ht="15" hidden="false" customHeight="false" outlineLevel="0" collapsed="false">
      <c r="A71" s="0" t="s">
        <v>540</v>
      </c>
      <c r="C71" s="22" t="n">
        <f aca="false">Inputs!$F$46/100*(Inputs!$F$49*D12+(1-Inputs!$F$49)*D11)</f>
        <v>1.53</v>
      </c>
    </row>
    <row r="72" customFormat="false" ht="15" hidden="false" customHeight="false" outlineLevel="0" collapsed="false">
      <c r="A72" s="0" t="s">
        <v>541</v>
      </c>
      <c r="C72" s="22" t="n">
        <f aca="false">Inputs!$F$34*TCO!$C$69+(1-Inputs!$F$34)*TCO!$C$70</f>
        <v>12</v>
      </c>
    </row>
    <row r="73" customFormat="false" ht="15" hidden="false" customHeight="false" outlineLevel="0" collapsed="false">
      <c r="A73" s="0" t="s">
        <v>542</v>
      </c>
      <c r="C73" s="22" t="n">
        <f aca="false">(1-Inputs!$F$22)*TCO!$C$68+Inputs!$F$22*TCO!$C$70</f>
        <v>3.646</v>
      </c>
    </row>
    <row r="74" customFormat="false" ht="15" hidden="false" customHeight="false" outlineLevel="0" collapsed="false">
      <c r="A74" s="0" t="s">
        <v>543</v>
      </c>
      <c r="C74" s="22" t="n">
        <f aca="false">(D20+D21+D22+D23)/D6</f>
        <v>1.68781830278836</v>
      </c>
    </row>
    <row r="75" customFormat="false" ht="15" hidden="false" customHeight="false" outlineLevel="0" collapsed="false">
      <c r="A75" s="0" t="s">
        <v>544</v>
      </c>
      <c r="C75" s="22" t="n">
        <f aca="false">(D34+D35+D36+D37)/D6</f>
        <v>1.81291961531482</v>
      </c>
    </row>
    <row r="76" customFormat="false" ht="15" hidden="false" customHeight="false" outlineLevel="0" collapsed="false">
      <c r="A76" s="0" t="s">
        <v>545</v>
      </c>
      <c r="C76" s="22" t="n">
        <f aca="false">(D48+D49+D50)/D6</f>
        <v>1.49346761023408</v>
      </c>
    </row>
    <row r="77" customFormat="false" ht="15" hidden="false" customHeight="false" outlineLevel="0" collapsed="false">
      <c r="A77" s="0" t="s">
        <v>546</v>
      </c>
      <c r="C77" s="16" t="n">
        <f aca="false">SUMPRODUCT(D13:H13,D10:H10,D5:H5)</f>
        <v>2002.97417607221</v>
      </c>
    </row>
    <row r="78" customFormat="false" ht="15" hidden="false" customHeight="false" outlineLevel="0" collapsed="false">
      <c r="A78" s="0" t="s">
        <v>547</v>
      </c>
      <c r="C78" s="16" t="n">
        <f aca="false">SUMPRODUCT(D13:H13,D5:H5)</f>
        <v>2388.87707854758</v>
      </c>
    </row>
    <row r="79" customFormat="false" ht="15" hidden="false" customHeight="false" outlineLevel="0" collapsed="false">
      <c r="A79" s="0" t="s">
        <v>548</v>
      </c>
      <c r="C79" s="28" t="n">
        <f aca="false">(TCO!$C$59-C42)/TCO!$C$77</f>
        <v>-40.8764932692549</v>
      </c>
    </row>
    <row r="80" customFormat="false" ht="15" hidden="false" customHeight="false" outlineLevel="0" collapsed="false">
      <c r="A80" s="0" t="s">
        <v>549</v>
      </c>
      <c r="C80" s="28" t="n">
        <f aca="false">(TCO!$C$59-C42)/TCO!$C$78</f>
        <v>-34.2732412487655</v>
      </c>
    </row>
    <row r="81" customFormat="false" ht="15" hidden="false" customHeight="false" outlineLevel="0" collapsed="false">
      <c r="A81" s="0" t="s">
        <v>550</v>
      </c>
      <c r="C81" s="28" t="n">
        <f aca="false">(TCO!$C$61-C42)/TCO!$C$77</f>
        <v>-10.5326355234692</v>
      </c>
    </row>
    <row r="82" customFormat="false" ht="15" hidden="false" customHeight="false" outlineLevel="0" collapsed="false">
      <c r="A82" s="0" t="s">
        <v>551</v>
      </c>
      <c r="C82" s="28" t="n">
        <f aca="false">TCO!$C$68/(Inputs!$F$33/100)</f>
        <v>188.108108108108</v>
      </c>
    </row>
    <row r="83" customFormat="false" ht="15" hidden="false" customHeight="false" outlineLevel="0" collapsed="false">
      <c r="A83" s="0" t="s">
        <v>552</v>
      </c>
      <c r="C83" s="28" t="n">
        <f aca="false">TCO!$C$70/(Inputs!$F$33/100)</f>
        <v>367.567567567568</v>
      </c>
    </row>
    <row r="84" customFormat="false" ht="15" hidden="false" customHeight="false" outlineLevel="0" collapsed="false">
      <c r="A84" s="0" t="s">
        <v>553</v>
      </c>
      <c r="C84" s="16" t="n">
        <f aca="false">MAX(0,Inputs!$F$28+(TCO!$C$59-TCO!$C$60))</f>
        <v>0</v>
      </c>
    </row>
    <row r="85" customFormat="false" ht="15" hidden="false" customHeight="false" outlineLevel="0" collapsed="false">
      <c r="A85" s="0" t="s">
        <v>554</v>
      </c>
      <c r="C85" s="16" t="n">
        <f aca="false">MAX(0,Inputs!$F$28+(TCO!$C$61-TCO!$C$60))</f>
        <v>0</v>
      </c>
    </row>
    <row r="86" customFormat="false" ht="15" hidden="false" customHeight="false" outlineLevel="0" collapsed="false">
      <c r="A86" s="0" t="s">
        <v>555</v>
      </c>
      <c r="C86" s="16" t="n">
        <f aca="false">D25-D39</f>
        <v>-467283.273333334</v>
      </c>
    </row>
    <row r="87" customFormat="false" ht="15" hidden="false" customHeight="false" outlineLevel="0" collapsed="false">
      <c r="A87" s="0" t="s">
        <v>556</v>
      </c>
      <c r="C87" s="27" t="str">
        <f aca="false">IF(TCO!$C$86&gt;0,C31/TCO!$C$86,"none")</f>
        <v>none</v>
      </c>
    </row>
    <row r="88" customFormat="false" ht="15" hidden="false" customHeight="false" outlineLevel="0" collapsed="false">
      <c r="A88" s="0" t="s">
        <v>557</v>
      </c>
      <c r="C88" s="26" t="n">
        <f aca="false">SUM(D5:H5)</f>
        <v>3.604776202345</v>
      </c>
    </row>
    <row r="89" customFormat="false" ht="15" hidden="false" customHeight="false" outlineLevel="0" collapsed="false">
      <c r="A89" s="0" t="s">
        <v>558</v>
      </c>
      <c r="C89" s="16" t="str">
        <f aca="false">IF((TCO!$C$73+TCO!$C$74-TCO!$C$72-TCO!$C$75)&gt;0,(C31/TCO!$C$88)/(TCO!$C$73+TCO!$C$74-TCO!$C$72-TCO!$C$75),"n/a")</f>
        <v>n/a</v>
      </c>
    </row>
    <row r="90" customFormat="false" ht="15" hidden="false" customHeight="false" outlineLevel="0" collapsed="false">
      <c r="A90" s="0" t="s">
        <v>559</v>
      </c>
      <c r="C90" s="16" t="n">
        <f aca="false">C31-C17+SUMPRODUCT(D35:H35,D5:H5)+SUMPRODUCT(D36:H36,D5:H5)+SUMPRODUCT(D37:H37,D5:H5)-SUMPRODUCT(D21:H21,D5:H5)-SUMPRODUCT(D22:H22,D5:H5)-SUMPRODUCT(D23:H23,D5:H5)+(H38-H24)*H5</f>
        <v>327284.355637097</v>
      </c>
    </row>
    <row r="91" customFormat="false" ht="15" hidden="false" customHeight="false" outlineLevel="0" collapsed="false">
      <c r="A91" s="0" t="s">
        <v>560</v>
      </c>
      <c r="C91" s="26" t="n">
        <f aca="false">SUMPRODUCT(D7:H7,D5:H5)*(1-Inputs!$F$34)/Inputs!$F$21+Inputs!$F$37*SUM(D5:H5)-SUMPRODUCT(D8:H8,D5:H5)*(1-Inputs!$F$22)/Inputs!$F$19-SUMPRODUCT(D7:H7,D5:H5)*Inputs!$F$22/Inputs!$F$21-Inputs!$F$23*SUM(D5:H5)</f>
        <v>-4.45309009635981</v>
      </c>
    </row>
    <row r="92" customFormat="false" ht="15" hidden="false" customHeight="false" outlineLevel="0" collapsed="false">
      <c r="A92" s="0" t="s">
        <v>561</v>
      </c>
      <c r="C92" s="33" t="n">
        <f aca="false">Inputs!$F$34*Inputs!$F$33/100*SUMPRODUCT(D10:H10,D5:H5)</f>
        <v>0.0363450222477266</v>
      </c>
    </row>
    <row r="93" customFormat="false" ht="15" hidden="false" customHeight="false" outlineLevel="0" collapsed="false">
      <c r="A93" s="0" t="s">
        <v>562</v>
      </c>
      <c r="C93" s="22" t="n">
        <f aca="false">TCO!$C$90+TCO!$C$91*D6+TCO!$C$92*D6*Inputs!$F$35-TCO!$C$65</f>
        <v>0</v>
      </c>
    </row>
    <row r="94" customFormat="false" ht="15" hidden="false" customHeight="false" outlineLevel="0" collapsed="false">
      <c r="A94" s="0" t="s">
        <v>563</v>
      </c>
      <c r="C94" s="16" t="n">
        <f aca="false">C31-C46+SUMPRODUCT(D35:H35,D5:H5)+SUMPRODUCT(D36:H36,D5:H5)+SUMPRODUCT(D37:H37,D5:H5)-SUMPRODUCT(D49:H49,D5:H5)-SUMPRODUCT(D50:H50,D5:H5)+(H38-H51)*H5</f>
        <v>-261993.180826195</v>
      </c>
    </row>
    <row r="95" customFormat="false" ht="15" hidden="false" customHeight="false" outlineLevel="0" collapsed="false">
      <c r="A95" s="0" t="s">
        <v>564</v>
      </c>
      <c r="C95" s="26" t="n">
        <f aca="false">SUMPRODUCT(D7:H7,D5:H5)*(1-Inputs!$F$34)/Inputs!$F$21+Inputs!$F$37*SUM(D5:H5)-Inputs!$F$46/100*(Inputs!$F$49*SUMPRODUCT(D12:H12,D5:H5)+(1-Inputs!$F$49)*SUMPRODUCT(D11:H11,D5:H5))-Inputs!$F$50*SUM(D5:H5)</f>
        <v>5.13681324234594</v>
      </c>
    </row>
    <row r="96" customFormat="false" ht="15" hidden="false" customHeight="false" outlineLevel="0" collapsed="false">
      <c r="A96" s="0" t="s">
        <v>565</v>
      </c>
      <c r="C96" s="22" t="n">
        <f aca="false">TCO!$C$94+TCO!$C$95*D6+TCO!$C$92*D6*Inputs!$F$35-TCO!$C$66</f>
        <v>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6"/>
    <col collapsed="false" customWidth="true" hidden="false" outlineLevel="0" max="3" min="2" style="0" width="16"/>
    <col collapsed="false" customWidth="true" hidden="false" outlineLevel="0" max="4" min="4" style="0" width="14"/>
    <col collapsed="false" customWidth="true" hidden="false" outlineLevel="0" max="5" min="5" style="0" width="80"/>
  </cols>
  <sheetData>
    <row r="1" customFormat="false" ht="17.35" hidden="false" customHeight="false" outlineLevel="0" collapsed="false">
      <c r="A1" s="1" t="s">
        <v>566</v>
      </c>
    </row>
    <row r="2" customFormat="false" ht="15" hidden="false" customHeight="false" outlineLevel="0" collapsed="false">
      <c r="A2" s="2" t="s">
        <v>567</v>
      </c>
    </row>
    <row r="4" customFormat="false" ht="15" hidden="false" customHeight="false" outlineLevel="0" collapsed="false">
      <c r="A4" s="6" t="s">
        <v>441</v>
      </c>
      <c r="B4" s="6" t="s">
        <v>568</v>
      </c>
      <c r="C4" s="6" t="s">
        <v>569</v>
      </c>
      <c r="D4" s="6" t="s">
        <v>22</v>
      </c>
      <c r="E4" s="6" t="s">
        <v>570</v>
      </c>
    </row>
    <row r="5" customFormat="false" ht="15" hidden="false" customHeight="false" outlineLevel="0" collapsed="false">
      <c r="A5" s="3" t="s">
        <v>571</v>
      </c>
      <c r="B5" s="23" t="n">
        <f aca="false">Inputs!$F$73</f>
        <v>30</v>
      </c>
      <c r="C5" s="23" t="n">
        <f aca="false">B27</f>
        <v>37.3473427365643</v>
      </c>
      <c r="D5" s="11" t="s">
        <v>253</v>
      </c>
      <c r="E5" s="3" t="s">
        <v>572</v>
      </c>
    </row>
    <row r="6" customFormat="false" ht="15" hidden="false" customHeight="false" outlineLevel="0" collapsed="false">
      <c r="A6" s="3" t="s">
        <v>573</v>
      </c>
      <c r="B6" s="23" t="n">
        <f aca="false">Energy_Range!$B$24</f>
        <v>2.008175</v>
      </c>
      <c r="C6" s="23" t="n">
        <f aca="false">Energy_Range!$B$24</f>
        <v>2.008175</v>
      </c>
      <c r="D6" s="11" t="s">
        <v>574</v>
      </c>
      <c r="E6" s="3" t="s">
        <v>575</v>
      </c>
    </row>
    <row r="7" customFormat="false" ht="15" hidden="false" customHeight="false" outlineLevel="0" collapsed="false">
      <c r="A7" s="3" t="s">
        <v>576</v>
      </c>
      <c r="B7" s="23" t="n">
        <f aca="false">B5*B6</f>
        <v>60.24525</v>
      </c>
      <c r="C7" s="23" t="n">
        <f aca="false">C5*C6</f>
        <v>75</v>
      </c>
      <c r="D7" s="11" t="s">
        <v>274</v>
      </c>
      <c r="E7" s="3"/>
    </row>
    <row r="8" customFormat="false" ht="15" hidden="false" customHeight="false" outlineLevel="0" collapsed="false">
      <c r="A8" s="3" t="s">
        <v>577</v>
      </c>
      <c r="B8" s="23" t="n">
        <f aca="false">Inputs!$F$78</f>
        <v>150</v>
      </c>
      <c r="C8" s="23" t="n">
        <f aca="false">Inputs!$F$81</f>
        <v>500</v>
      </c>
      <c r="D8" s="11" t="s">
        <v>274</v>
      </c>
      <c r="E8" s="3"/>
    </row>
    <row r="9" customFormat="false" ht="15" hidden="false" customHeight="false" outlineLevel="0" collapsed="false">
      <c r="A9" s="3" t="s">
        <v>578</v>
      </c>
      <c r="B9" s="21" t="n">
        <f aca="false">Inputs!$F$79</f>
        <v>0.5</v>
      </c>
      <c r="C9" s="21" t="n">
        <f aca="false">Inputs!$F$82</f>
        <v>0.7</v>
      </c>
      <c r="D9" s="11" t="s">
        <v>38</v>
      </c>
      <c r="E9" s="3" t="s">
        <v>579</v>
      </c>
    </row>
    <row r="10" customFormat="false" ht="15" hidden="false" customHeight="false" outlineLevel="0" collapsed="false">
      <c r="A10" s="3" t="s">
        <v>580</v>
      </c>
      <c r="B10" s="16" t="n">
        <f aca="false">B8*365*B9</f>
        <v>27375</v>
      </c>
      <c r="C10" s="16" t="n">
        <f aca="false">C8*365*C9</f>
        <v>127750</v>
      </c>
      <c r="D10" s="11" t="s">
        <v>581</v>
      </c>
      <c r="E10" s="3"/>
    </row>
    <row r="11" customFormat="false" ht="15" hidden="false" customHeight="false" outlineLevel="0" collapsed="false">
      <c r="A11" s="3" t="s">
        <v>582</v>
      </c>
      <c r="B11" s="16" t="n">
        <f aca="false">B5*Inputs!$F$63</f>
        <v>60</v>
      </c>
      <c r="C11" s="16" t="n">
        <f aca="false">C5*Inputs!$F$63</f>
        <v>74.6946854731286</v>
      </c>
      <c r="D11" s="11" t="s">
        <v>223</v>
      </c>
      <c r="E11" s="3"/>
    </row>
    <row r="12" customFormat="false" ht="15" hidden="false" customHeight="false" outlineLevel="0" collapsed="false">
      <c r="A12" s="3" t="s">
        <v>583</v>
      </c>
      <c r="B12" s="34" t="n">
        <v>3</v>
      </c>
      <c r="C12" s="34" t="n">
        <v>3</v>
      </c>
      <c r="D12" s="11" t="s">
        <v>584</v>
      </c>
      <c r="E12" s="3" t="s">
        <v>585</v>
      </c>
    </row>
    <row r="13" customFormat="false" ht="15" hidden="false" customHeight="false" outlineLevel="0" collapsed="false">
      <c r="A13" s="3" t="s">
        <v>586</v>
      </c>
      <c r="B13" s="18" t="n">
        <v>0.5</v>
      </c>
      <c r="C13" s="18" t="n">
        <v>0.4</v>
      </c>
      <c r="D13" s="11" t="s">
        <v>38</v>
      </c>
      <c r="E13" s="3" t="s">
        <v>587</v>
      </c>
    </row>
    <row r="14" customFormat="false" ht="15" hidden="false" customHeight="false" outlineLevel="0" collapsed="false">
      <c r="A14" s="3" t="s">
        <v>588</v>
      </c>
      <c r="B14" s="27" t="n">
        <f aca="false">B11*B13/B12</f>
        <v>10</v>
      </c>
      <c r="C14" s="27" t="n">
        <f aca="false">C11*C13/C12</f>
        <v>9.95929139641715</v>
      </c>
      <c r="D14" s="11" t="s">
        <v>589</v>
      </c>
      <c r="E14" s="3"/>
    </row>
    <row r="15" customFormat="false" ht="15" hidden="false" customHeight="false" outlineLevel="0" collapsed="false">
      <c r="A15" s="3" t="s">
        <v>590</v>
      </c>
      <c r="B15" s="28" t="n">
        <f aca="false">ROUNDUP(B14/6,0)</f>
        <v>2</v>
      </c>
      <c r="C15" s="28" t="n">
        <f aca="false">ROUNDUP(C14/6,0)</f>
        <v>2</v>
      </c>
      <c r="D15" s="11" t="s">
        <v>591</v>
      </c>
      <c r="E15" s="3" t="s">
        <v>592</v>
      </c>
    </row>
    <row r="16" customFormat="false" ht="15" hidden="false" customHeight="false" outlineLevel="0" collapsed="false">
      <c r="A16" s="3" t="s">
        <v>593</v>
      </c>
      <c r="B16" s="23" t="n">
        <f aca="false">B8/16</f>
        <v>9.375</v>
      </c>
      <c r="C16" s="23" t="n">
        <f aca="false">C8/16</f>
        <v>31.25</v>
      </c>
      <c r="D16" s="11" t="s">
        <v>594</v>
      </c>
      <c r="E16" s="3" t="s">
        <v>595</v>
      </c>
    </row>
    <row r="17" customFormat="false" ht="15" hidden="false" customHeight="false" outlineLevel="0" collapsed="false">
      <c r="A17" s="3" t="s">
        <v>596</v>
      </c>
      <c r="B17" s="23" t="n">
        <f aca="false">1.5*B7</f>
        <v>90.367875</v>
      </c>
      <c r="C17" s="23" t="n">
        <f aca="false">1.5*C7</f>
        <v>112.5</v>
      </c>
      <c r="D17" s="11" t="s">
        <v>226</v>
      </c>
      <c r="E17" s="3" t="s">
        <v>597</v>
      </c>
    </row>
    <row r="18" customFormat="false" ht="15" hidden="false" customHeight="false" outlineLevel="0" collapsed="false">
      <c r="A18" s="3" t="s">
        <v>598</v>
      </c>
      <c r="B18" s="27" t="n">
        <f aca="false">B7*7/Inputs!$F$89</f>
        <v>1.4057225</v>
      </c>
      <c r="C18" s="27" t="n">
        <f aca="false">C7*7/Inputs!$F$89</f>
        <v>1.75</v>
      </c>
      <c r="D18" s="11" t="s">
        <v>599</v>
      </c>
      <c r="E18" s="3"/>
    </row>
    <row r="19" customFormat="false" ht="15" hidden="false" customHeight="false" outlineLevel="0" collapsed="false">
      <c r="A19" s="3" t="s">
        <v>600</v>
      </c>
      <c r="B19" s="28" t="n">
        <f aca="false">Inputs!$F$74</f>
        <v>400</v>
      </c>
      <c r="C19" s="28" t="n">
        <f aca="false">Inputs!$F$75</f>
        <v>240</v>
      </c>
      <c r="D19" s="11" t="s">
        <v>71</v>
      </c>
      <c r="E19" s="3"/>
    </row>
    <row r="20" customFormat="false" ht="15" hidden="false" customHeight="false" outlineLevel="0" collapsed="false">
      <c r="A20" s="3" t="s">
        <v>601</v>
      </c>
      <c r="B20" s="28" t="n">
        <f aca="false">Inputs!$F$76</f>
        <v>45</v>
      </c>
      <c r="C20" s="28" t="n">
        <f aca="false">Inputs!$F$76</f>
        <v>45</v>
      </c>
      <c r="D20" s="11" t="s">
        <v>71</v>
      </c>
      <c r="E20" s="3"/>
    </row>
    <row r="21" customFormat="false" ht="15" hidden="false" customHeight="false" outlineLevel="0" collapsed="false">
      <c r="A21" s="3" t="s">
        <v>292</v>
      </c>
      <c r="B21" s="28" t="n">
        <f aca="false">Inputs!$F$85*Inputs!$F$86</f>
        <v>27</v>
      </c>
      <c r="C21" s="28" t="n">
        <f aca="false">Inputs!$F$85*Inputs!$F$86</f>
        <v>27</v>
      </c>
      <c r="D21" s="11" t="s">
        <v>71</v>
      </c>
      <c r="E21" s="3"/>
    </row>
    <row r="22" customFormat="false" ht="15" hidden="false" customHeight="false" outlineLevel="0" collapsed="false">
      <c r="A22" s="3" t="s">
        <v>602</v>
      </c>
      <c r="B22" s="16" t="n">
        <f aca="false">Inputs!$F$77</f>
        <v>100000000</v>
      </c>
      <c r="C22" s="16" t="n">
        <f aca="false">Inputs!$F$80</f>
        <v>120000000</v>
      </c>
      <c r="D22" s="11" t="s">
        <v>64</v>
      </c>
      <c r="E22" s="3"/>
    </row>
    <row r="23" customFormat="false" ht="15" hidden="false" customHeight="false" outlineLevel="0" collapsed="false">
      <c r="A23" s="3" t="s">
        <v>603</v>
      </c>
      <c r="B23" s="26" t="n">
        <f aca="false">Inputs!$F$9*(1+Inputs!$F$9)^Inputs!$F$83/((1+Inputs!$F$9)^Inputs!$F$83-1)</f>
        <v>0.176984164159844</v>
      </c>
      <c r="C23" s="26" t="n">
        <f aca="false">Inputs!$F$9*(1+Inputs!$F$9)^Inputs!$F$83/((1+Inputs!$F$9)^Inputs!$F$83-1)</f>
        <v>0.176984164159844</v>
      </c>
      <c r="D23" s="11" t="s">
        <v>38</v>
      </c>
      <c r="E23" s="3"/>
    </row>
    <row r="24" customFormat="false" ht="15" hidden="false" customHeight="false" outlineLevel="0" collapsed="false">
      <c r="A24" s="3" t="s">
        <v>604</v>
      </c>
      <c r="B24" s="28" t="n">
        <f aca="false">B22*B23/B10</f>
        <v>646.517494647832</v>
      </c>
      <c r="C24" s="28" t="n">
        <f aca="false">C22*C23/C10</f>
        <v>166.247355766585</v>
      </c>
      <c r="D24" s="11" t="s">
        <v>71</v>
      </c>
      <c r="E24" s="3" t="s">
        <v>605</v>
      </c>
    </row>
    <row r="25" customFormat="false" ht="15" hidden="false" customHeight="false" outlineLevel="0" collapsed="false">
      <c r="A25" s="3" t="s">
        <v>606</v>
      </c>
      <c r="B25" s="28" t="n">
        <f aca="false">B22*Inputs!$F$84/B10</f>
        <v>146.118721461187</v>
      </c>
      <c r="C25" s="28" t="n">
        <f aca="false">C22*Inputs!$F$84/C10</f>
        <v>37.573385518591</v>
      </c>
      <c r="D25" s="11" t="s">
        <v>71</v>
      </c>
      <c r="E25" s="3"/>
    </row>
    <row r="26" customFormat="false" ht="15" hidden="false" customHeight="false" outlineLevel="0" collapsed="false">
      <c r="A26" s="24" t="s">
        <v>607</v>
      </c>
      <c r="B26" s="35" t="n">
        <f aca="false">(B19+B20+B21+B24+B25)*(1+Inputs!$F$87)*(1+Inputs!$F$88)</f>
        <v>1432.83283285152</v>
      </c>
      <c r="C26" s="35" t="n">
        <f aca="false">(C19+C20+C21+C24+C25)*(1+Inputs!$F$87)*(1+Inputs!$F$88)</f>
        <v>584.424899876105</v>
      </c>
      <c r="D26" s="11" t="s">
        <v>71</v>
      </c>
      <c r="E26" s="3" t="s">
        <v>608</v>
      </c>
    </row>
    <row r="27" customFormat="false" ht="15" hidden="false" customHeight="false" outlineLevel="0" collapsed="false">
      <c r="A27" s="3" t="s">
        <v>609</v>
      </c>
      <c r="B27" s="28" t="n">
        <f aca="false">B8*B9/B6</f>
        <v>37.3473427365643</v>
      </c>
      <c r="C27" s="28" t="n">
        <f aca="false">C8*C9/C6</f>
        <v>174.2875994373</v>
      </c>
      <c r="D27" s="11" t="s">
        <v>253</v>
      </c>
      <c r="E27" s="3"/>
    </row>
    <row r="28" customFormat="false" ht="15" hidden="false" customHeight="false" outlineLevel="0" collapsed="false">
      <c r="A28" s="3" t="s">
        <v>610</v>
      </c>
      <c r="B28" s="21" t="n">
        <f aca="false">B7/B8</f>
        <v>0.401635</v>
      </c>
      <c r="C28" s="21" t="n">
        <f aca="false">C7/C8</f>
        <v>0.15</v>
      </c>
      <c r="D28" s="11" t="s">
        <v>38</v>
      </c>
      <c r="E28" s="3"/>
    </row>
    <row r="31" customFormat="false" ht="15" hidden="false" customHeight="false" outlineLevel="0" collapsed="false">
      <c r="A31" s="4" t="s">
        <v>611</v>
      </c>
    </row>
    <row r="32" customFormat="false" ht="28.35" hidden="false" customHeight="false" outlineLevel="0" collapsed="false">
      <c r="A32" s="6" t="s">
        <v>612</v>
      </c>
      <c r="B32" s="6" t="s">
        <v>613</v>
      </c>
      <c r="C32" s="6" t="s">
        <v>614</v>
      </c>
    </row>
    <row r="33" customFormat="false" ht="15" hidden="false" customHeight="false" outlineLevel="0" collapsed="false">
      <c r="A33" s="21" t="n">
        <v>0.2</v>
      </c>
      <c r="B33" s="28" t="n">
        <f aca="false">($B$19+$B$20+$B$21+($B$22*$B$23+$B$22*Inputs!$F$84)/($B$8*365*A33))*(1+Inputs!$F$87)*(1+Inputs!$F$88)</f>
        <v>2779.9180821288</v>
      </c>
      <c r="C33" s="28" t="n">
        <f aca="false">($C$19+$C$20+$C$21+($C$22*$C$23+$C$22*Inputs!$F$84)/($C$8*365*A33))*(1+Inputs!$F$87)*(1+Inputs!$F$88)</f>
        <v>1161.74714956637</v>
      </c>
    </row>
    <row r="34" customFormat="false" ht="15" hidden="false" customHeight="false" outlineLevel="0" collapsed="false">
      <c r="A34" s="21" t="n">
        <v>0.35</v>
      </c>
      <c r="B34" s="28" t="n">
        <f aca="false">($B$19+$B$20+$B$21+($B$22*$B$23+$B$22*Inputs!$F$84)/($B$8*365*A34))*(1+Inputs!$F$87)*(1+Inputs!$F$88)</f>
        <v>1817.71433264503</v>
      </c>
      <c r="C34" s="28" t="n">
        <f aca="false">($C$19+$C$20+$C$21+($C$22*$C$23+$C$22*Inputs!$F$84)/($C$8*365*A34))*(1+Inputs!$F$87)*(1+Inputs!$F$88)</f>
        <v>815.35379975221</v>
      </c>
    </row>
    <row r="35" customFormat="false" ht="15" hidden="false" customHeight="false" outlineLevel="0" collapsed="false">
      <c r="A35" s="21" t="n">
        <v>0.5</v>
      </c>
      <c r="B35" s="28" t="n">
        <f aca="false">($B$19+$B$20+$B$21+($B$22*$B$23+$B$22*Inputs!$F$84)/($B$8*365*A35))*(1+Inputs!$F$87)*(1+Inputs!$F$88)</f>
        <v>1432.83283285152</v>
      </c>
      <c r="C35" s="28" t="n">
        <f aca="false">($C$19+$C$20+$C$21+($C$22*$C$23+$C$22*Inputs!$F$84)/($C$8*365*A35))*(1+Inputs!$F$87)*(1+Inputs!$F$88)</f>
        <v>676.796459826547</v>
      </c>
    </row>
    <row r="36" customFormat="false" ht="15" hidden="false" customHeight="false" outlineLevel="0" collapsed="false">
      <c r="A36" s="21" t="n">
        <v>0.65</v>
      </c>
      <c r="B36" s="28" t="n">
        <f aca="false">($B$19+$B$20+$B$21+($B$22*$B$23+$B$22*Inputs!$F$84)/($B$8*365*A36))*(1+Inputs!$F$87)*(1+Inputs!$F$88)</f>
        <v>1225.58894834732</v>
      </c>
      <c r="C36" s="28" t="n">
        <f aca="false">($C$19+$C$20+$C$21+($C$22*$C$23+$C$22*Inputs!$F$84)/($C$8*365*A36))*(1+Inputs!$F$87)*(1+Inputs!$F$88)</f>
        <v>602.188661405036</v>
      </c>
    </row>
    <row r="37" customFormat="false" ht="15" hidden="false" customHeight="false" outlineLevel="0" collapsed="false">
      <c r="A37" s="21" t="n">
        <v>0.8</v>
      </c>
      <c r="B37" s="28" t="n">
        <f aca="false">($B$19+$B$20+$B$21+($B$22*$B$23+$B$22*Inputs!$F$84)/($B$8*365*A37))*(1+Inputs!$F$87)*(1+Inputs!$F$88)</f>
        <v>1096.0615205322</v>
      </c>
      <c r="C37" s="28" t="n">
        <f aca="false">($C$19+$C$20+$C$21+($C$22*$C$23+$C$22*Inputs!$F$84)/($C$8*365*A37))*(1+Inputs!$F$87)*(1+Inputs!$F$88)</f>
        <v>555.558787391592</v>
      </c>
    </row>
    <row r="38" customFormat="false" ht="15" hidden="false" customHeight="false" outlineLevel="0" collapsed="false">
      <c r="A38" s="21" t="n">
        <v>0.95</v>
      </c>
      <c r="B38" s="28" t="n">
        <f aca="false">($B$19+$B$20+$B$21+($B$22*$B$23+$B$22*Inputs!$F$84)/($B$8*365*A38))*(1+Inputs!$F$87)*(1+Inputs!$F$88)</f>
        <v>1007.43749097448</v>
      </c>
      <c r="C38" s="28" t="n">
        <f aca="false">($C$19+$C$20+$C$21+($C$22*$C$23+$C$22*Inputs!$F$84)/($C$8*365*A38))*(1+Inputs!$F$87)*(1+Inputs!$F$88)</f>
        <v>523.654136750814</v>
      </c>
    </row>
    <row r="40" customFormat="false" ht="15" hidden="false" customHeight="false" outlineLevel="0" collapsed="false">
      <c r="A40" s="4" t="s">
        <v>615</v>
      </c>
    </row>
    <row r="41" customFormat="false" ht="41.75" hidden="false" customHeight="false" outlineLevel="0" collapsed="false">
      <c r="A41" s="6" t="s">
        <v>616</v>
      </c>
      <c r="B41" s="6" t="s">
        <v>617</v>
      </c>
      <c r="C41" s="6" t="s">
        <v>618</v>
      </c>
      <c r="D41" s="6" t="s">
        <v>619</v>
      </c>
    </row>
    <row r="42" customFormat="false" ht="15" hidden="false" customHeight="false" outlineLevel="0" collapsed="false">
      <c r="A42" s="0" t="s">
        <v>620</v>
      </c>
      <c r="B42" s="28" t="n">
        <f aca="false">TCO!$C$82</f>
        <v>188.108108108108</v>
      </c>
      <c r="C42" s="21" t="str">
        <f aca="false">IF(B42/((1+Inputs!$F$87)*(1+Inputs!$F$88))-($B$19+$B$20+$B$21)&lt;=0,"not reachable at any utilisation",MIN(9.99,($B$22*$B$23+$B$22*Inputs!$F$84)/($B$8*365)/(B42/((1+Inputs!$F$87)*(1+Inputs!$F$88))-($B$19+$B$20+$B$21))))</f>
        <v>not reachable at any utilisation</v>
      </c>
      <c r="D42" s="21" t="str">
        <f aca="false">IF(B42/((1+Inputs!$F$87)*(1+Inputs!$F$88))-($C$19+$C$20+$C$21)&lt;=0,"not reachable at any utilisation",MIN(9.99,($C$22*$C$23+$C$22*Inputs!$F$84)/($C$8*365)/(B42/((1+Inputs!$F$87)*(1+Inputs!$F$88))-($C$19+$C$20+$C$21))))</f>
        <v>not reachable at any utilisation</v>
      </c>
    </row>
    <row r="43" customFormat="false" ht="15" hidden="false" customHeight="false" outlineLevel="0" collapsed="false">
      <c r="A43" s="0" t="s">
        <v>621</v>
      </c>
      <c r="B43" s="28" t="n">
        <f aca="false">TCO!$C$79</f>
        <v>-40.8764932692549</v>
      </c>
      <c r="C43" s="21" t="str">
        <f aca="false">IF(B43/((1+Inputs!$F$87)*(1+Inputs!$F$88))-($B$19+$B$20+$B$21)&lt;=0,"not reachable at any utilisation",MIN(9.99,($B$22*$B$23+$B$22*Inputs!$F$84)/($B$8*365)/(B43/((1+Inputs!$F$87)*(1+Inputs!$F$88))-($B$19+$B$20+$B$21))))</f>
        <v>not reachable at any utilisation</v>
      </c>
      <c r="D43" s="21" t="str">
        <f aca="false">IF(B43/((1+Inputs!$F$87)*(1+Inputs!$F$88))-($C$19+$C$20+$C$21)&lt;=0,"not reachable at any utilisation",MIN(9.99,($C$22*$C$23+$C$22*Inputs!$F$84)/($C$8*365)/(B43/((1+Inputs!$F$87)*(1+Inputs!$F$88))-($C$19+$C$20+$C$21))))</f>
        <v>not reachable at any utilisation</v>
      </c>
    </row>
    <row r="44" customFormat="false" ht="15" hidden="false" customHeight="false" outlineLevel="0" collapsed="false">
      <c r="A44" s="0" t="s">
        <v>622</v>
      </c>
      <c r="B44" s="28" t="n">
        <f aca="false">TCO!$C$83</f>
        <v>367.567567567568</v>
      </c>
      <c r="C44" s="21" t="str">
        <f aca="false">IF(B44/((1+Inputs!$F$87)*(1+Inputs!$F$88))-($B$19+$B$20+$B$21)&lt;=0,"not reachable at any utilisation",MIN(9.99,($B$22*$B$23+$B$22*Inputs!$F$84)/($B$8*365)/(B44/((1+Inputs!$F$87)*(1+Inputs!$F$88))-($B$19+$B$20+$B$21))))</f>
        <v>not reachable at any utilisation</v>
      </c>
      <c r="D44" s="21" t="n">
        <f aca="false">IF(B44/((1+Inputs!$F$87)*(1+Inputs!$F$88))-($C$19+$C$20+$C$21)&lt;=0,"not reachable at any utilisation",MIN(9.99,($C$22*$C$23+$C$22*Inputs!$F$84)/($C$8*365)/(B44/((1+Inputs!$F$87)*(1+Inputs!$F$88))-($C$19+$C$20+$C$21))))</f>
        <v>9.99</v>
      </c>
    </row>
    <row r="45" customFormat="false" ht="15" hidden="false" customHeight="false" outlineLevel="0" collapsed="false">
      <c r="A45" s="0" t="s">
        <v>623</v>
      </c>
      <c r="B45" s="28" t="n">
        <f aca="false">TCO!$C$81</f>
        <v>-10.5326355234692</v>
      </c>
      <c r="C45" s="21" t="str">
        <f aca="false">IF(B45/((1+Inputs!$F$87)*(1+Inputs!$F$88))-($B$19+$B$20+$B$21)&lt;=0,"not reachable at any utilisation",MIN(9.99,($B$22*$B$23+$B$22*Inputs!$F$84)/($B$8*365)/(B45/((1+Inputs!$F$87)*(1+Inputs!$F$88))-($B$19+$B$20+$B$21))))</f>
        <v>not reachable at any utilisation</v>
      </c>
      <c r="D45" s="21" t="str">
        <f aca="false">IF(B45/((1+Inputs!$F$87)*(1+Inputs!$F$88))-($C$19+$C$20+$C$21)&lt;=0,"not reachable at any utilisation",MIN(9.99,($C$22*$C$23+$C$22*Inputs!$F$84)/($C$8*365)/(B45/((1+Inputs!$F$87)*(1+Inputs!$F$88))-($C$19+$C$20+$C$21))))</f>
        <v>not reachable at any utilisation</v>
      </c>
    </row>
    <row r="47" customFormat="false" ht="15" hidden="false" customHeight="false" outlineLevel="0" collapsed="false">
      <c r="A47" s="0" t="s">
        <v>624</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2" min="2" style="0" width="16"/>
    <col collapsed="false" customWidth="true" hidden="false" outlineLevel="0" max="3" min="3" style="0" width="14"/>
    <col collapsed="false" customWidth="true" hidden="false" outlineLevel="0" max="4" min="4" style="0" width="80"/>
  </cols>
  <sheetData>
    <row r="1" customFormat="false" ht="17.35" hidden="false" customHeight="false" outlineLevel="0" collapsed="false">
      <c r="A1" s="1" t="s">
        <v>625</v>
      </c>
    </row>
    <row r="2" customFormat="false" ht="15" hidden="false" customHeight="false" outlineLevel="0" collapsed="false">
      <c r="A2" s="2" t="s">
        <v>626</v>
      </c>
    </row>
    <row r="4" customFormat="false" ht="15" hidden="false" customHeight="false" outlineLevel="0" collapsed="false">
      <c r="A4" s="6" t="s">
        <v>627</v>
      </c>
      <c r="B4" s="6" t="s">
        <v>628</v>
      </c>
      <c r="C4" s="6" t="s">
        <v>629</v>
      </c>
      <c r="D4" s="6" t="s">
        <v>570</v>
      </c>
    </row>
    <row r="5" customFormat="false" ht="15" hidden="false" customHeight="false" outlineLevel="0" collapsed="false">
      <c r="A5" s="3" t="s">
        <v>630</v>
      </c>
      <c r="B5" s="16" t="n">
        <f aca="false">Inputs!$F$105</f>
        <v>8195000</v>
      </c>
      <c r="D5" s="3" t="s">
        <v>631</v>
      </c>
    </row>
    <row r="6" customFormat="false" ht="15" hidden="false" customHeight="false" outlineLevel="0" collapsed="false">
      <c r="A6" s="3" t="s">
        <v>632</v>
      </c>
      <c r="B6" s="16" t="n">
        <f aca="false">B5*Inputs!$F$106</f>
        <v>4507250</v>
      </c>
      <c r="C6" s="21" t="n">
        <f aca="false">Inputs!$F$106</f>
        <v>0.55</v>
      </c>
      <c r="D6" s="3" t="s">
        <v>633</v>
      </c>
    </row>
    <row r="7" customFormat="false" ht="15" hidden="false" customHeight="false" outlineLevel="0" collapsed="false">
      <c r="A7" s="3" t="s">
        <v>634</v>
      </c>
      <c r="B7" s="16" t="n">
        <f aca="false">B6*Inputs!$F$107</f>
        <v>2253625</v>
      </c>
      <c r="C7" s="21" t="n">
        <f aca="false">Inputs!$F$107</f>
        <v>0.5</v>
      </c>
      <c r="D7" s="3" t="s">
        <v>635</v>
      </c>
    </row>
    <row r="8" customFormat="false" ht="15" hidden="false" customHeight="false" outlineLevel="0" collapsed="false">
      <c r="A8" s="3" t="s">
        <v>636</v>
      </c>
      <c r="B8" s="16" t="n">
        <f aca="false">B7*Inputs!$F$108</f>
        <v>450725</v>
      </c>
      <c r="C8" s="21" t="n">
        <f aca="false">Inputs!$F$108</f>
        <v>0.2</v>
      </c>
      <c r="D8" s="3" t="s">
        <v>637</v>
      </c>
    </row>
    <row r="9" customFormat="false" ht="15" hidden="false" customHeight="false" outlineLevel="0" collapsed="false">
      <c r="A9" s="3" t="s">
        <v>638</v>
      </c>
      <c r="B9" s="16" t="n">
        <f aca="false">B8*Inputs!$F$109</f>
        <v>180290</v>
      </c>
      <c r="C9" s="21" t="n">
        <f aca="false">Inputs!$F$109</f>
        <v>0.4</v>
      </c>
      <c r="D9" s="3" t="s">
        <v>639</v>
      </c>
    </row>
    <row r="10" customFormat="false" ht="15" hidden="false" customHeight="false" outlineLevel="0" collapsed="false">
      <c r="A10" s="3" t="s">
        <v>640</v>
      </c>
      <c r="B10" s="16" t="n">
        <f aca="false">B9*Inputs!$F$110</f>
        <v>9014.5</v>
      </c>
      <c r="C10" s="21" t="n">
        <f aca="false">Inputs!$F$110</f>
        <v>0.05</v>
      </c>
      <c r="D10" s="3" t="s">
        <v>641</v>
      </c>
    </row>
    <row r="11" customFormat="false" ht="15" hidden="false" customHeight="false" outlineLevel="0" collapsed="false">
      <c r="A11" s="3" t="s">
        <v>642</v>
      </c>
      <c r="B11" s="16" t="n">
        <f aca="false">Inputs!$F$111*H2_Supply!$C$27</f>
        <v>1394.3007954984</v>
      </c>
      <c r="D11" s="3" t="s">
        <v>643</v>
      </c>
    </row>
    <row r="12" customFormat="false" ht="15" hidden="false" customHeight="false" outlineLevel="0" collapsed="false">
      <c r="A12" s="24" t="s">
        <v>644</v>
      </c>
      <c r="B12" s="20" t="n">
        <f aca="false">MIN(B10,B11)</f>
        <v>1394.3007954984</v>
      </c>
      <c r="D12" s="3" t="s">
        <v>464</v>
      </c>
    </row>
    <row r="13" customFormat="false" ht="15" hidden="false" customHeight="false" outlineLevel="0" collapsed="false">
      <c r="A13" s="3" t="s">
        <v>645</v>
      </c>
      <c r="B13" s="16" t="n">
        <v>100000</v>
      </c>
      <c r="D13" s="3" t="s">
        <v>646</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66"/>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6" min="6" style="0" width="8"/>
    <col collapsed="false" customWidth="true" hidden="false" outlineLevel="0" max="7" min="7" style="0" width="70"/>
  </cols>
  <sheetData>
    <row r="1" customFormat="false" ht="17.35" hidden="false" customHeight="false" outlineLevel="0" collapsed="false">
      <c r="A1" s="1" t="s">
        <v>647</v>
      </c>
    </row>
    <row r="2" customFormat="false" ht="15" hidden="false" customHeight="false" outlineLevel="0" collapsed="false">
      <c r="A2" s="2" t="s">
        <v>648</v>
      </c>
    </row>
    <row r="4" customFormat="false" ht="15" hidden="false" customHeight="false" outlineLevel="0" collapsed="false">
      <c r="A4" s="6" t="s">
        <v>649</v>
      </c>
      <c r="B4" s="6" t="s">
        <v>650</v>
      </c>
      <c r="C4" s="6" t="s">
        <v>441</v>
      </c>
      <c r="D4" s="6" t="s">
        <v>651</v>
      </c>
      <c r="E4" s="6" t="s">
        <v>652</v>
      </c>
      <c r="F4" s="6" t="s">
        <v>23</v>
      </c>
      <c r="G4" s="6" t="s">
        <v>653</v>
      </c>
    </row>
    <row r="5" customFormat="false" ht="15" hidden="false" customHeight="false" outlineLevel="0" collapsed="false">
      <c r="A5" s="7" t="s">
        <v>654</v>
      </c>
      <c r="B5" s="8"/>
      <c r="C5" s="8"/>
      <c r="D5" s="8"/>
      <c r="E5" s="8"/>
      <c r="F5" s="8"/>
      <c r="G5" s="8"/>
    </row>
    <row r="6" customFormat="false" ht="28.35" hidden="false" customHeight="false" outlineLevel="0" collapsed="false">
      <c r="B6" s="3" t="s">
        <v>655</v>
      </c>
      <c r="C6" s="36" t="n">
        <v>1</v>
      </c>
      <c r="D6" s="14" t="n">
        <v>2500000</v>
      </c>
      <c r="E6" s="16" t="n">
        <f aca="false">C6*D6</f>
        <v>2500000</v>
      </c>
      <c r="F6" s="11" t="s">
        <v>30</v>
      </c>
      <c r="G6" s="3" t="s">
        <v>656</v>
      </c>
    </row>
    <row r="7" customFormat="false" ht="28.35" hidden="false" customHeight="false" outlineLevel="0" collapsed="false">
      <c r="B7" s="3" t="s">
        <v>657</v>
      </c>
      <c r="C7" s="36" t="n">
        <v>1</v>
      </c>
      <c r="D7" s="14" t="n">
        <v>2500000</v>
      </c>
      <c r="E7" s="16" t="n">
        <f aca="false">C7*D7</f>
        <v>2500000</v>
      </c>
      <c r="F7" s="11" t="s">
        <v>30</v>
      </c>
      <c r="G7" s="3" t="s">
        <v>658</v>
      </c>
    </row>
    <row r="8" customFormat="false" ht="15" hidden="false" customHeight="false" outlineLevel="0" collapsed="false">
      <c r="B8" s="3" t="s">
        <v>659</v>
      </c>
      <c r="C8" s="36" t="n">
        <v>1</v>
      </c>
      <c r="D8" s="14" t="n">
        <v>4000000</v>
      </c>
      <c r="E8" s="16" t="n">
        <f aca="false">C8*D8</f>
        <v>4000000</v>
      </c>
      <c r="F8" s="11" t="s">
        <v>30</v>
      </c>
      <c r="G8" s="3"/>
    </row>
    <row r="9" customFormat="false" ht="15" hidden="false" customHeight="false" outlineLevel="0" collapsed="false">
      <c r="B9" s="4" t="s">
        <v>660</v>
      </c>
      <c r="E9" s="17" t="n">
        <f aca="false">SUM(E6:E8)</f>
        <v>9000000</v>
      </c>
    </row>
    <row r="11" customFormat="false" ht="15" hidden="false" customHeight="false" outlineLevel="0" collapsed="false">
      <c r="A11" s="7" t="s">
        <v>661</v>
      </c>
      <c r="B11" s="8"/>
      <c r="C11" s="8"/>
      <c r="D11" s="8"/>
      <c r="E11" s="8"/>
      <c r="F11" s="8"/>
      <c r="G11" s="8"/>
    </row>
    <row r="12" customFormat="false" ht="28.35" hidden="false" customHeight="false" outlineLevel="0" collapsed="false">
      <c r="B12" s="3" t="s">
        <v>662</v>
      </c>
      <c r="C12" s="36" t="n">
        <v>1</v>
      </c>
      <c r="D12" s="14" t="n">
        <v>30000000</v>
      </c>
      <c r="E12" s="16" t="n">
        <f aca="false">C12*D12</f>
        <v>30000000</v>
      </c>
      <c r="F12" s="11" t="s">
        <v>30</v>
      </c>
      <c r="G12" s="3" t="s">
        <v>663</v>
      </c>
    </row>
    <row r="13" customFormat="false" ht="15" hidden="false" customHeight="false" outlineLevel="0" collapsed="false">
      <c r="B13" s="3" t="s">
        <v>664</v>
      </c>
      <c r="C13" s="36" t="n">
        <v>3</v>
      </c>
      <c r="D13" s="16" t="n">
        <f aca="false">BOM!$G$40</f>
        <v>774375</v>
      </c>
      <c r="E13" s="16" t="n">
        <f aca="false">C13*D13</f>
        <v>2323125</v>
      </c>
      <c r="F13" s="11" t="s">
        <v>110</v>
      </c>
      <c r="G13" s="3" t="s">
        <v>665</v>
      </c>
    </row>
    <row r="14" customFormat="false" ht="15" hidden="false" customHeight="false" outlineLevel="0" collapsed="false">
      <c r="B14" s="3" t="s">
        <v>666</v>
      </c>
      <c r="C14" s="36" t="n">
        <v>3</v>
      </c>
      <c r="D14" s="14" t="n">
        <v>500000</v>
      </c>
      <c r="E14" s="16" t="n">
        <f aca="false">C14*D14</f>
        <v>1500000</v>
      </c>
      <c r="F14" s="11" t="s">
        <v>30</v>
      </c>
      <c r="G14" s="3"/>
    </row>
    <row r="15" customFormat="false" ht="28.35" hidden="false" customHeight="false" outlineLevel="0" collapsed="false">
      <c r="B15" s="3" t="s">
        <v>667</v>
      </c>
      <c r="C15" s="36" t="n">
        <v>1</v>
      </c>
      <c r="D15" s="14" t="n">
        <v>15000000</v>
      </c>
      <c r="E15" s="16" t="n">
        <f aca="false">C15*D15</f>
        <v>15000000</v>
      </c>
      <c r="F15" s="11" t="s">
        <v>30</v>
      </c>
      <c r="G15" s="3" t="s">
        <v>668</v>
      </c>
    </row>
    <row r="16" customFormat="false" ht="28.35" hidden="false" customHeight="false" outlineLevel="0" collapsed="false">
      <c r="B16" s="3" t="s">
        <v>669</v>
      </c>
      <c r="C16" s="36" t="n">
        <v>1</v>
      </c>
      <c r="D16" s="14" t="n">
        <v>12000000</v>
      </c>
      <c r="E16" s="16" t="n">
        <f aca="false">C16*D16</f>
        <v>12000000</v>
      </c>
      <c r="F16" s="11" t="s">
        <v>30</v>
      </c>
      <c r="G16" s="3"/>
    </row>
    <row r="17" customFormat="false" ht="15" hidden="false" customHeight="false" outlineLevel="0" collapsed="false">
      <c r="B17" s="3" t="s">
        <v>670</v>
      </c>
      <c r="C17" s="36" t="n">
        <v>96</v>
      </c>
      <c r="D17" s="14" t="n">
        <v>250000</v>
      </c>
      <c r="E17" s="16" t="n">
        <f aca="false">C17*D17</f>
        <v>24000000</v>
      </c>
      <c r="F17" s="11" t="s">
        <v>30</v>
      </c>
      <c r="G17" s="3" t="s">
        <v>671</v>
      </c>
    </row>
    <row r="18" customFormat="false" ht="15" hidden="false" customHeight="false" outlineLevel="0" collapsed="false">
      <c r="B18" s="4" t="s">
        <v>660</v>
      </c>
      <c r="E18" s="17" t="n">
        <f aca="false">SUM(E12:E17)</f>
        <v>84823125</v>
      </c>
    </row>
    <row r="20" customFormat="false" ht="15" hidden="false" customHeight="false" outlineLevel="0" collapsed="false">
      <c r="A20" s="7" t="s">
        <v>672</v>
      </c>
      <c r="B20" s="8"/>
      <c r="C20" s="8"/>
      <c r="D20" s="8"/>
      <c r="E20" s="8"/>
      <c r="F20" s="8"/>
      <c r="G20" s="8"/>
    </row>
    <row r="21" customFormat="false" ht="28.35" hidden="false" customHeight="false" outlineLevel="0" collapsed="false">
      <c r="B21" s="3" t="s">
        <v>673</v>
      </c>
      <c r="C21" s="36" t="n">
        <v>1</v>
      </c>
      <c r="D21" s="14" t="n">
        <v>10000000</v>
      </c>
      <c r="E21" s="16" t="n">
        <f aca="false">C21*D21</f>
        <v>10000000</v>
      </c>
      <c r="F21" s="11" t="s">
        <v>30</v>
      </c>
      <c r="G21" s="3" t="s">
        <v>674</v>
      </c>
    </row>
    <row r="22" customFormat="false" ht="15" hidden="false" customHeight="false" outlineLevel="0" collapsed="false">
      <c r="B22" s="3" t="s">
        <v>675</v>
      </c>
      <c r="C22" s="36" t="n">
        <v>1</v>
      </c>
      <c r="D22" s="14" t="n">
        <v>8000000</v>
      </c>
      <c r="E22" s="16" t="n">
        <f aca="false">C22*D22</f>
        <v>8000000</v>
      </c>
      <c r="F22" s="11" t="s">
        <v>30</v>
      </c>
      <c r="G22" s="3"/>
    </row>
    <row r="23" customFormat="false" ht="15" hidden="false" customHeight="false" outlineLevel="0" collapsed="false">
      <c r="B23" s="3" t="s">
        <v>676</v>
      </c>
      <c r="C23" s="37" t="n">
        <f aca="false">Inputs!$F$73</f>
        <v>30</v>
      </c>
      <c r="D23" s="16" t="n">
        <f aca="false">BOM!$G$40</f>
        <v>774375</v>
      </c>
      <c r="E23" s="16" t="n">
        <f aca="false">C23*D23</f>
        <v>23231250</v>
      </c>
      <c r="F23" s="11" t="s">
        <v>110</v>
      </c>
      <c r="G23" s="3" t="s">
        <v>665</v>
      </c>
    </row>
    <row r="24" customFormat="false" ht="15" hidden="false" customHeight="false" outlineLevel="0" collapsed="false">
      <c r="B24" s="3" t="s">
        <v>677</v>
      </c>
      <c r="C24" s="36" t="n">
        <v>50</v>
      </c>
      <c r="D24" s="14" t="n">
        <v>60000</v>
      </c>
      <c r="E24" s="16" t="n">
        <f aca="false">C24*D24</f>
        <v>3000000</v>
      </c>
      <c r="F24" s="11" t="s">
        <v>30</v>
      </c>
      <c r="G24" s="3" t="s">
        <v>678</v>
      </c>
    </row>
    <row r="25" customFormat="false" ht="28.35" hidden="false" customHeight="false" outlineLevel="0" collapsed="false">
      <c r="B25" s="3" t="s">
        <v>679</v>
      </c>
      <c r="C25" s="36" t="n">
        <v>1</v>
      </c>
      <c r="D25" s="16" t="n">
        <f aca="false">Inputs!$F$77</f>
        <v>100000000</v>
      </c>
      <c r="E25" s="16" t="n">
        <f aca="false">C25*D25</f>
        <v>100000000</v>
      </c>
      <c r="F25" s="11" t="s">
        <v>110</v>
      </c>
      <c r="G25" s="3" t="s">
        <v>680</v>
      </c>
    </row>
    <row r="26" customFormat="false" ht="15" hidden="false" customHeight="false" outlineLevel="0" collapsed="false">
      <c r="B26" s="3" t="s">
        <v>681</v>
      </c>
      <c r="C26" s="36" t="n">
        <v>2</v>
      </c>
      <c r="D26" s="14" t="n">
        <v>4000000</v>
      </c>
      <c r="E26" s="16" t="n">
        <f aca="false">C26*D26</f>
        <v>8000000</v>
      </c>
      <c r="F26" s="11" t="s">
        <v>30</v>
      </c>
      <c r="G26" s="3" t="s">
        <v>682</v>
      </c>
    </row>
    <row r="27" customFormat="false" ht="15" hidden="false" customHeight="false" outlineLevel="0" collapsed="false">
      <c r="B27" s="4" t="s">
        <v>660</v>
      </c>
      <c r="E27" s="17" t="n">
        <f aca="false">SUM(E21:E26)</f>
        <v>152231250</v>
      </c>
    </row>
    <row r="29" customFormat="false" ht="15" hidden="false" customHeight="false" outlineLevel="0" collapsed="false">
      <c r="A29" s="7" t="s">
        <v>683</v>
      </c>
      <c r="B29" s="8"/>
      <c r="C29" s="8"/>
      <c r="D29" s="8"/>
      <c r="E29" s="8"/>
      <c r="F29" s="8"/>
      <c r="G29" s="8"/>
    </row>
    <row r="30" customFormat="false" ht="15" hidden="false" customHeight="false" outlineLevel="0" collapsed="false">
      <c r="B30" s="3" t="s">
        <v>684</v>
      </c>
      <c r="C30" s="37" t="n">
        <f aca="false">Inputs!$F$73*Energy_Range!$B$24*Inputs!$F$10*1.5</f>
        <v>29821.39875</v>
      </c>
      <c r="D30" s="16" t="n">
        <f aca="false">H2_Supply!$B$26</f>
        <v>1432.83283285152</v>
      </c>
      <c r="E30" s="16" t="n">
        <f aca="false">C30*D30</f>
        <v>42729079.2505572</v>
      </c>
      <c r="F30" s="11" t="s">
        <v>110</v>
      </c>
      <c r="G30" s="3" t="s">
        <v>685</v>
      </c>
    </row>
    <row r="31" customFormat="false" ht="28.35" hidden="false" customHeight="false" outlineLevel="0" collapsed="false">
      <c r="B31" s="3" t="s">
        <v>686</v>
      </c>
      <c r="C31" s="36" t="n">
        <v>18</v>
      </c>
      <c r="D31" s="14" t="n">
        <v>1500000</v>
      </c>
      <c r="E31" s="16" t="n">
        <f aca="false">C31*D31</f>
        <v>27000000</v>
      </c>
      <c r="F31" s="11" t="s">
        <v>30</v>
      </c>
      <c r="G31" s="3" t="s">
        <v>687</v>
      </c>
    </row>
    <row r="32" customFormat="false" ht="15" hidden="false" customHeight="false" outlineLevel="0" collapsed="false">
      <c r="B32" s="3" t="s">
        <v>688</v>
      </c>
      <c r="C32" s="36" t="n">
        <v>6</v>
      </c>
      <c r="D32" s="14" t="n">
        <v>800000</v>
      </c>
      <c r="E32" s="16" t="n">
        <f aca="false">C32*D32</f>
        <v>4800000</v>
      </c>
      <c r="F32" s="11" t="s">
        <v>30</v>
      </c>
      <c r="G32" s="3"/>
    </row>
    <row r="33" customFormat="false" ht="15" hidden="false" customHeight="false" outlineLevel="0" collapsed="false">
      <c r="B33" s="3" t="s">
        <v>689</v>
      </c>
      <c r="C33" s="36" t="n">
        <v>1</v>
      </c>
      <c r="D33" s="14" t="n">
        <v>6000000</v>
      </c>
      <c r="E33" s="16" t="n">
        <f aca="false">C33*D33</f>
        <v>6000000</v>
      </c>
      <c r="F33" s="11" t="s">
        <v>30</v>
      </c>
      <c r="G33" s="3"/>
    </row>
    <row r="34" customFormat="false" ht="15" hidden="false" customHeight="false" outlineLevel="0" collapsed="false">
      <c r="B34" s="4" t="s">
        <v>660</v>
      </c>
      <c r="E34" s="17" t="n">
        <f aca="false">SUM(E30:E33)</f>
        <v>80529079.2505572</v>
      </c>
    </row>
    <row r="36" customFormat="false" ht="15" hidden="false" customHeight="false" outlineLevel="0" collapsed="false">
      <c r="B36" s="4" t="s">
        <v>690</v>
      </c>
      <c r="E36" s="17" t="n">
        <f aca="false">E9+E18+E27+E34</f>
        <v>326583454.250557</v>
      </c>
    </row>
    <row r="37" customFormat="false" ht="15" hidden="false" customHeight="false" outlineLevel="0" collapsed="false">
      <c r="B37" s="0" t="s">
        <v>691</v>
      </c>
      <c r="C37" s="18" t="n">
        <v>0.15</v>
      </c>
      <c r="E37" s="16" t="n">
        <f aca="false">E36*C37</f>
        <v>48987518.1375836</v>
      </c>
    </row>
    <row r="38" customFormat="false" ht="15" hidden="false" customHeight="false" outlineLevel="0" collapsed="false">
      <c r="B38" s="19" t="s">
        <v>692</v>
      </c>
      <c r="E38" s="20" t="n">
        <f aca="false">E36+E37</f>
        <v>375570972.388141</v>
      </c>
    </row>
    <row r="39" customFormat="false" ht="15" hidden="false" customHeight="false" outlineLevel="0" collapsed="false">
      <c r="B39" s="0" t="s">
        <v>693</v>
      </c>
      <c r="E39" s="27" t="n">
        <f aca="false">E38/10000000</f>
        <v>37.5570972388141</v>
      </c>
    </row>
    <row r="41" customFormat="false" ht="15" hidden="false" customHeight="false" outlineLevel="0" collapsed="false">
      <c r="B41" s="4" t="s">
        <v>694</v>
      </c>
    </row>
    <row r="42" customFormat="false" ht="15" hidden="false" customHeight="false" outlineLevel="0" collapsed="false">
      <c r="B42" s="0" t="s">
        <v>695</v>
      </c>
      <c r="C42" s="18" t="n">
        <v>0.4</v>
      </c>
      <c r="E42" s="16" t="n">
        <f aca="false">C42*E38</f>
        <v>150228388.955256</v>
      </c>
    </row>
    <row r="43" customFormat="false" ht="15" hidden="false" customHeight="false" outlineLevel="0" collapsed="false">
      <c r="B43" s="0" t="s">
        <v>696</v>
      </c>
      <c r="C43" s="18" t="n">
        <v>0.35</v>
      </c>
      <c r="E43" s="16" t="n">
        <f aca="false">C43*E38</f>
        <v>131449840.335849</v>
      </c>
    </row>
    <row r="44" customFormat="false" ht="15" hidden="false" customHeight="false" outlineLevel="0" collapsed="false">
      <c r="B44" s="0" t="s">
        <v>697</v>
      </c>
      <c r="C44" s="18" t="n">
        <v>0.15</v>
      </c>
      <c r="E44" s="16" t="n">
        <f aca="false">C44*E38</f>
        <v>56335645.8582211</v>
      </c>
    </row>
    <row r="45" customFormat="false" ht="15" hidden="false" customHeight="false" outlineLevel="0" collapsed="false">
      <c r="B45" s="0" t="s">
        <v>698</v>
      </c>
      <c r="C45" s="18" t="n">
        <v>0.1</v>
      </c>
      <c r="E45" s="16" t="n">
        <f aca="false">C45*E38</f>
        <v>37557097.2388141</v>
      </c>
    </row>
    <row r="47" customFormat="false" ht="15" hidden="false" customHeight="false" outlineLevel="0" collapsed="false">
      <c r="B47" s="4" t="s">
        <v>699</v>
      </c>
    </row>
    <row r="48" customFormat="false" ht="15" hidden="false" customHeight="false" outlineLevel="0" collapsed="false">
      <c r="A48" s="6"/>
      <c r="B48" s="6" t="s">
        <v>700</v>
      </c>
      <c r="C48" s="6" t="s">
        <v>701</v>
      </c>
      <c r="D48" s="6" t="s">
        <v>702</v>
      </c>
      <c r="E48" s="6" t="s">
        <v>703</v>
      </c>
      <c r="F48" s="6"/>
      <c r="G48" s="6" t="s">
        <v>570</v>
      </c>
    </row>
    <row r="49" customFormat="false" ht="15" hidden="false" customHeight="false" outlineLevel="0" collapsed="false">
      <c r="B49" s="0" t="s">
        <v>704</v>
      </c>
      <c r="C49" s="0" t="n">
        <v>3</v>
      </c>
      <c r="D49" s="10" t="n">
        <f aca="false">Inputs!$F$73</f>
        <v>30</v>
      </c>
      <c r="E49" s="16" t="n">
        <f aca="false">Market!$B$12</f>
        <v>1394.3007954984</v>
      </c>
      <c r="G49" s="11" t="s">
        <v>705</v>
      </c>
    </row>
    <row r="50" customFormat="false" ht="15" hidden="false" customHeight="false" outlineLevel="0" collapsed="false">
      <c r="B50" s="0" t="s">
        <v>706</v>
      </c>
      <c r="C50" s="0" t="n">
        <v>1</v>
      </c>
      <c r="D50" s="0" t="n">
        <v>1</v>
      </c>
      <c r="E50" s="10" t="n">
        <f aca="false">Inputs!$F$111</f>
        <v>8</v>
      </c>
    </row>
    <row r="51" customFormat="false" ht="15" hidden="false" customHeight="false" outlineLevel="0" collapsed="false">
      <c r="B51" s="0" t="s">
        <v>707</v>
      </c>
      <c r="C51" s="27" t="n">
        <f aca="false">C49*Energy_Range!$B$24*Inputs!$F$10/1000</f>
        <v>1.98809325</v>
      </c>
      <c r="D51" s="27" t="n">
        <f aca="false">D49*Energy_Range!$B$24*Inputs!$F$10/1000</f>
        <v>19.8809325</v>
      </c>
      <c r="E51" s="27" t="n">
        <f aca="false">E49*Energy_Range!$B$24*Inputs!$F$10/1000</f>
        <v>924</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3" min="2" style="0" width="16"/>
    <col collapsed="false" customWidth="true" hidden="false" outlineLevel="0" max="4" min="4" style="0" width="80"/>
  </cols>
  <sheetData>
    <row r="1" customFormat="false" ht="17.35" hidden="false" customHeight="false" outlineLevel="0" collapsed="false">
      <c r="A1" s="1" t="s">
        <v>708</v>
      </c>
    </row>
    <row r="2" customFormat="false" ht="15" hidden="false" customHeight="false" outlineLevel="0" collapsed="false">
      <c r="A2" s="2" t="s">
        <v>709</v>
      </c>
    </row>
    <row r="4" customFormat="false" ht="15" hidden="false" customHeight="false" outlineLevel="0" collapsed="false">
      <c r="A4" s="6" t="s">
        <v>441</v>
      </c>
      <c r="B4" s="6" t="s">
        <v>442</v>
      </c>
      <c r="C4" s="6" t="s">
        <v>22</v>
      </c>
      <c r="D4" s="6" t="s">
        <v>570</v>
      </c>
    </row>
    <row r="5" customFormat="false" ht="15" hidden="false" customHeight="false" outlineLevel="0" collapsed="false">
      <c r="A5" s="3" t="s">
        <v>710</v>
      </c>
      <c r="B5" s="37" t="n">
        <f aca="false">(1-Inputs!$F$22)/Inputs!$F$19*Inputs!$F$91*1000</f>
        <v>102.22</v>
      </c>
      <c r="C5" s="11" t="s">
        <v>711</v>
      </c>
      <c r="D5" s="3"/>
    </row>
    <row r="6" customFormat="false" ht="15" hidden="false" customHeight="false" outlineLevel="0" collapsed="false">
      <c r="A6" s="3" t="s">
        <v>712</v>
      </c>
      <c r="B6" s="37" t="n">
        <f aca="false">Inputs!$F$22/Inputs!$F$21*Inputs!$F$93*1000</f>
        <v>7.56666666666667</v>
      </c>
      <c r="C6" s="11" t="s">
        <v>711</v>
      </c>
      <c r="D6" s="3"/>
    </row>
    <row r="7" customFormat="false" ht="15" hidden="false" customHeight="false" outlineLevel="0" collapsed="false">
      <c r="A7" s="3" t="s">
        <v>713</v>
      </c>
      <c r="B7" s="37" t="n">
        <f aca="false">B5*Inputs!$F$92+B6*Inputs!$F$94</f>
        <v>27.0683333333333</v>
      </c>
      <c r="C7" s="11" t="s">
        <v>711</v>
      </c>
      <c r="D7" s="3" t="s">
        <v>714</v>
      </c>
    </row>
    <row r="8" customFormat="false" ht="15" hidden="false" customHeight="false" outlineLevel="0" collapsed="false">
      <c r="A8" s="24" t="s">
        <v>715</v>
      </c>
      <c r="B8" s="38" t="n">
        <f aca="false">B5+B6+B7</f>
        <v>136.855</v>
      </c>
      <c r="C8" s="11" t="s">
        <v>711</v>
      </c>
      <c r="D8" s="3" t="s">
        <v>16</v>
      </c>
    </row>
    <row r="9" customFormat="false" ht="15" hidden="false" customHeight="false" outlineLevel="0" collapsed="false">
      <c r="A9" s="3" t="s">
        <v>716</v>
      </c>
      <c r="B9" s="37" t="n">
        <f aca="false">Inputs!$F$34</f>
        <v>0.65</v>
      </c>
      <c r="C9" s="11" t="s">
        <v>38</v>
      </c>
      <c r="D9" s="3"/>
    </row>
    <row r="10" customFormat="false" ht="15" hidden="false" customHeight="false" outlineLevel="0" collapsed="false">
      <c r="A10" s="3" t="s">
        <v>717</v>
      </c>
      <c r="B10" s="37" t="n">
        <f aca="false">Inputs!$F$33</f>
        <v>1.85</v>
      </c>
      <c r="C10" s="11" t="s">
        <v>125</v>
      </c>
      <c r="D10" s="3"/>
    </row>
    <row r="11" customFormat="false" ht="15" hidden="false" customHeight="false" outlineLevel="0" collapsed="false">
      <c r="A11" s="3" t="s">
        <v>718</v>
      </c>
      <c r="B11" s="37" t="n">
        <f aca="false">B9*B10/100*Inputs!$F$95*1000+(1-B9)/Inputs!$F$21*Inputs!$F$93*(1+Inputs!$F$94)*1000</f>
        <v>87.61</v>
      </c>
      <c r="C11" s="11" t="s">
        <v>711</v>
      </c>
      <c r="D11" s="3" t="s">
        <v>719</v>
      </c>
    </row>
    <row r="12" customFormat="false" ht="15" hidden="false" customHeight="false" outlineLevel="0" collapsed="false">
      <c r="A12" s="3" t="s">
        <v>720</v>
      </c>
      <c r="B12" s="37" t="n">
        <f aca="false">B9*B10/100*Inputs!$F$96*1000+(1-B9)/Inputs!$F$21*Inputs!$F$93*(1+Inputs!$F$94)*1000</f>
        <v>532.535</v>
      </c>
      <c r="C12" s="11" t="s">
        <v>711</v>
      </c>
      <c r="D12" s="3" t="s">
        <v>721</v>
      </c>
    </row>
    <row r="13" customFormat="false" ht="15" hidden="false" customHeight="false" outlineLevel="0" collapsed="false">
      <c r="A13" s="3" t="s">
        <v>722</v>
      </c>
      <c r="B13" s="37" t="n">
        <f aca="false">B9*B10/100*Inputs!$F$97*1000+(1-B9)/Inputs!$F$21*Inputs!$F$93*(1+Inputs!$F$94)*1000</f>
        <v>207.86</v>
      </c>
      <c r="C13" s="11" t="s">
        <v>711</v>
      </c>
      <c r="D13" s="3" t="s">
        <v>721</v>
      </c>
    </row>
    <row r="14" customFormat="false" ht="15" hidden="false" customHeight="false" outlineLevel="0" collapsed="false">
      <c r="A14" s="3" t="s">
        <v>723</v>
      </c>
      <c r="B14" s="37" t="n">
        <f aca="false">Inputs!$F$102*1000000/(Inputs!$F$10*Inputs!$F$11*Inputs!$F$8)</f>
        <v>1.81455271275631</v>
      </c>
      <c r="C14" s="11" t="s">
        <v>711</v>
      </c>
      <c r="D14" s="3"/>
    </row>
    <row r="15" customFormat="false" ht="15" hidden="false" customHeight="false" outlineLevel="0" collapsed="false">
      <c r="A15" s="24" t="s">
        <v>724</v>
      </c>
      <c r="B15" s="38" t="n">
        <f aca="false">B11+B14</f>
        <v>89.4245527127563</v>
      </c>
      <c r="C15" s="11" t="s">
        <v>711</v>
      </c>
      <c r="D15" s="3" t="s">
        <v>16</v>
      </c>
    </row>
    <row r="16" customFormat="false" ht="15" hidden="false" customHeight="false" outlineLevel="0" collapsed="false">
      <c r="A16" s="3" t="s">
        <v>725</v>
      </c>
      <c r="B16" s="37" t="n">
        <f aca="false">Inputs!$F$46/100*Inputs!$F$98*1000</f>
        <v>129</v>
      </c>
      <c r="C16" s="11" t="s">
        <v>711</v>
      </c>
      <c r="D16" s="3" t="s">
        <v>726</v>
      </c>
    </row>
    <row r="17" customFormat="false" ht="15" hidden="false" customHeight="false" outlineLevel="0" collapsed="false">
      <c r="A17" s="3" t="s">
        <v>727</v>
      </c>
      <c r="B17" s="37" t="n">
        <f aca="false">Inputs!$F$46/100*Inputs!$F$99*1000</f>
        <v>87</v>
      </c>
      <c r="C17" s="11" t="s">
        <v>711</v>
      </c>
      <c r="D17" s="3"/>
    </row>
    <row r="18" customFormat="false" ht="15" hidden="false" customHeight="false" outlineLevel="0" collapsed="false">
      <c r="A18" s="3" t="s">
        <v>728</v>
      </c>
      <c r="B18" s="37" t="n">
        <f aca="false">Inputs!$F$100*1000000/Inputs!$F$101</f>
        <v>46.6666666666667</v>
      </c>
      <c r="C18" s="11" t="s">
        <v>711</v>
      </c>
      <c r="D18" s="3" t="s">
        <v>729</v>
      </c>
    </row>
    <row r="19" customFormat="false" ht="15" hidden="false" customHeight="false" outlineLevel="0" collapsed="false">
      <c r="A19" s="24" t="s">
        <v>730</v>
      </c>
      <c r="B19" s="38" t="n">
        <f aca="false">B16+B18</f>
        <v>175.666666666667</v>
      </c>
      <c r="C19" s="11" t="s">
        <v>711</v>
      </c>
      <c r="D19" s="3" t="s">
        <v>16</v>
      </c>
    </row>
    <row r="20" customFormat="false" ht="15" hidden="false" customHeight="false" outlineLevel="0" collapsed="false">
      <c r="A20" s="24" t="s">
        <v>731</v>
      </c>
      <c r="B20" s="38" t="n">
        <f aca="false">B17+B18</f>
        <v>133.666666666667</v>
      </c>
      <c r="C20" s="11" t="s">
        <v>711</v>
      </c>
      <c r="D20" s="3" t="s">
        <v>16</v>
      </c>
    </row>
    <row r="21" customFormat="false" ht="15" hidden="false" customHeight="false" outlineLevel="0" collapsed="false">
      <c r="A21" s="3" t="s">
        <v>732</v>
      </c>
      <c r="B21" s="37" t="n">
        <f aca="false">1-B15/B8</f>
        <v>0.346574456813735</v>
      </c>
      <c r="C21" s="11" t="s">
        <v>38</v>
      </c>
      <c r="D21" s="3"/>
    </row>
    <row r="22" customFormat="false" ht="15" hidden="false" customHeight="false" outlineLevel="0" collapsed="false">
      <c r="A22" s="3" t="s">
        <v>733</v>
      </c>
      <c r="B22" s="37" t="n">
        <f aca="false">1-B20/B8</f>
        <v>0.0232971636647058</v>
      </c>
      <c r="C22" s="11" t="s">
        <v>38</v>
      </c>
      <c r="D22" s="3" t="s">
        <v>734</v>
      </c>
    </row>
    <row r="23" customFormat="false" ht="15" hidden="false" customHeight="false" outlineLevel="0" collapsed="false">
      <c r="A23" s="3" t="s">
        <v>735</v>
      </c>
      <c r="B23" s="37" t="n">
        <f aca="false">(B15-B18)/(Inputs!$F$46/100)/1000</f>
        <v>0.285052573640598</v>
      </c>
      <c r="C23" s="11" t="s">
        <v>335</v>
      </c>
      <c r="D23" s="3" t="s">
        <v>736</v>
      </c>
    </row>
    <row r="24" customFormat="false" ht="15" hidden="false" customHeight="false" outlineLevel="0" collapsed="false">
      <c r="A24" s="3" t="s">
        <v>737</v>
      </c>
      <c r="B24" s="37" t="n">
        <f aca="false">(B8-(1-B9)/Inputs!$F$21*Inputs!$F$93*(1+Inputs!$F$94)*1000-B14)/(B9*B10/100*1000)</f>
        <v>5.94431994072712</v>
      </c>
      <c r="C24" s="11" t="s">
        <v>323</v>
      </c>
      <c r="D24" s="3" t="s">
        <v>738</v>
      </c>
    </row>
    <row r="25" customFormat="false" ht="15" hidden="false" customHeight="false" outlineLevel="0" collapsed="false">
      <c r="A25" s="3" t="s">
        <v>739</v>
      </c>
      <c r="B25" s="37" t="n">
        <f aca="false">(B8-B15)*Inputs!$F$10*Inputs!$F$11*Inputs!$F$8/1000000</f>
        <v>13.06945975</v>
      </c>
      <c r="C25" s="11" t="s">
        <v>343</v>
      </c>
      <c r="D25" s="3"/>
    </row>
    <row r="26" customFormat="false" ht="15" hidden="false" customHeight="false" outlineLevel="0" collapsed="false">
      <c r="A26" s="3" t="s">
        <v>740</v>
      </c>
      <c r="B26" s="37" t="n">
        <f aca="false">IF(B25&gt;0,TCO!$C$65/B25,"n/a")</f>
        <v>128869.435577433</v>
      </c>
      <c r="C26" s="11" t="s">
        <v>741</v>
      </c>
      <c r="D26" s="3" t="s">
        <v>742</v>
      </c>
    </row>
    <row r="27" customFormat="false" ht="15" hidden="false" customHeight="false" outlineLevel="0" collapsed="false">
      <c r="A27" s="3" t="s">
        <v>743</v>
      </c>
      <c r="B27" s="37" t="n">
        <f aca="false">Inputs!$F$73*(B8-B15)*Inputs!$F$10*Inputs!$F$11/1000000</f>
        <v>78.4167585</v>
      </c>
      <c r="C27" s="11" t="s">
        <v>744</v>
      </c>
      <c r="D27" s="3"/>
    </row>
    <row r="28" customFormat="false" ht="15" hidden="false" customHeight="false" outlineLevel="0" collapsed="false">
      <c r="A28" s="3" t="s">
        <v>745</v>
      </c>
      <c r="B28" s="37" t="n">
        <f aca="false">Market!$B$12*(B8-B15)*Inputs!$F$10*Inputs!$F$11/1000000</f>
        <v>3644.55162523186</v>
      </c>
      <c r="C28" s="11" t="s">
        <v>744</v>
      </c>
      <c r="D28" s="3" t="s">
        <v>746</v>
      </c>
    </row>
    <row r="29" customFormat="false" ht="15" hidden="false" customHeight="false" outlineLevel="0" collapsed="false">
      <c r="A29" s="3" t="s">
        <v>747</v>
      </c>
      <c r="B29" s="37" t="n">
        <f aca="false">Market!$B$12*Energy_Range!$B$24*Inputs!$F$10/1000</f>
        <v>924</v>
      </c>
      <c r="C29" s="11" t="s">
        <v>748</v>
      </c>
      <c r="D29" s="3"/>
    </row>
    <row r="30" customFormat="false" ht="28.35" hidden="false" customHeight="false" outlineLevel="0" collapsed="false">
      <c r="A30" s="3" t="s">
        <v>749</v>
      </c>
      <c r="B30" s="37" t="n">
        <f aca="false">Inputs!$F$103</f>
        <v>60</v>
      </c>
      <c r="C30" s="11" t="s">
        <v>354</v>
      </c>
      <c r="D30" s="3" t="s">
        <v>750</v>
      </c>
    </row>
    <row r="31" customFormat="false" ht="28.35" hidden="false" customHeight="false" outlineLevel="0" collapsed="false">
      <c r="A31" s="3" t="s">
        <v>751</v>
      </c>
      <c r="B31" s="37" t="s">
        <v>752</v>
      </c>
      <c r="C31" s="11" t="s">
        <v>753</v>
      </c>
      <c r="D31" s="3" t="s">
        <v>754</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7" min="2" style="0" width="16"/>
  </cols>
  <sheetData>
    <row r="1" customFormat="false" ht="17.35" hidden="false" customHeight="false" outlineLevel="0" collapsed="false">
      <c r="A1" s="1" t="s">
        <v>755</v>
      </c>
    </row>
    <row r="2" customFormat="false" ht="15" hidden="false" customHeight="false" outlineLevel="0" collapsed="false">
      <c r="A2" s="2" t="s">
        <v>756</v>
      </c>
    </row>
    <row r="4" customFormat="false" ht="15" hidden="false" customHeight="false" outlineLevel="0" collapsed="false">
      <c r="A4" s="4" t="s">
        <v>757</v>
      </c>
    </row>
    <row r="5" customFormat="false" ht="15" hidden="false" customHeight="false" outlineLevel="0" collapsed="false">
      <c r="A5" s="4" t="s">
        <v>758</v>
      </c>
      <c r="B5" s="17" t="n">
        <v>30000</v>
      </c>
      <c r="C5" s="17" t="n">
        <v>40000</v>
      </c>
      <c r="D5" s="17" t="n">
        <v>50000</v>
      </c>
      <c r="E5" s="17" t="n">
        <v>60000</v>
      </c>
      <c r="F5" s="17" t="n">
        <v>70000</v>
      </c>
    </row>
    <row r="6" customFormat="false" ht="15" hidden="false" customHeight="false" outlineLevel="0" collapsed="false">
      <c r="A6" s="39" t="n">
        <v>100</v>
      </c>
      <c r="B6" s="27" t="n">
        <f aca="false">(TCO!$C$90+TCO!$C$91*B$5+TCO!$C$92*B$5*$A6)/100000</f>
        <v>3.02726719489482</v>
      </c>
      <c r="C6" s="27" t="n">
        <f aca="false">(TCO!$C$90+TCO!$C$91*C$5+TCO!$C$92*C$5*$A6)/100000</f>
        <v>2.94540840773611</v>
      </c>
      <c r="D6" s="27" t="n">
        <f aca="false">(TCO!$C$90+TCO!$C$91*D$5+TCO!$C$92*D$5*$A6)/100000</f>
        <v>2.86354962057739</v>
      </c>
      <c r="E6" s="27" t="n">
        <f aca="false">(TCO!$C$90+TCO!$C$91*E$5+TCO!$C$92*E$5*$A6)/100000</f>
        <v>2.78169083341868</v>
      </c>
      <c r="F6" s="27" t="n">
        <f aca="false">(TCO!$C$90+TCO!$C$91*F$5+TCO!$C$92*F$5*$A6)/100000</f>
        <v>2.69983204625996</v>
      </c>
    </row>
    <row r="7" customFormat="false" ht="15" hidden="false" customHeight="false" outlineLevel="0" collapsed="false">
      <c r="A7" s="39" t="n">
        <v>150</v>
      </c>
      <c r="B7" s="27" t="n">
        <f aca="false">(TCO!$C$90+TCO!$C$91*B$5+TCO!$C$92*B$5*$A7)/100000</f>
        <v>3.57244252861072</v>
      </c>
      <c r="C7" s="27" t="n">
        <f aca="false">(TCO!$C$90+TCO!$C$91*C$5+TCO!$C$92*C$5*$A7)/100000</f>
        <v>3.67230885269064</v>
      </c>
      <c r="D7" s="27" t="n">
        <f aca="false">(TCO!$C$90+TCO!$C$91*D$5+TCO!$C$92*D$5*$A7)/100000</f>
        <v>3.77217517677056</v>
      </c>
      <c r="E7" s="27" t="n">
        <f aca="false">(TCO!$C$90+TCO!$C$91*E$5+TCO!$C$92*E$5*$A7)/100000</f>
        <v>3.87204150085048</v>
      </c>
      <c r="F7" s="27" t="n">
        <f aca="false">(TCO!$C$90+TCO!$C$91*F$5+TCO!$C$92*F$5*$A7)/100000</f>
        <v>3.97190782493039</v>
      </c>
    </row>
    <row r="8" customFormat="false" ht="15" hidden="false" customHeight="false" outlineLevel="0" collapsed="false">
      <c r="A8" s="39" t="n">
        <v>200</v>
      </c>
      <c r="B8" s="27" t="n">
        <f aca="false">(TCO!$C$90+TCO!$C$91*B$5+TCO!$C$92*B$5*$A8)/100000</f>
        <v>4.11761786232662</v>
      </c>
      <c r="C8" s="27" t="n">
        <f aca="false">(TCO!$C$90+TCO!$C$91*C$5+TCO!$C$92*C$5*$A8)/100000</f>
        <v>4.39920929764517</v>
      </c>
      <c r="D8" s="27" t="n">
        <f aca="false">(TCO!$C$90+TCO!$C$91*D$5+TCO!$C$92*D$5*$A8)/100000</f>
        <v>4.68080073296372</v>
      </c>
      <c r="E8" s="27" t="n">
        <f aca="false">(TCO!$C$90+TCO!$C$91*E$5+TCO!$C$92*E$5*$A8)/100000</f>
        <v>4.96239216828228</v>
      </c>
      <c r="F8" s="27" t="n">
        <f aca="false">(TCO!$C$90+TCO!$C$91*F$5+TCO!$C$92*F$5*$A8)/100000</f>
        <v>5.24398360360083</v>
      </c>
    </row>
    <row r="9" customFormat="false" ht="15" hidden="false" customHeight="false" outlineLevel="0" collapsed="false">
      <c r="A9" s="39" t="n">
        <v>250</v>
      </c>
      <c r="B9" s="27" t="n">
        <f aca="false">(TCO!$C$90+TCO!$C$91*B$5+TCO!$C$92*B$5*$A9)/100000</f>
        <v>4.66279319604252</v>
      </c>
      <c r="C9" s="27" t="n">
        <f aca="false">(TCO!$C$90+TCO!$C$91*C$5+TCO!$C$92*C$5*$A9)/100000</f>
        <v>5.1261097425997</v>
      </c>
      <c r="D9" s="27" t="n">
        <f aca="false">(TCO!$C$90+TCO!$C$91*D$5+TCO!$C$92*D$5*$A9)/100000</f>
        <v>5.58942628915689</v>
      </c>
      <c r="E9" s="27" t="n">
        <f aca="false">(TCO!$C$90+TCO!$C$91*E$5+TCO!$C$92*E$5*$A9)/100000</f>
        <v>6.05274283571407</v>
      </c>
      <c r="F9" s="27" t="n">
        <f aca="false">(TCO!$C$90+TCO!$C$91*F$5+TCO!$C$92*F$5*$A9)/100000</f>
        <v>6.51605938227126</v>
      </c>
    </row>
    <row r="10" customFormat="false" ht="15" hidden="false" customHeight="false" outlineLevel="0" collapsed="false">
      <c r="A10" s="39" t="n">
        <v>300</v>
      </c>
      <c r="B10" s="27" t="n">
        <f aca="false">(TCO!$C$90+TCO!$C$91*B$5+TCO!$C$92*B$5*$A10)/100000</f>
        <v>5.20796852975842</v>
      </c>
      <c r="C10" s="27" t="n">
        <f aca="false">(TCO!$C$90+TCO!$C$91*C$5+TCO!$C$92*C$5*$A10)/100000</f>
        <v>5.85301018755424</v>
      </c>
      <c r="D10" s="27" t="n">
        <f aca="false">(TCO!$C$90+TCO!$C$91*D$5+TCO!$C$92*D$5*$A10)/100000</f>
        <v>6.49805184535005</v>
      </c>
      <c r="E10" s="27" t="n">
        <f aca="false">(TCO!$C$90+TCO!$C$91*E$5+TCO!$C$92*E$5*$A10)/100000</f>
        <v>7.14309350314587</v>
      </c>
      <c r="F10" s="27" t="n">
        <f aca="false">(TCO!$C$90+TCO!$C$91*F$5+TCO!$C$92*F$5*$A10)/100000</f>
        <v>7.78813516094169</v>
      </c>
    </row>
    <row r="11" customFormat="false" ht="15" hidden="false" customHeight="false" outlineLevel="0" collapsed="false">
      <c r="A11" s="39" t="n">
        <v>400</v>
      </c>
      <c r="B11" s="27" t="n">
        <f aca="false">(TCO!$C$90+TCO!$C$91*B$5+TCO!$C$92*B$5*$A11)/100000</f>
        <v>6.29831919719022</v>
      </c>
      <c r="C11" s="27" t="n">
        <f aca="false">(TCO!$C$90+TCO!$C$91*C$5+TCO!$C$92*C$5*$A11)/100000</f>
        <v>7.3068110774633</v>
      </c>
      <c r="D11" s="27" t="n">
        <f aca="false">(TCO!$C$90+TCO!$C$91*D$5+TCO!$C$92*D$5*$A11)/100000</f>
        <v>8.31530295773639</v>
      </c>
      <c r="E11" s="27" t="n">
        <f aca="false">(TCO!$C$90+TCO!$C$91*E$5+TCO!$C$92*E$5*$A11)/100000</f>
        <v>9.32379483800947</v>
      </c>
      <c r="F11" s="27" t="n">
        <f aca="false">(TCO!$C$90+TCO!$C$91*F$5+TCO!$C$92*F$5*$A11)/100000</f>
        <v>10.3322867182826</v>
      </c>
    </row>
    <row r="12" customFormat="false" ht="15" hidden="false" customHeight="false" outlineLevel="0" collapsed="false">
      <c r="A12" s="39" t="n">
        <v>500</v>
      </c>
      <c r="B12" s="27" t="n">
        <f aca="false">(TCO!$C$90+TCO!$C$91*B$5+TCO!$C$92*B$5*$A12)/100000</f>
        <v>7.38866986462202</v>
      </c>
      <c r="C12" s="27" t="n">
        <f aca="false">(TCO!$C$90+TCO!$C$91*C$5+TCO!$C$92*C$5*$A12)/100000</f>
        <v>8.76061196737237</v>
      </c>
      <c r="D12" s="27" t="n">
        <f aca="false">(TCO!$C$90+TCO!$C$91*D$5+TCO!$C$92*D$5*$A12)/100000</f>
        <v>10.1325540701227</v>
      </c>
      <c r="E12" s="27" t="n">
        <f aca="false">(TCO!$C$90+TCO!$C$91*E$5+TCO!$C$92*E$5*$A12)/100000</f>
        <v>11.5044961728731</v>
      </c>
      <c r="F12" s="27" t="n">
        <f aca="false">(TCO!$C$90+TCO!$C$91*F$5+TCO!$C$92*F$5*$A12)/100000</f>
        <v>12.8764382756234</v>
      </c>
    </row>
    <row r="13" customFormat="false" ht="15" hidden="false" customHeight="false" outlineLevel="0" collapsed="false">
      <c r="A13" s="39" t="n">
        <v>600</v>
      </c>
      <c r="B13" s="27" t="n">
        <f aca="false">(TCO!$C$90+TCO!$C$91*B$5+TCO!$C$92*B$5*$A13)/100000</f>
        <v>8.47902053205382</v>
      </c>
      <c r="C13" s="27" t="n">
        <f aca="false">(TCO!$C$90+TCO!$C$91*C$5+TCO!$C$92*C$5*$A13)/100000</f>
        <v>10.2144128572814</v>
      </c>
      <c r="D13" s="27" t="n">
        <f aca="false">(TCO!$C$90+TCO!$C$91*D$5+TCO!$C$92*D$5*$A13)/100000</f>
        <v>11.949805182509</v>
      </c>
      <c r="E13" s="27" t="n">
        <f aca="false">(TCO!$C$90+TCO!$C$91*E$5+TCO!$C$92*E$5*$A13)/100000</f>
        <v>13.6851975077367</v>
      </c>
      <c r="F13" s="27" t="n">
        <f aca="false">(TCO!$C$90+TCO!$C$91*F$5+TCO!$C$92*F$5*$A13)/100000</f>
        <v>15.4205898329643</v>
      </c>
    </row>
    <row r="14" customFormat="false" ht="15" hidden="false" customHeight="false" outlineLevel="0" collapsed="false">
      <c r="A14" s="39" t="n">
        <v>800</v>
      </c>
      <c r="B14" s="27" t="n">
        <f aca="false">(TCO!$C$90+TCO!$C$91*B$5+TCO!$C$92*B$5*$A14)/100000</f>
        <v>10.6597218669174</v>
      </c>
      <c r="C14" s="27" t="n">
        <f aca="false">(TCO!$C$90+TCO!$C$91*C$5+TCO!$C$92*C$5*$A14)/100000</f>
        <v>13.1220146370996</v>
      </c>
      <c r="D14" s="27" t="n">
        <f aca="false">(TCO!$C$90+TCO!$C$91*D$5+TCO!$C$92*D$5*$A14)/100000</f>
        <v>15.5843074072817</v>
      </c>
      <c r="E14" s="27" t="n">
        <f aca="false">(TCO!$C$90+TCO!$C$91*E$5+TCO!$C$92*E$5*$A14)/100000</f>
        <v>18.0466001774639</v>
      </c>
      <c r="F14" s="27" t="n">
        <f aca="false">(TCO!$C$90+TCO!$C$91*F$5+TCO!$C$92*F$5*$A14)/100000</f>
        <v>20.508892947646</v>
      </c>
    </row>
    <row r="17" customFormat="false" ht="15" hidden="false" customHeight="false" outlineLevel="0" collapsed="false">
      <c r="A17" s="4" t="s">
        <v>759</v>
      </c>
    </row>
    <row r="18" customFormat="false" ht="15" hidden="false" customHeight="false" outlineLevel="0" collapsed="false">
      <c r="A18" s="4" t="s">
        <v>760</v>
      </c>
      <c r="B18" s="39" t="n">
        <v>9</v>
      </c>
      <c r="C18" s="39" t="n">
        <v>10</v>
      </c>
      <c r="D18" s="39" t="n">
        <v>11</v>
      </c>
      <c r="E18" s="39" t="n">
        <v>12</v>
      </c>
      <c r="F18" s="39" t="n">
        <v>13</v>
      </c>
      <c r="G18" s="39" t="n">
        <v>14</v>
      </c>
    </row>
    <row r="19" customFormat="false" ht="15" hidden="false" customHeight="false" outlineLevel="0" collapsed="false">
      <c r="A19" s="39" t="n">
        <v>100</v>
      </c>
      <c r="B19" s="27" t="n">
        <f aca="false">(TCO!$C$94-(B$18*100000-Inputs!$F$44)+TCO!$C$95*TCO!$D$6+TCO!$C$92*TCO!$D$6*$A19)/100000</f>
        <v>3.71394014566711</v>
      </c>
      <c r="C19" s="27" t="n">
        <f aca="false">(TCO!$C$94-(C$18*100000-Inputs!$F$44)+TCO!$C$95*TCO!$D$6+TCO!$C$92*TCO!$D$6*$A19)/100000</f>
        <v>2.71394014566711</v>
      </c>
      <c r="D19" s="27" t="n">
        <f aca="false">(TCO!$C$94-(D$18*100000-Inputs!$F$44)+TCO!$C$95*TCO!$D$6+TCO!$C$92*TCO!$D$6*$A19)/100000</f>
        <v>1.71394014566711</v>
      </c>
      <c r="E19" s="27" t="n">
        <f aca="false">(TCO!$C$94-(E$18*100000-Inputs!$F$44)+TCO!$C$95*TCO!$D$6+TCO!$C$92*TCO!$D$6*$A19)/100000</f>
        <v>0.713940145667113</v>
      </c>
      <c r="F19" s="27" t="n">
        <f aca="false">(TCO!$C$94-(F$18*100000-Inputs!$F$44)+TCO!$C$95*TCO!$D$6+TCO!$C$92*TCO!$D$6*$A19)/100000</f>
        <v>-0.286059854332887</v>
      </c>
      <c r="G19" s="27" t="n">
        <f aca="false">(TCO!$C$94-(G$18*100000-Inputs!$F$44)+TCO!$C$95*TCO!$D$6+TCO!$C$92*TCO!$D$6*$A19)/100000</f>
        <v>-1.28605985433289</v>
      </c>
    </row>
    <row r="20" customFormat="false" ht="15" hidden="false" customHeight="false" outlineLevel="0" collapsed="false">
      <c r="A20" s="39" t="n">
        <v>150</v>
      </c>
      <c r="B20" s="27" t="n">
        <f aca="false">(TCO!$C$94-(B$18*100000-Inputs!$F$44)+TCO!$C$95*TCO!$D$6+TCO!$C$92*TCO!$D$6*$A20)/100000</f>
        <v>4.71542723370322</v>
      </c>
      <c r="C20" s="27" t="n">
        <f aca="false">(TCO!$C$94-(C$18*100000-Inputs!$F$44)+TCO!$C$95*TCO!$D$6+TCO!$C$92*TCO!$D$6*$A20)/100000</f>
        <v>3.71542723370322</v>
      </c>
      <c r="D20" s="27" t="n">
        <f aca="false">(TCO!$C$94-(D$18*100000-Inputs!$F$44)+TCO!$C$95*TCO!$D$6+TCO!$C$92*TCO!$D$6*$A20)/100000</f>
        <v>2.71542723370322</v>
      </c>
      <c r="E20" s="27" t="n">
        <f aca="false">(TCO!$C$94-(E$18*100000-Inputs!$F$44)+TCO!$C$95*TCO!$D$6+TCO!$C$92*TCO!$D$6*$A20)/100000</f>
        <v>1.71542723370322</v>
      </c>
      <c r="F20" s="27" t="n">
        <f aca="false">(TCO!$C$94-(F$18*100000-Inputs!$F$44)+TCO!$C$95*TCO!$D$6+TCO!$C$92*TCO!$D$6*$A20)/100000</f>
        <v>0.71542723370322</v>
      </c>
      <c r="G20" s="27" t="n">
        <f aca="false">(TCO!$C$94-(G$18*100000-Inputs!$F$44)+TCO!$C$95*TCO!$D$6+TCO!$C$92*TCO!$D$6*$A20)/100000</f>
        <v>-0.28457276629678</v>
      </c>
    </row>
    <row r="21" customFormat="false" ht="15" hidden="false" customHeight="false" outlineLevel="0" collapsed="false">
      <c r="A21" s="39" t="n">
        <v>200</v>
      </c>
      <c r="B21" s="27" t="n">
        <f aca="false">(TCO!$C$94-(B$18*100000-Inputs!$F$44)+TCO!$C$95*TCO!$D$6+TCO!$C$92*TCO!$D$6*$A21)/100000</f>
        <v>5.71691432173933</v>
      </c>
      <c r="C21" s="27" t="n">
        <f aca="false">(TCO!$C$94-(C$18*100000-Inputs!$F$44)+TCO!$C$95*TCO!$D$6+TCO!$C$92*TCO!$D$6*$A21)/100000</f>
        <v>4.71691432173933</v>
      </c>
      <c r="D21" s="27" t="n">
        <f aca="false">(TCO!$C$94-(D$18*100000-Inputs!$F$44)+TCO!$C$95*TCO!$D$6+TCO!$C$92*TCO!$D$6*$A21)/100000</f>
        <v>3.71691432173933</v>
      </c>
      <c r="E21" s="27" t="n">
        <f aca="false">(TCO!$C$94-(E$18*100000-Inputs!$F$44)+TCO!$C$95*TCO!$D$6+TCO!$C$92*TCO!$D$6*$A21)/100000</f>
        <v>2.71691432173933</v>
      </c>
      <c r="F21" s="27" t="n">
        <f aca="false">(TCO!$C$94-(F$18*100000-Inputs!$F$44)+TCO!$C$95*TCO!$D$6+TCO!$C$92*TCO!$D$6*$A21)/100000</f>
        <v>1.71691432173933</v>
      </c>
      <c r="G21" s="27" t="n">
        <f aca="false">(TCO!$C$94-(G$18*100000-Inputs!$F$44)+TCO!$C$95*TCO!$D$6+TCO!$C$92*TCO!$D$6*$A21)/100000</f>
        <v>0.716914321739328</v>
      </c>
    </row>
    <row r="22" customFormat="false" ht="15" hidden="false" customHeight="false" outlineLevel="0" collapsed="false">
      <c r="A22" s="39" t="n">
        <v>250</v>
      </c>
      <c r="B22" s="27" t="n">
        <f aca="false">(TCO!$C$94-(B$18*100000-Inputs!$F$44)+TCO!$C$95*TCO!$D$6+TCO!$C$92*TCO!$D$6*$A22)/100000</f>
        <v>6.71840140977544</v>
      </c>
      <c r="C22" s="27" t="n">
        <f aca="false">(TCO!$C$94-(C$18*100000-Inputs!$F$44)+TCO!$C$95*TCO!$D$6+TCO!$C$92*TCO!$D$6*$A22)/100000</f>
        <v>5.71840140977544</v>
      </c>
      <c r="D22" s="27" t="n">
        <f aca="false">(TCO!$C$94-(D$18*100000-Inputs!$F$44)+TCO!$C$95*TCO!$D$6+TCO!$C$92*TCO!$D$6*$A22)/100000</f>
        <v>4.71840140977544</v>
      </c>
      <c r="E22" s="27" t="n">
        <f aca="false">(TCO!$C$94-(E$18*100000-Inputs!$F$44)+TCO!$C$95*TCO!$D$6+TCO!$C$92*TCO!$D$6*$A22)/100000</f>
        <v>3.71840140977544</v>
      </c>
      <c r="F22" s="27" t="n">
        <f aca="false">(TCO!$C$94-(F$18*100000-Inputs!$F$44)+TCO!$C$95*TCO!$D$6+TCO!$C$92*TCO!$D$6*$A22)/100000</f>
        <v>2.71840140977544</v>
      </c>
      <c r="G22" s="27" t="n">
        <f aca="false">(TCO!$C$94-(G$18*100000-Inputs!$F$44)+TCO!$C$95*TCO!$D$6+TCO!$C$92*TCO!$D$6*$A22)/100000</f>
        <v>1.71840140977544</v>
      </c>
    </row>
    <row r="23" customFormat="false" ht="15" hidden="false" customHeight="false" outlineLevel="0" collapsed="false">
      <c r="A23" s="39" t="n">
        <v>300</v>
      </c>
      <c r="B23" s="27" t="n">
        <f aca="false">(TCO!$C$94-(B$18*100000-Inputs!$F$44)+TCO!$C$95*TCO!$D$6+TCO!$C$92*TCO!$D$6*$A23)/100000</f>
        <v>7.71988849781154</v>
      </c>
      <c r="C23" s="27" t="n">
        <f aca="false">(TCO!$C$94-(C$18*100000-Inputs!$F$44)+TCO!$C$95*TCO!$D$6+TCO!$C$92*TCO!$D$6*$A23)/100000</f>
        <v>6.71988849781154</v>
      </c>
      <c r="D23" s="27" t="n">
        <f aca="false">(TCO!$C$94-(D$18*100000-Inputs!$F$44)+TCO!$C$95*TCO!$D$6+TCO!$C$92*TCO!$D$6*$A23)/100000</f>
        <v>5.71988849781154</v>
      </c>
      <c r="E23" s="27" t="n">
        <f aca="false">(TCO!$C$94-(E$18*100000-Inputs!$F$44)+TCO!$C$95*TCO!$D$6+TCO!$C$92*TCO!$D$6*$A23)/100000</f>
        <v>4.71988849781154</v>
      </c>
      <c r="F23" s="27" t="n">
        <f aca="false">(TCO!$C$94-(F$18*100000-Inputs!$F$44)+TCO!$C$95*TCO!$D$6+TCO!$C$92*TCO!$D$6*$A23)/100000</f>
        <v>3.71988849781154</v>
      </c>
      <c r="G23" s="27" t="n">
        <f aca="false">(TCO!$C$94-(G$18*100000-Inputs!$F$44)+TCO!$C$95*TCO!$D$6+TCO!$C$92*TCO!$D$6*$A23)/100000</f>
        <v>2.71988849781154</v>
      </c>
    </row>
    <row r="24" customFormat="false" ht="15" hidden="false" customHeight="false" outlineLevel="0" collapsed="false">
      <c r="A24" s="39" t="n">
        <v>400</v>
      </c>
      <c r="B24" s="27" t="n">
        <f aca="false">(TCO!$C$94-(B$18*100000-Inputs!$F$44)+TCO!$C$95*TCO!$D$6+TCO!$C$92*TCO!$D$6*$A24)/100000</f>
        <v>9.72286267388376</v>
      </c>
      <c r="C24" s="27" t="n">
        <f aca="false">(TCO!$C$94-(C$18*100000-Inputs!$F$44)+TCO!$C$95*TCO!$D$6+TCO!$C$92*TCO!$D$6*$A24)/100000</f>
        <v>8.72286267388376</v>
      </c>
      <c r="D24" s="27" t="n">
        <f aca="false">(TCO!$C$94-(D$18*100000-Inputs!$F$44)+TCO!$C$95*TCO!$D$6+TCO!$C$92*TCO!$D$6*$A24)/100000</f>
        <v>7.72286267388376</v>
      </c>
      <c r="E24" s="27" t="n">
        <f aca="false">(TCO!$C$94-(E$18*100000-Inputs!$F$44)+TCO!$C$95*TCO!$D$6+TCO!$C$92*TCO!$D$6*$A24)/100000</f>
        <v>6.72286267388376</v>
      </c>
      <c r="F24" s="27" t="n">
        <f aca="false">(TCO!$C$94-(F$18*100000-Inputs!$F$44)+TCO!$C$95*TCO!$D$6+TCO!$C$92*TCO!$D$6*$A24)/100000</f>
        <v>5.72286267388376</v>
      </c>
      <c r="G24" s="27" t="n">
        <f aca="false">(TCO!$C$94-(G$18*100000-Inputs!$F$44)+TCO!$C$95*TCO!$D$6+TCO!$C$92*TCO!$D$6*$A24)/100000</f>
        <v>4.72286267388376</v>
      </c>
    </row>
    <row r="25" customFormat="false" ht="15" hidden="false" customHeight="false" outlineLevel="0" collapsed="false">
      <c r="A25" s="39" t="n">
        <v>500</v>
      </c>
      <c r="B25" s="27" t="n">
        <f aca="false">(TCO!$C$94-(B$18*100000-Inputs!$F$44)+TCO!$C$95*TCO!$D$6+TCO!$C$92*TCO!$D$6*$A25)/100000</f>
        <v>11.725836849956</v>
      </c>
      <c r="C25" s="27" t="n">
        <f aca="false">(TCO!$C$94-(C$18*100000-Inputs!$F$44)+TCO!$C$95*TCO!$D$6+TCO!$C$92*TCO!$D$6*$A25)/100000</f>
        <v>10.725836849956</v>
      </c>
      <c r="D25" s="27" t="n">
        <f aca="false">(TCO!$C$94-(D$18*100000-Inputs!$F$44)+TCO!$C$95*TCO!$D$6+TCO!$C$92*TCO!$D$6*$A25)/100000</f>
        <v>9.72583684995597</v>
      </c>
      <c r="E25" s="27" t="n">
        <f aca="false">(TCO!$C$94-(E$18*100000-Inputs!$F$44)+TCO!$C$95*TCO!$D$6+TCO!$C$92*TCO!$D$6*$A25)/100000</f>
        <v>8.72583684995597</v>
      </c>
      <c r="F25" s="27" t="n">
        <f aca="false">(TCO!$C$94-(F$18*100000-Inputs!$F$44)+TCO!$C$95*TCO!$D$6+TCO!$C$92*TCO!$D$6*$A25)/100000</f>
        <v>7.72583684995597</v>
      </c>
      <c r="G25" s="27" t="n">
        <f aca="false">(TCO!$C$94-(G$18*100000-Inputs!$F$44)+TCO!$C$95*TCO!$D$6+TCO!$C$92*TCO!$D$6*$A25)/100000</f>
        <v>6.72583684995597</v>
      </c>
    </row>
    <row r="26" customFormat="false" ht="15" hidden="false" customHeight="false" outlineLevel="0" collapsed="false">
      <c r="A26" s="39" t="n">
        <v>600</v>
      </c>
      <c r="B26" s="27" t="n">
        <f aca="false">(TCO!$C$94-(B$18*100000-Inputs!$F$44)+TCO!$C$95*TCO!$D$6+TCO!$C$92*TCO!$D$6*$A26)/100000</f>
        <v>13.7288110260282</v>
      </c>
      <c r="C26" s="27" t="n">
        <f aca="false">(TCO!$C$94-(C$18*100000-Inputs!$F$44)+TCO!$C$95*TCO!$D$6+TCO!$C$92*TCO!$D$6*$A26)/100000</f>
        <v>12.7288110260282</v>
      </c>
      <c r="D26" s="27" t="n">
        <f aca="false">(TCO!$C$94-(D$18*100000-Inputs!$F$44)+TCO!$C$95*TCO!$D$6+TCO!$C$92*TCO!$D$6*$A26)/100000</f>
        <v>11.7288110260282</v>
      </c>
      <c r="E26" s="27" t="n">
        <f aca="false">(TCO!$C$94-(E$18*100000-Inputs!$F$44)+TCO!$C$95*TCO!$D$6+TCO!$C$92*TCO!$D$6*$A26)/100000</f>
        <v>10.7288110260282</v>
      </c>
      <c r="F26" s="27" t="n">
        <f aca="false">(TCO!$C$94-(F$18*100000-Inputs!$F$44)+TCO!$C$95*TCO!$D$6+TCO!$C$92*TCO!$D$6*$A26)/100000</f>
        <v>9.72881102602818</v>
      </c>
      <c r="G26" s="27" t="n">
        <f aca="false">(TCO!$C$94-(G$18*100000-Inputs!$F$44)+TCO!$C$95*TCO!$D$6+TCO!$C$92*TCO!$D$6*$A26)/100000</f>
        <v>8.72881102602818</v>
      </c>
    </row>
    <row r="27" customFormat="false" ht="15" hidden="false" customHeight="false" outlineLevel="0" collapsed="false">
      <c r="A27" s="39" t="n">
        <v>800</v>
      </c>
      <c r="B27" s="27" t="n">
        <f aca="false">(TCO!$C$94-(B$18*100000-Inputs!$F$44)+TCO!$C$95*TCO!$D$6+TCO!$C$92*TCO!$D$6*$A27)/100000</f>
        <v>17.7347593781726</v>
      </c>
      <c r="C27" s="27" t="n">
        <f aca="false">(TCO!$C$94-(C$18*100000-Inputs!$F$44)+TCO!$C$95*TCO!$D$6+TCO!$C$92*TCO!$D$6*$A27)/100000</f>
        <v>16.7347593781726</v>
      </c>
      <c r="D27" s="27" t="n">
        <f aca="false">(TCO!$C$94-(D$18*100000-Inputs!$F$44)+TCO!$C$95*TCO!$D$6+TCO!$C$92*TCO!$D$6*$A27)/100000</f>
        <v>15.7347593781726</v>
      </c>
      <c r="E27" s="27" t="n">
        <f aca="false">(TCO!$C$94-(E$18*100000-Inputs!$F$44)+TCO!$C$95*TCO!$D$6+TCO!$C$92*TCO!$D$6*$A27)/100000</f>
        <v>14.7347593781726</v>
      </c>
      <c r="F27" s="27" t="n">
        <f aca="false">(TCO!$C$94-(F$18*100000-Inputs!$F$44)+TCO!$C$95*TCO!$D$6+TCO!$C$92*TCO!$D$6*$A27)/100000</f>
        <v>13.7347593781726</v>
      </c>
      <c r="G27" s="27" t="n">
        <f aca="false">(TCO!$C$94-(G$18*100000-Inputs!$F$44)+TCO!$C$95*TCO!$D$6+TCO!$C$92*TCO!$D$6*$A27)/100000</f>
        <v>12.7347593781726</v>
      </c>
    </row>
    <row r="30" customFormat="false" ht="15" hidden="false" customHeight="false" outlineLevel="0" collapsed="false">
      <c r="A30" s="4" t="s">
        <v>761</v>
      </c>
    </row>
    <row r="31" customFormat="false" ht="15" hidden="false" customHeight="false" outlineLevel="0" collapsed="false">
      <c r="A31" s="4" t="s">
        <v>762</v>
      </c>
      <c r="B31" s="40" t="n">
        <v>1.5</v>
      </c>
      <c r="C31" s="40" t="n">
        <v>2</v>
      </c>
      <c r="D31" s="40" t="n">
        <v>2.5</v>
      </c>
      <c r="E31" s="40" t="n">
        <v>3</v>
      </c>
      <c r="F31" s="40" t="n">
        <v>4</v>
      </c>
      <c r="G31" s="40" t="n">
        <v>6</v>
      </c>
    </row>
    <row r="32" customFormat="false" ht="15" hidden="false" customHeight="false" outlineLevel="0" collapsed="false">
      <c r="A32" s="39" t="n">
        <v>100</v>
      </c>
      <c r="B32" s="27" t="n">
        <f aca="false">(TCO!$C$90+(B$31*100000-Inputs!$F$28)+TCO!$C$91*TCO!$D$6+TCO!$C$92*TCO!$D$6*$A32)/100000</f>
        <v>1.10048498033929</v>
      </c>
      <c r="C32" s="27" t="n">
        <f aca="false">(TCO!$C$90+(C$31*100000-Inputs!$F$28)+TCO!$C$91*TCO!$D$6+TCO!$C$92*TCO!$D$6*$A32)/100000</f>
        <v>1.60048498033929</v>
      </c>
      <c r="D32" s="27" t="n">
        <f aca="false">(TCO!$C$90+(D$31*100000-Inputs!$F$28)+TCO!$C$91*TCO!$D$6+TCO!$C$92*TCO!$D$6*$A32)/100000</f>
        <v>2.10048498033929</v>
      </c>
      <c r="E32" s="27" t="n">
        <f aca="false">(TCO!$C$90+(E$31*100000-Inputs!$F$28)+TCO!$C$91*TCO!$D$6+TCO!$C$92*TCO!$D$6*$A32)/100000</f>
        <v>2.60048498033929</v>
      </c>
      <c r="F32" s="27" t="n">
        <f aca="false">(TCO!$C$90+(F$31*100000-Inputs!$F$28)+TCO!$C$91*TCO!$D$6+TCO!$C$92*TCO!$D$6*$A32)/100000</f>
        <v>3.60048498033929</v>
      </c>
      <c r="G32" s="27" t="n">
        <f aca="false">(TCO!$C$90+(G$31*100000-Inputs!$F$28)+TCO!$C$91*TCO!$D$6+TCO!$C$92*TCO!$D$6*$A32)/100000</f>
        <v>5.60048498033929</v>
      </c>
    </row>
    <row r="33" customFormat="false" ht="15" hidden="false" customHeight="false" outlineLevel="0" collapsed="false">
      <c r="A33" s="39" t="n">
        <v>150</v>
      </c>
      <c r="B33" s="27" t="n">
        <f aca="false">(TCO!$C$90+(B$31*100000-Inputs!$F$28)+TCO!$C$91*TCO!$D$6+TCO!$C$92*TCO!$D$6*$A33)/100000</f>
        <v>2.1019720683754</v>
      </c>
      <c r="C33" s="27" t="n">
        <f aca="false">(TCO!$C$90+(C$31*100000-Inputs!$F$28)+TCO!$C$91*TCO!$D$6+TCO!$C$92*TCO!$D$6*$A33)/100000</f>
        <v>2.6019720683754</v>
      </c>
      <c r="D33" s="27" t="n">
        <f aca="false">(TCO!$C$90+(D$31*100000-Inputs!$F$28)+TCO!$C$91*TCO!$D$6+TCO!$C$92*TCO!$D$6*$A33)/100000</f>
        <v>3.1019720683754</v>
      </c>
      <c r="E33" s="27" t="n">
        <f aca="false">(TCO!$C$90+(E$31*100000-Inputs!$F$28)+TCO!$C$91*TCO!$D$6+TCO!$C$92*TCO!$D$6*$A33)/100000</f>
        <v>3.6019720683754</v>
      </c>
      <c r="F33" s="27" t="n">
        <f aca="false">(TCO!$C$90+(F$31*100000-Inputs!$F$28)+TCO!$C$91*TCO!$D$6+TCO!$C$92*TCO!$D$6*$A33)/100000</f>
        <v>4.6019720683754</v>
      </c>
      <c r="G33" s="27" t="n">
        <f aca="false">(TCO!$C$90+(G$31*100000-Inputs!$F$28)+TCO!$C$91*TCO!$D$6+TCO!$C$92*TCO!$D$6*$A33)/100000</f>
        <v>6.6019720683754</v>
      </c>
    </row>
    <row r="34" customFormat="false" ht="15" hidden="false" customHeight="false" outlineLevel="0" collapsed="false">
      <c r="A34" s="39" t="n">
        <v>200</v>
      </c>
      <c r="B34" s="27" t="n">
        <f aca="false">(TCO!$C$90+(B$31*100000-Inputs!$F$28)+TCO!$C$91*TCO!$D$6+TCO!$C$92*TCO!$D$6*$A34)/100000</f>
        <v>3.1034591564115</v>
      </c>
      <c r="C34" s="27" t="n">
        <f aca="false">(TCO!$C$90+(C$31*100000-Inputs!$F$28)+TCO!$C$91*TCO!$D$6+TCO!$C$92*TCO!$D$6*$A34)/100000</f>
        <v>3.6034591564115</v>
      </c>
      <c r="D34" s="27" t="n">
        <f aca="false">(TCO!$C$90+(D$31*100000-Inputs!$F$28)+TCO!$C$91*TCO!$D$6+TCO!$C$92*TCO!$D$6*$A34)/100000</f>
        <v>4.1034591564115</v>
      </c>
      <c r="E34" s="27" t="n">
        <f aca="false">(TCO!$C$90+(E$31*100000-Inputs!$F$28)+TCO!$C$91*TCO!$D$6+TCO!$C$92*TCO!$D$6*$A34)/100000</f>
        <v>4.6034591564115</v>
      </c>
      <c r="F34" s="27" t="n">
        <f aca="false">(TCO!$C$90+(F$31*100000-Inputs!$F$28)+TCO!$C$91*TCO!$D$6+TCO!$C$92*TCO!$D$6*$A34)/100000</f>
        <v>5.6034591564115</v>
      </c>
      <c r="G34" s="27" t="n">
        <f aca="false">(TCO!$C$90+(G$31*100000-Inputs!$F$28)+TCO!$C$91*TCO!$D$6+TCO!$C$92*TCO!$D$6*$A34)/100000</f>
        <v>7.6034591564115</v>
      </c>
    </row>
    <row r="35" customFormat="false" ht="15" hidden="false" customHeight="false" outlineLevel="0" collapsed="false">
      <c r="A35" s="39" t="n">
        <v>250</v>
      </c>
      <c r="B35" s="27" t="n">
        <f aca="false">(TCO!$C$90+(B$31*100000-Inputs!$F$28)+TCO!$C$91*TCO!$D$6+TCO!$C$92*TCO!$D$6*$A35)/100000</f>
        <v>4.10494624444761</v>
      </c>
      <c r="C35" s="27" t="n">
        <f aca="false">(TCO!$C$90+(C$31*100000-Inputs!$F$28)+TCO!$C$91*TCO!$D$6+TCO!$C$92*TCO!$D$6*$A35)/100000</f>
        <v>4.60494624444761</v>
      </c>
      <c r="D35" s="27" t="n">
        <f aca="false">(TCO!$C$90+(D$31*100000-Inputs!$F$28)+TCO!$C$91*TCO!$D$6+TCO!$C$92*TCO!$D$6*$A35)/100000</f>
        <v>5.10494624444761</v>
      </c>
      <c r="E35" s="27" t="n">
        <f aca="false">(TCO!$C$90+(E$31*100000-Inputs!$F$28)+TCO!$C$91*TCO!$D$6+TCO!$C$92*TCO!$D$6*$A35)/100000</f>
        <v>5.60494624444761</v>
      </c>
      <c r="F35" s="27" t="n">
        <f aca="false">(TCO!$C$90+(F$31*100000-Inputs!$F$28)+TCO!$C$91*TCO!$D$6+TCO!$C$92*TCO!$D$6*$A35)/100000</f>
        <v>6.60494624444761</v>
      </c>
      <c r="G35" s="27" t="n">
        <f aca="false">(TCO!$C$90+(G$31*100000-Inputs!$F$28)+TCO!$C$91*TCO!$D$6+TCO!$C$92*TCO!$D$6*$A35)/100000</f>
        <v>8.60494624444761</v>
      </c>
    </row>
    <row r="36" customFormat="false" ht="15" hidden="false" customHeight="false" outlineLevel="0" collapsed="false">
      <c r="A36" s="39" t="n">
        <v>300</v>
      </c>
      <c r="B36" s="27" t="n">
        <f aca="false">(TCO!$C$90+(B$31*100000-Inputs!$F$28)+TCO!$C$91*TCO!$D$6+TCO!$C$92*TCO!$D$6*$A36)/100000</f>
        <v>5.10643333248372</v>
      </c>
      <c r="C36" s="27" t="n">
        <f aca="false">(TCO!$C$90+(C$31*100000-Inputs!$F$28)+TCO!$C$91*TCO!$D$6+TCO!$C$92*TCO!$D$6*$A36)/100000</f>
        <v>5.60643333248372</v>
      </c>
      <c r="D36" s="27" t="n">
        <f aca="false">(TCO!$C$90+(D$31*100000-Inputs!$F$28)+TCO!$C$91*TCO!$D$6+TCO!$C$92*TCO!$D$6*$A36)/100000</f>
        <v>6.10643333248372</v>
      </c>
      <c r="E36" s="27" t="n">
        <f aca="false">(TCO!$C$90+(E$31*100000-Inputs!$F$28)+TCO!$C$91*TCO!$D$6+TCO!$C$92*TCO!$D$6*$A36)/100000</f>
        <v>6.60643333248372</v>
      </c>
      <c r="F36" s="27" t="n">
        <f aca="false">(TCO!$C$90+(F$31*100000-Inputs!$F$28)+TCO!$C$91*TCO!$D$6+TCO!$C$92*TCO!$D$6*$A36)/100000</f>
        <v>7.60643333248372</v>
      </c>
      <c r="G36" s="27" t="n">
        <f aca="false">(TCO!$C$90+(G$31*100000-Inputs!$F$28)+TCO!$C$91*TCO!$D$6+TCO!$C$92*TCO!$D$6*$A36)/100000</f>
        <v>9.60643333248372</v>
      </c>
    </row>
    <row r="37" customFormat="false" ht="15" hidden="false" customHeight="false" outlineLevel="0" collapsed="false">
      <c r="A37" s="39" t="n">
        <v>400</v>
      </c>
      <c r="B37" s="27" t="n">
        <f aca="false">(TCO!$C$90+(B$31*100000-Inputs!$F$28)+TCO!$C$91*TCO!$D$6+TCO!$C$92*TCO!$D$6*$A37)/100000</f>
        <v>7.10940750855593</v>
      </c>
      <c r="C37" s="27" t="n">
        <f aca="false">(TCO!$C$90+(C$31*100000-Inputs!$F$28)+TCO!$C$91*TCO!$D$6+TCO!$C$92*TCO!$D$6*$A37)/100000</f>
        <v>7.60940750855593</v>
      </c>
      <c r="D37" s="27" t="n">
        <f aca="false">(TCO!$C$90+(D$31*100000-Inputs!$F$28)+TCO!$C$91*TCO!$D$6+TCO!$C$92*TCO!$D$6*$A37)/100000</f>
        <v>8.10940750855593</v>
      </c>
      <c r="E37" s="27" t="n">
        <f aca="false">(TCO!$C$90+(E$31*100000-Inputs!$F$28)+TCO!$C$91*TCO!$D$6+TCO!$C$92*TCO!$D$6*$A37)/100000</f>
        <v>8.60940750855593</v>
      </c>
      <c r="F37" s="27" t="n">
        <f aca="false">(TCO!$C$90+(F$31*100000-Inputs!$F$28)+TCO!$C$91*TCO!$D$6+TCO!$C$92*TCO!$D$6*$A37)/100000</f>
        <v>9.60940750855593</v>
      </c>
      <c r="G37" s="27" t="n">
        <f aca="false">(TCO!$C$90+(G$31*100000-Inputs!$F$28)+TCO!$C$91*TCO!$D$6+TCO!$C$92*TCO!$D$6*$A37)/100000</f>
        <v>11.6094075085559</v>
      </c>
    </row>
    <row r="38" customFormat="false" ht="15" hidden="false" customHeight="false" outlineLevel="0" collapsed="false">
      <c r="A38" s="39" t="n">
        <v>500</v>
      </c>
      <c r="B38" s="27" t="n">
        <f aca="false">(TCO!$C$90+(B$31*100000-Inputs!$F$28)+TCO!$C$91*TCO!$D$6+TCO!$C$92*TCO!$D$6*$A38)/100000</f>
        <v>9.11238168462815</v>
      </c>
      <c r="C38" s="27" t="n">
        <f aca="false">(TCO!$C$90+(C$31*100000-Inputs!$F$28)+TCO!$C$91*TCO!$D$6+TCO!$C$92*TCO!$D$6*$A38)/100000</f>
        <v>9.61238168462815</v>
      </c>
      <c r="D38" s="27" t="n">
        <f aca="false">(TCO!$C$90+(D$31*100000-Inputs!$F$28)+TCO!$C$91*TCO!$D$6+TCO!$C$92*TCO!$D$6*$A38)/100000</f>
        <v>10.1123816846281</v>
      </c>
      <c r="E38" s="27" t="n">
        <f aca="false">(TCO!$C$90+(E$31*100000-Inputs!$F$28)+TCO!$C$91*TCO!$D$6+TCO!$C$92*TCO!$D$6*$A38)/100000</f>
        <v>10.6123816846281</v>
      </c>
      <c r="F38" s="27" t="n">
        <f aca="false">(TCO!$C$90+(F$31*100000-Inputs!$F$28)+TCO!$C$91*TCO!$D$6+TCO!$C$92*TCO!$D$6*$A38)/100000</f>
        <v>11.6123816846281</v>
      </c>
      <c r="G38" s="27" t="n">
        <f aca="false">(TCO!$C$90+(G$31*100000-Inputs!$F$28)+TCO!$C$91*TCO!$D$6+TCO!$C$92*TCO!$D$6*$A38)/100000</f>
        <v>13.6123816846281</v>
      </c>
    </row>
    <row r="39" customFormat="false" ht="15" hidden="false" customHeight="false" outlineLevel="0" collapsed="false">
      <c r="A39" s="39" t="n">
        <v>600</v>
      </c>
      <c r="B39" s="27" t="n">
        <f aca="false">(TCO!$C$90+(B$31*100000-Inputs!$F$28)+TCO!$C$91*TCO!$D$6+TCO!$C$92*TCO!$D$6*$A39)/100000</f>
        <v>11.1153558607004</v>
      </c>
      <c r="C39" s="27" t="n">
        <f aca="false">(TCO!$C$90+(C$31*100000-Inputs!$F$28)+TCO!$C$91*TCO!$D$6+TCO!$C$92*TCO!$D$6*$A39)/100000</f>
        <v>11.6153558607004</v>
      </c>
      <c r="D39" s="27" t="n">
        <f aca="false">(TCO!$C$90+(D$31*100000-Inputs!$F$28)+TCO!$C$91*TCO!$D$6+TCO!$C$92*TCO!$D$6*$A39)/100000</f>
        <v>12.1153558607004</v>
      </c>
      <c r="E39" s="27" t="n">
        <f aca="false">(TCO!$C$90+(E$31*100000-Inputs!$F$28)+TCO!$C$91*TCO!$D$6+TCO!$C$92*TCO!$D$6*$A39)/100000</f>
        <v>12.6153558607004</v>
      </c>
      <c r="F39" s="27" t="n">
        <f aca="false">(TCO!$C$90+(F$31*100000-Inputs!$F$28)+TCO!$C$91*TCO!$D$6+TCO!$C$92*TCO!$D$6*$A39)/100000</f>
        <v>13.6153558607004</v>
      </c>
      <c r="G39" s="27" t="n">
        <f aca="false">(TCO!$C$90+(G$31*100000-Inputs!$F$28)+TCO!$C$91*TCO!$D$6+TCO!$C$92*TCO!$D$6*$A39)/100000</f>
        <v>15.6153558607004</v>
      </c>
    </row>
    <row r="40" customFormat="false" ht="15" hidden="false" customHeight="false" outlineLevel="0" collapsed="false">
      <c r="A40" s="39" t="n">
        <v>800</v>
      </c>
      <c r="B40" s="27" t="n">
        <f aca="false">(TCO!$C$90+(B$31*100000-Inputs!$F$28)+TCO!$C$91*TCO!$D$6+TCO!$C$92*TCO!$D$6*$A40)/100000</f>
        <v>15.1213042128448</v>
      </c>
      <c r="C40" s="27" t="n">
        <f aca="false">(TCO!$C$90+(C$31*100000-Inputs!$F$28)+TCO!$C$91*TCO!$D$6+TCO!$C$92*TCO!$D$6*$A40)/100000</f>
        <v>15.6213042128448</v>
      </c>
      <c r="D40" s="27" t="n">
        <f aca="false">(TCO!$C$90+(D$31*100000-Inputs!$F$28)+TCO!$C$91*TCO!$D$6+TCO!$C$92*TCO!$D$6*$A40)/100000</f>
        <v>16.1213042128448</v>
      </c>
      <c r="E40" s="27" t="n">
        <f aca="false">(TCO!$C$90+(E$31*100000-Inputs!$F$28)+TCO!$C$91*TCO!$D$6+TCO!$C$92*TCO!$D$6*$A40)/100000</f>
        <v>16.6213042128448</v>
      </c>
      <c r="F40" s="27" t="n">
        <f aca="false">(TCO!$C$90+(F$31*100000-Inputs!$F$28)+TCO!$C$91*TCO!$D$6+TCO!$C$92*TCO!$D$6*$A40)/100000</f>
        <v>17.6213042128448</v>
      </c>
      <c r="G40" s="27" t="n">
        <f aca="false">(TCO!$C$90+(G$31*100000-Inputs!$F$28)+TCO!$C$91*TCO!$D$6+TCO!$C$92*TCO!$D$6*$A40)/100000</f>
        <v>19.6213042128448</v>
      </c>
    </row>
    <row r="43" customFormat="false" ht="15" hidden="false" customHeight="false" outlineLevel="0" collapsed="false">
      <c r="A43" s="4" t="s">
        <v>763</v>
      </c>
    </row>
    <row r="44" customFormat="false" ht="28.35" hidden="false" customHeight="false" outlineLevel="0" collapsed="false">
      <c r="A44" s="6" t="s">
        <v>764</v>
      </c>
      <c r="B44" s="6" t="s">
        <v>765</v>
      </c>
      <c r="C44" s="6" t="s">
        <v>766</v>
      </c>
      <c r="D44" s="6" t="s">
        <v>767</v>
      </c>
      <c r="E44" s="6" t="s">
        <v>768</v>
      </c>
      <c r="F44" s="6" t="s">
        <v>570</v>
      </c>
    </row>
    <row r="45" customFormat="false" ht="15" hidden="false" customHeight="false" outlineLevel="0" collapsed="false">
      <c r="A45" s="0" t="s">
        <v>769</v>
      </c>
      <c r="B45" s="41" t="n">
        <f aca="false">Inputs!$E$35</f>
        <v>550</v>
      </c>
      <c r="C45" s="41" t="n">
        <f aca="false">Inputs!$D$35</f>
        <v>1000</v>
      </c>
      <c r="D45" s="27" t="n">
        <f aca="false">(TCO!$C$90+TCO!$C$91*TCO!$D$6+TCO!$C$92*TCO!$D$6*B45)/100000</f>
        <v>11.8351035726643</v>
      </c>
      <c r="E45" s="27" t="n">
        <f aca="false">(TCO!$C$90+TCO!$C$91*TCO!$D$6+TCO!$C$92*TCO!$D$6*C45)/100000</f>
        <v>20.8484873649892</v>
      </c>
      <c r="F45" s="11" t="s">
        <v>770</v>
      </c>
    </row>
    <row r="46" customFormat="false" ht="15" hidden="false" customHeight="false" outlineLevel="0" collapsed="false">
      <c r="A46" s="0" t="s">
        <v>771</v>
      </c>
      <c r="B46" s="41" t="n">
        <f aca="false">Inputs!$E$28</f>
        <v>273804.958</v>
      </c>
      <c r="C46" s="41" t="n">
        <f aca="false">Inputs!$D$28</f>
        <v>402654.35</v>
      </c>
      <c r="D46" s="27" t="n">
        <f aca="false">(TCO!$C$65+(B46-Inputs!$F$28))/100000</f>
        <v>16.3593537928448</v>
      </c>
      <c r="E46" s="27" t="n">
        <f aca="false">(TCO!$C$65+(C46-Inputs!$F$28))/100000</f>
        <v>17.6478477128448</v>
      </c>
    </row>
    <row r="47" customFormat="false" ht="15" hidden="false" customHeight="false" outlineLevel="0" collapsed="false">
      <c r="A47" s="0" t="s">
        <v>497</v>
      </c>
      <c r="B47" s="41" t="n">
        <f aca="false">30000</f>
        <v>30000</v>
      </c>
      <c r="C47" s="41" t="n">
        <f aca="false">70000</f>
        <v>70000</v>
      </c>
      <c r="D47" s="27" t="n">
        <f aca="false">(TCO!$C$90+TCO!$C$91*B47+TCO!$C$92*B47*Inputs!$F$35)/100000</f>
        <v>10.6597218669174</v>
      </c>
      <c r="E47" s="27" t="n">
        <f aca="false">(TCO!$C$90+TCO!$C$91*C47+TCO!$C$92*C47*Inputs!$F$35)/100000</f>
        <v>20.508892947646</v>
      </c>
      <c r="F47" s="11" t="s">
        <v>772</v>
      </c>
    </row>
    <row r="48" customFormat="false" ht="15" hidden="false" customHeight="false" outlineLevel="0" collapsed="false">
      <c r="A48" s="0" t="s">
        <v>773</v>
      </c>
      <c r="B48" s="41" t="n">
        <f aca="false">Inputs!$E$33</f>
        <v>1.6</v>
      </c>
      <c r="C48" s="41" t="n">
        <f aca="false">Inputs!$D$33</f>
        <v>2.3</v>
      </c>
      <c r="D48" s="27" t="n">
        <f aca="false">(TCO!$C$65+TCO!$C$92*(B48/Inputs!$F$33-1)*TCO!$D$6*Inputs!$F$35)/100000</f>
        <v>14.6771615251992</v>
      </c>
      <c r="E48" s="27" t="n">
        <f aca="false">(TCO!$C$65+TCO!$C$92*(C48/Inputs!$F$33-1)*TCO!$D$6*Inputs!$F$35)/100000</f>
        <v>20.7402184906069</v>
      </c>
      <c r="F48" s="11" t="s">
        <v>774</v>
      </c>
    </row>
    <row r="49" customFormat="false" ht="15" hidden="false" customHeight="false" outlineLevel="0" collapsed="false">
      <c r="A49" s="0" t="s">
        <v>499</v>
      </c>
      <c r="B49" s="41" t="n">
        <f aca="false">Inputs!$E$18</f>
        <v>95</v>
      </c>
      <c r="C49" s="41" t="n">
        <f aca="false">Inputs!$D$18</f>
        <v>78</v>
      </c>
      <c r="D49" s="27" t="n">
        <f aca="false">(TCO!$C$65-(B49/Inputs!$F$18-1)*SUMPRODUCT(TCO!$D$8:$H$8,TCO!$D$5:$H$5)*TCO!$D$6*(1-Inputs!$F$22)/Inputs!$F$19)/100000</f>
        <v>16.2055420308077</v>
      </c>
      <c r="E49" s="27" t="n">
        <f aca="false">(TCO!$C$65-(C49/Inputs!$F$18-1)*SUMPRODUCT(TCO!$D$8:$H$8,TCO!$D$5:$H$5)*TCO!$D$6*(1-Inputs!$F$22)/Inputs!$F$19)/100000</f>
        <v>17.5591606176366</v>
      </c>
      <c r="F49" s="11" t="s">
        <v>775</v>
      </c>
    </row>
    <row r="50" customFormat="false" ht="15" hidden="false" customHeight="false" outlineLevel="0" collapsed="false">
      <c r="A50" s="0" t="s">
        <v>776</v>
      </c>
      <c r="B50" s="41" t="n">
        <f aca="false">Inputs!$E$34</f>
        <v>0.85</v>
      </c>
      <c r="C50" s="41" t="n">
        <f aca="false">Inputs!$D$34</f>
        <v>0.5</v>
      </c>
      <c r="D50" s="27" t="n">
        <f aca="false">(TCO!$C$65+(B50-Inputs!$F$34)*TCO!$D$6*(Inputs!$F$33/100*SUMPRODUCT(TCO!$D$9:$H$9,TCO!$D$5:$H$5)-SUMPRODUCT(TCO!$D$7:$H$7,TCO!$D$5:$H$5)/Inputs!$F$21))/100000</f>
        <v>18.9232136440225</v>
      </c>
      <c r="E50" s="27" t="n">
        <f aca="false">(TCO!$C$65+(C50-Inputs!$F$34)*TCO!$D$6*(Inputs!$F$33/100*SUMPRODUCT(TCO!$D$9:$H$9,TCO!$D$5:$H$5)-SUMPRODUCT(TCO!$D$7:$H$7,TCO!$D$5:$H$5)/Inputs!$F$21))/100000</f>
        <v>15.2820330394615</v>
      </c>
      <c r="F50" s="11" t="s">
        <v>777</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4" min="2" style="0" width="24"/>
    <col collapsed="false" customWidth="true" hidden="false" outlineLevel="0" max="5" min="5" style="0" width="20"/>
    <col collapsed="false" customWidth="true" hidden="false" outlineLevel="0" max="6" min="6" style="0" width="60"/>
  </cols>
  <sheetData>
    <row r="1" customFormat="false" ht="17.35" hidden="false" customHeight="false" outlineLevel="0" collapsed="false">
      <c r="A1" s="1" t="s">
        <v>778</v>
      </c>
    </row>
    <row r="2" customFormat="false" ht="15" hidden="false" customHeight="false" outlineLevel="0" collapsed="false">
      <c r="A2" s="2" t="s">
        <v>779</v>
      </c>
    </row>
    <row r="4" customFormat="false" ht="28.35" hidden="false" customHeight="false" outlineLevel="0" collapsed="false">
      <c r="A4" s="6" t="s">
        <v>780</v>
      </c>
      <c r="B4" s="6" t="s">
        <v>781</v>
      </c>
      <c r="C4" s="6" t="s">
        <v>782</v>
      </c>
      <c r="D4" s="6" t="s">
        <v>783</v>
      </c>
      <c r="E4" s="6" t="s">
        <v>784</v>
      </c>
      <c r="F4" s="6" t="s">
        <v>785</v>
      </c>
    </row>
    <row r="5" customFormat="false" ht="15" hidden="false" customHeight="false" outlineLevel="0" collapsed="false">
      <c r="A5" s="3" t="s">
        <v>786</v>
      </c>
      <c r="B5" s="3" t="s">
        <v>787</v>
      </c>
      <c r="C5" s="3" t="s">
        <v>788</v>
      </c>
      <c r="D5" s="3" t="s">
        <v>789</v>
      </c>
      <c r="E5" s="3" t="s">
        <v>787</v>
      </c>
      <c r="F5" s="3" t="s">
        <v>790</v>
      </c>
    </row>
    <row r="6" customFormat="false" ht="28.35" hidden="false" customHeight="false" outlineLevel="0" collapsed="false">
      <c r="A6" s="3" t="s">
        <v>791</v>
      </c>
      <c r="B6" s="3" t="s">
        <v>792</v>
      </c>
      <c r="C6" s="3" t="s">
        <v>793</v>
      </c>
      <c r="D6" s="3" t="s">
        <v>794</v>
      </c>
      <c r="E6" s="3" t="s">
        <v>795</v>
      </c>
      <c r="F6" s="3" t="s">
        <v>796</v>
      </c>
    </row>
    <row r="7" customFormat="false" ht="15" hidden="false" customHeight="false" outlineLevel="0" collapsed="false">
      <c r="A7" s="3" t="s">
        <v>797</v>
      </c>
      <c r="B7" s="3" t="s">
        <v>798</v>
      </c>
      <c r="C7" s="3" t="s">
        <v>799</v>
      </c>
      <c r="D7" s="3" t="s">
        <v>800</v>
      </c>
      <c r="E7" s="3" t="s">
        <v>801</v>
      </c>
      <c r="F7" s="3" t="s">
        <v>790</v>
      </c>
    </row>
    <row r="8" customFormat="false" ht="15" hidden="false" customHeight="false" outlineLevel="0" collapsed="false">
      <c r="A8" s="3" t="s">
        <v>802</v>
      </c>
      <c r="B8" s="3" t="s">
        <v>803</v>
      </c>
      <c r="C8" s="3" t="s">
        <v>804</v>
      </c>
      <c r="D8" s="3" t="s">
        <v>805</v>
      </c>
      <c r="E8" s="3" t="s">
        <v>806</v>
      </c>
      <c r="F8" s="3" t="s">
        <v>790</v>
      </c>
    </row>
    <row r="9" customFormat="false" ht="28.35" hidden="false" customHeight="false" outlineLevel="0" collapsed="false">
      <c r="A9" s="3" t="s">
        <v>807</v>
      </c>
      <c r="B9" s="3" t="s">
        <v>808</v>
      </c>
      <c r="C9" s="3" t="s">
        <v>809</v>
      </c>
      <c r="D9" s="3" t="s">
        <v>809</v>
      </c>
      <c r="E9" s="3" t="s">
        <v>810</v>
      </c>
      <c r="F9" s="3" t="s">
        <v>790</v>
      </c>
    </row>
    <row r="10" customFormat="false" ht="15" hidden="false" customHeight="false" outlineLevel="0" collapsed="false">
      <c r="A10" s="3" t="s">
        <v>811</v>
      </c>
      <c r="B10" s="3" t="s">
        <v>812</v>
      </c>
      <c r="C10" s="3" t="s">
        <v>813</v>
      </c>
      <c r="D10" s="3" t="s">
        <v>814</v>
      </c>
      <c r="E10" s="3" t="s">
        <v>815</v>
      </c>
      <c r="F10" s="3" t="s">
        <v>790</v>
      </c>
    </row>
    <row r="11" customFormat="false" ht="15" hidden="false" customHeight="false" outlineLevel="0" collapsed="false">
      <c r="A11" s="3" t="s">
        <v>816</v>
      </c>
      <c r="B11" s="3" t="s">
        <v>817</v>
      </c>
      <c r="C11" s="3" t="s">
        <v>818</v>
      </c>
      <c r="D11" s="3" t="s">
        <v>819</v>
      </c>
      <c r="E11" s="3" t="s">
        <v>820</v>
      </c>
      <c r="F11" s="3" t="s">
        <v>821</v>
      </c>
    </row>
    <row r="12" customFormat="false" ht="15" hidden="false" customHeight="false" outlineLevel="0" collapsed="false">
      <c r="A12" s="3" t="s">
        <v>822</v>
      </c>
      <c r="B12" s="3" t="s">
        <v>823</v>
      </c>
      <c r="C12" s="3" t="s">
        <v>824</v>
      </c>
      <c r="D12" s="3" t="s">
        <v>825</v>
      </c>
      <c r="E12" s="3" t="s">
        <v>826</v>
      </c>
      <c r="F12" s="3" t="s">
        <v>827</v>
      </c>
    </row>
    <row r="13" customFormat="false" ht="28.35" hidden="false" customHeight="false" outlineLevel="0" collapsed="false">
      <c r="A13" s="3" t="s">
        <v>828</v>
      </c>
      <c r="B13" s="3" t="s">
        <v>829</v>
      </c>
      <c r="C13" s="3" t="s">
        <v>830</v>
      </c>
      <c r="D13" s="3" t="s">
        <v>831</v>
      </c>
      <c r="E13" s="3" t="s">
        <v>832</v>
      </c>
      <c r="F13" s="3" t="s">
        <v>833</v>
      </c>
    </row>
    <row r="14" customFormat="false" ht="28.35" hidden="false" customHeight="false" outlineLevel="0" collapsed="false">
      <c r="A14" s="3" t="s">
        <v>834</v>
      </c>
      <c r="B14" s="3" t="s">
        <v>835</v>
      </c>
      <c r="C14" s="3" t="s">
        <v>836</v>
      </c>
      <c r="D14" s="3" t="s">
        <v>837</v>
      </c>
      <c r="E14" s="3" t="s">
        <v>837</v>
      </c>
      <c r="F14" s="3" t="s">
        <v>838</v>
      </c>
    </row>
    <row r="15" customFormat="false" ht="15" hidden="false" customHeight="false" outlineLevel="0" collapsed="false">
      <c r="A15" s="3" t="s">
        <v>839</v>
      </c>
      <c r="B15" s="3" t="s">
        <v>840</v>
      </c>
      <c r="C15" s="3" t="s">
        <v>841</v>
      </c>
      <c r="D15" s="3" t="s">
        <v>842</v>
      </c>
      <c r="E15" s="3" t="s">
        <v>843</v>
      </c>
      <c r="F15" s="3" t="s">
        <v>844</v>
      </c>
    </row>
    <row r="16" customFormat="false" ht="41.75" hidden="false" customHeight="false" outlineLevel="0" collapsed="false">
      <c r="A16" s="3" t="s">
        <v>845</v>
      </c>
      <c r="B16" s="3" t="s">
        <v>846</v>
      </c>
      <c r="C16" s="3" t="s">
        <v>847</v>
      </c>
      <c r="D16" s="3" t="s">
        <v>848</v>
      </c>
      <c r="E16" s="3" t="s">
        <v>849</v>
      </c>
      <c r="F16" s="3"/>
    </row>
    <row r="19" customFormat="false" ht="15" hidden="false" customHeight="false" outlineLevel="0" collapsed="false">
      <c r="A19" s="4" t="s">
        <v>850</v>
      </c>
    </row>
    <row r="20" customFormat="false" ht="28.35" hidden="false" customHeight="false" outlineLevel="0" collapsed="false">
      <c r="A20" s="6" t="s">
        <v>780</v>
      </c>
      <c r="B20" s="6" t="s">
        <v>851</v>
      </c>
      <c r="C20" s="6" t="s">
        <v>852</v>
      </c>
      <c r="D20" s="6" t="s">
        <v>853</v>
      </c>
      <c r="E20" s="6" t="s">
        <v>854</v>
      </c>
      <c r="F20" s="6" t="s">
        <v>653</v>
      </c>
    </row>
    <row r="21" customFormat="false" ht="41.75" hidden="false" customHeight="false" outlineLevel="0" collapsed="false">
      <c r="A21" s="3" t="s">
        <v>855</v>
      </c>
      <c r="B21" s="3" t="s">
        <v>856</v>
      </c>
      <c r="C21" s="3" t="s">
        <v>857</v>
      </c>
      <c r="D21" s="3" t="s">
        <v>858</v>
      </c>
      <c r="E21" s="3" t="s">
        <v>859</v>
      </c>
      <c r="F21" s="3" t="s">
        <v>860</v>
      </c>
    </row>
    <row r="22" customFormat="false" ht="28.35" hidden="false" customHeight="false" outlineLevel="0" collapsed="false">
      <c r="A22" s="3" t="s">
        <v>861</v>
      </c>
      <c r="B22" s="42" t="n">
        <f aca="false">BOM!$F$42</f>
        <v>3.2212348</v>
      </c>
      <c r="C22" s="3" t="s">
        <v>862</v>
      </c>
      <c r="D22" s="42" t="n">
        <f aca="false">Inputs!$F$44/100000</f>
        <v>10.5</v>
      </c>
      <c r="E22" s="3" t="s">
        <v>863</v>
      </c>
      <c r="F22" s="3" t="s">
        <v>864</v>
      </c>
    </row>
    <row r="23" customFormat="false" ht="28.35" hidden="false" customHeight="false" outlineLevel="0" collapsed="false">
      <c r="A23" s="3" t="s">
        <v>865</v>
      </c>
      <c r="B23" s="42" t="n">
        <f aca="false">TCO!$C$72</f>
        <v>12</v>
      </c>
      <c r="C23" s="3" t="s">
        <v>866</v>
      </c>
      <c r="D23" s="42" t="n">
        <f aca="false">TCO!$C$71</f>
        <v>1.53</v>
      </c>
      <c r="E23" s="42" t="n">
        <f aca="false">TCO!$C$73</f>
        <v>3.646</v>
      </c>
      <c r="F23" s="3" t="s">
        <v>867</v>
      </c>
    </row>
    <row r="24" customFormat="false" ht="28.35" hidden="false" customHeight="false" outlineLevel="0" collapsed="false">
      <c r="A24" s="3" t="s">
        <v>868</v>
      </c>
      <c r="B24" s="42" t="n">
        <f aca="false">Energy_Range!$B$17</f>
        <v>60.6486486486486</v>
      </c>
      <c r="C24" s="3" t="s">
        <v>869</v>
      </c>
      <c r="D24" s="3" t="s">
        <v>870</v>
      </c>
      <c r="E24" s="3" t="s">
        <v>871</v>
      </c>
      <c r="F24" s="3" t="s">
        <v>872</v>
      </c>
    </row>
    <row r="25" customFormat="false" ht="41.75" hidden="false" customHeight="false" outlineLevel="0" collapsed="false">
      <c r="A25" s="3" t="s">
        <v>873</v>
      </c>
      <c r="B25" s="3" t="s">
        <v>874</v>
      </c>
      <c r="C25" s="3" t="s">
        <v>875</v>
      </c>
      <c r="D25" s="3" t="s">
        <v>876</v>
      </c>
      <c r="E25" s="3" t="s">
        <v>875</v>
      </c>
      <c r="F25" s="3" t="s">
        <v>877</v>
      </c>
    </row>
    <row r="26" customFormat="false" ht="15" hidden="false" customHeight="false" outlineLevel="0" collapsed="false">
      <c r="A26" s="3" t="s">
        <v>878</v>
      </c>
      <c r="B26" s="42" t="n">
        <f aca="false">Inputs!$F$70</f>
        <v>0.52</v>
      </c>
      <c r="C26" s="3" t="s">
        <v>879</v>
      </c>
      <c r="D26" s="3" t="s">
        <v>880</v>
      </c>
      <c r="E26" s="3" t="s">
        <v>881</v>
      </c>
      <c r="F26" s="3" t="s">
        <v>882</v>
      </c>
    </row>
    <row r="27" customFormat="false" ht="15" hidden="false" customHeight="false" outlineLevel="0" collapsed="false">
      <c r="A27" s="3" t="s">
        <v>883</v>
      </c>
      <c r="B27" s="3" t="s">
        <v>884</v>
      </c>
      <c r="C27" s="3" t="s">
        <v>885</v>
      </c>
      <c r="D27" s="3" t="s">
        <v>886</v>
      </c>
      <c r="E27" s="3" t="s">
        <v>887</v>
      </c>
      <c r="F27" s="3" t="s">
        <v>888</v>
      </c>
    </row>
    <row r="28" customFormat="false" ht="41.75" hidden="false" customHeight="false" outlineLevel="0" collapsed="false">
      <c r="A28" s="3" t="s">
        <v>889</v>
      </c>
      <c r="B28" s="3" t="s">
        <v>890</v>
      </c>
      <c r="C28" s="3" t="s">
        <v>891</v>
      </c>
      <c r="D28" s="3" t="s">
        <v>892</v>
      </c>
      <c r="E28" s="3" t="s">
        <v>892</v>
      </c>
      <c r="F28" s="3" t="s">
        <v>893</v>
      </c>
    </row>
    <row r="29" customFormat="false" ht="41.75" hidden="false" customHeight="false" outlineLevel="0" collapsed="false">
      <c r="A29" s="3" t="s">
        <v>894</v>
      </c>
      <c r="B29" s="3" t="s">
        <v>895</v>
      </c>
      <c r="C29" s="3" t="s">
        <v>896</v>
      </c>
      <c r="D29" s="3" t="s">
        <v>897</v>
      </c>
      <c r="E29" s="3" t="s">
        <v>897</v>
      </c>
      <c r="F29" s="3" t="s">
        <v>898</v>
      </c>
    </row>
    <row r="30" customFormat="false" ht="55.2" hidden="false" customHeight="false" outlineLevel="0" collapsed="false">
      <c r="A30" s="3" t="s">
        <v>899</v>
      </c>
      <c r="B30" s="3" t="s">
        <v>900</v>
      </c>
      <c r="C30" s="3" t="s">
        <v>901</v>
      </c>
      <c r="D30" s="3" t="s">
        <v>902</v>
      </c>
      <c r="E30" s="3" t="s">
        <v>903</v>
      </c>
      <c r="F30" s="3"/>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24"/>
    <col collapsed="false" customWidth="true" hidden="false" outlineLevel="0" max="4" min="4" style="0" width="44"/>
    <col collapsed="false" customWidth="true" hidden="false" outlineLevel="0" max="5" min="5" style="0" width="50"/>
    <col collapsed="false" customWidth="true" hidden="false" outlineLevel="0" max="6" min="6" style="0" width="16"/>
    <col collapsed="false" customWidth="true" hidden="false" outlineLevel="0" max="7" min="7" style="0" width="20"/>
    <col collapsed="false" customWidth="true" hidden="false" outlineLevel="0" max="9" min="8" style="0" width="12"/>
    <col collapsed="false" customWidth="true" hidden="false" outlineLevel="0" max="10" min="10" style="0" width="14"/>
    <col collapsed="false" customWidth="true" hidden="false" outlineLevel="0" max="11" min="11" style="0" width="40"/>
  </cols>
  <sheetData>
    <row r="1" customFormat="false" ht="17.35" hidden="false" customHeight="false" outlineLevel="0" collapsed="false">
      <c r="A1" s="1" t="s">
        <v>904</v>
      </c>
    </row>
    <row r="2" customFormat="false" ht="15" hidden="false" customHeight="false" outlineLevel="0" collapsed="false">
      <c r="A2" s="2" t="s">
        <v>905</v>
      </c>
    </row>
    <row r="4" customFormat="false" ht="28.35" hidden="false" customHeight="false" outlineLevel="0" collapsed="false">
      <c r="A4" s="6" t="s">
        <v>906</v>
      </c>
      <c r="B4" s="6" t="s">
        <v>907</v>
      </c>
      <c r="C4" s="6" t="s">
        <v>908</v>
      </c>
      <c r="D4" s="6" t="s">
        <v>909</v>
      </c>
      <c r="E4" s="6" t="s">
        <v>910</v>
      </c>
      <c r="F4" s="6" t="s">
        <v>911</v>
      </c>
      <c r="G4" s="6" t="s">
        <v>912</v>
      </c>
      <c r="H4" s="6" t="s">
        <v>913</v>
      </c>
      <c r="I4" s="6" t="s">
        <v>22</v>
      </c>
      <c r="J4" s="6" t="s">
        <v>914</v>
      </c>
      <c r="K4" s="6" t="s">
        <v>915</v>
      </c>
    </row>
    <row r="5" customFormat="false" ht="55.2" hidden="false" customHeight="false" outlineLevel="0" collapsed="false">
      <c r="A5" s="3" t="s">
        <v>916</v>
      </c>
      <c r="B5" s="3" t="s">
        <v>917</v>
      </c>
      <c r="C5" s="3" t="s">
        <v>918</v>
      </c>
      <c r="D5" s="3" t="s">
        <v>919</v>
      </c>
      <c r="E5" s="3" t="s">
        <v>920</v>
      </c>
      <c r="F5" s="3" t="s">
        <v>921</v>
      </c>
      <c r="G5" s="3" t="s">
        <v>922</v>
      </c>
      <c r="H5" s="3" t="s">
        <v>923</v>
      </c>
      <c r="I5" s="3" t="s">
        <v>924</v>
      </c>
      <c r="J5" s="3" t="s">
        <v>925</v>
      </c>
      <c r="K5" s="3" t="s">
        <v>926</v>
      </c>
    </row>
    <row r="6" customFormat="false" ht="28.35" hidden="false" customHeight="false" outlineLevel="0" collapsed="false">
      <c r="A6" s="3" t="s">
        <v>205</v>
      </c>
      <c r="B6" s="3" t="s">
        <v>927</v>
      </c>
      <c r="C6" s="3" t="s">
        <v>928</v>
      </c>
      <c r="D6" s="3" t="s">
        <v>929</v>
      </c>
      <c r="E6" s="3" t="s">
        <v>930</v>
      </c>
      <c r="F6" s="3" t="s">
        <v>931</v>
      </c>
      <c r="G6" s="3" t="s">
        <v>932</v>
      </c>
      <c r="H6" s="3" t="s">
        <v>933</v>
      </c>
      <c r="I6" s="3" t="s">
        <v>924</v>
      </c>
      <c r="J6" s="3" t="s">
        <v>925</v>
      </c>
      <c r="K6" s="3" t="s">
        <v>934</v>
      </c>
    </row>
    <row r="7" customFormat="false" ht="28.35" hidden="false" customHeight="false" outlineLevel="0" collapsed="false">
      <c r="A7" s="3" t="s">
        <v>87</v>
      </c>
      <c r="B7" s="3" t="s">
        <v>935</v>
      </c>
      <c r="C7" s="3" t="s">
        <v>936</v>
      </c>
      <c r="D7" s="3" t="s">
        <v>937</v>
      </c>
      <c r="E7" s="3" t="s">
        <v>938</v>
      </c>
      <c r="F7" s="3" t="s">
        <v>939</v>
      </c>
      <c r="G7" s="3" t="s">
        <v>940</v>
      </c>
      <c r="H7" s="3" t="s">
        <v>941</v>
      </c>
      <c r="I7" s="3" t="s">
        <v>942</v>
      </c>
      <c r="J7" s="3" t="s">
        <v>925</v>
      </c>
      <c r="K7" s="3" t="s">
        <v>943</v>
      </c>
    </row>
    <row r="8" customFormat="false" ht="55.2" hidden="false" customHeight="false" outlineLevel="0" collapsed="false">
      <c r="A8" s="3" t="s">
        <v>944</v>
      </c>
      <c r="B8" s="3" t="s">
        <v>945</v>
      </c>
      <c r="C8" s="3" t="s">
        <v>936</v>
      </c>
      <c r="D8" s="3" t="s">
        <v>946</v>
      </c>
      <c r="E8" s="3" t="s">
        <v>947</v>
      </c>
      <c r="F8" s="3" t="s">
        <v>948</v>
      </c>
      <c r="G8" s="3" t="s">
        <v>949</v>
      </c>
      <c r="H8" s="3" t="s">
        <v>941</v>
      </c>
      <c r="I8" s="3" t="s">
        <v>76</v>
      </c>
      <c r="J8" s="3" t="s">
        <v>950</v>
      </c>
      <c r="K8" s="3" t="s">
        <v>951</v>
      </c>
    </row>
    <row r="9" customFormat="false" ht="41.75" hidden="false" customHeight="false" outlineLevel="0" collapsed="false">
      <c r="A9" s="3" t="s">
        <v>952</v>
      </c>
      <c r="B9" s="3" t="s">
        <v>953</v>
      </c>
      <c r="C9" s="3" t="s">
        <v>936</v>
      </c>
      <c r="D9" s="3" t="s">
        <v>954</v>
      </c>
      <c r="E9" s="3" t="s">
        <v>955</v>
      </c>
      <c r="F9" s="3" t="s">
        <v>956</v>
      </c>
      <c r="G9" s="3" t="s">
        <v>957</v>
      </c>
      <c r="H9" s="3" t="s">
        <v>941</v>
      </c>
      <c r="I9" s="3" t="s">
        <v>958</v>
      </c>
      <c r="J9" s="3" t="s">
        <v>925</v>
      </c>
      <c r="K9" s="3" t="s">
        <v>951</v>
      </c>
    </row>
    <row r="10" customFormat="false" ht="28.35" hidden="false" customHeight="false" outlineLevel="0" collapsed="false">
      <c r="A10" s="3" t="s">
        <v>959</v>
      </c>
      <c r="B10" s="3" t="s">
        <v>960</v>
      </c>
      <c r="C10" s="3" t="s">
        <v>936</v>
      </c>
      <c r="D10" s="3" t="s">
        <v>961</v>
      </c>
      <c r="E10" s="3" t="s">
        <v>962</v>
      </c>
      <c r="F10" s="3" t="s">
        <v>939</v>
      </c>
      <c r="G10" s="3" t="s">
        <v>957</v>
      </c>
      <c r="H10" s="3" t="s">
        <v>941</v>
      </c>
      <c r="I10" s="3" t="s">
        <v>963</v>
      </c>
      <c r="J10" s="3" t="s">
        <v>925</v>
      </c>
      <c r="K10" s="3" t="s">
        <v>964</v>
      </c>
    </row>
    <row r="11" customFormat="false" ht="15" hidden="false" customHeight="false" outlineLevel="0" collapsed="false">
      <c r="A11" s="3" t="s">
        <v>965</v>
      </c>
      <c r="B11" s="3" t="s">
        <v>966</v>
      </c>
      <c r="C11" s="3" t="s">
        <v>936</v>
      </c>
      <c r="D11" s="3" t="s">
        <v>967</v>
      </c>
      <c r="E11" s="3" t="s">
        <v>968</v>
      </c>
      <c r="F11" s="3" t="s">
        <v>939</v>
      </c>
      <c r="G11" s="3" t="s">
        <v>969</v>
      </c>
      <c r="H11" s="3" t="s">
        <v>941</v>
      </c>
      <c r="I11" s="3" t="s">
        <v>970</v>
      </c>
      <c r="J11" s="3" t="s">
        <v>925</v>
      </c>
      <c r="K11" s="3" t="s">
        <v>951</v>
      </c>
    </row>
    <row r="12" customFormat="false" ht="15" hidden="false" customHeight="false" outlineLevel="0" collapsed="false">
      <c r="A12" s="3" t="s">
        <v>971</v>
      </c>
      <c r="B12" s="3" t="s">
        <v>972</v>
      </c>
      <c r="C12" s="3" t="s">
        <v>936</v>
      </c>
      <c r="D12" s="3" t="s">
        <v>973</v>
      </c>
      <c r="E12" s="3" t="s">
        <v>974</v>
      </c>
      <c r="F12" s="3" t="s">
        <v>939</v>
      </c>
      <c r="G12" s="3" t="s">
        <v>925</v>
      </c>
      <c r="H12" s="3" t="s">
        <v>941</v>
      </c>
      <c r="I12" s="3" t="s">
        <v>975</v>
      </c>
      <c r="J12" s="3" t="s">
        <v>925</v>
      </c>
      <c r="K12" s="3" t="s">
        <v>951</v>
      </c>
    </row>
    <row r="13" customFormat="false" ht="15" hidden="false" customHeight="false" outlineLevel="0" collapsed="false">
      <c r="A13" s="3" t="s">
        <v>976</v>
      </c>
      <c r="B13" s="3" t="s">
        <v>977</v>
      </c>
      <c r="C13" s="3" t="s">
        <v>936</v>
      </c>
      <c r="D13" s="3" t="s">
        <v>978</v>
      </c>
      <c r="E13" s="3" t="s">
        <v>979</v>
      </c>
      <c r="F13" s="3" t="s">
        <v>939</v>
      </c>
      <c r="G13" s="3" t="s">
        <v>925</v>
      </c>
      <c r="H13" s="3" t="s">
        <v>941</v>
      </c>
      <c r="I13" s="3" t="s">
        <v>980</v>
      </c>
      <c r="J13" s="3" t="s">
        <v>925</v>
      </c>
      <c r="K13" s="3" t="s">
        <v>951</v>
      </c>
    </row>
    <row r="14" customFormat="false" ht="41.75" hidden="false" customHeight="false" outlineLevel="0" collapsed="false">
      <c r="A14" s="3" t="s">
        <v>981</v>
      </c>
      <c r="B14" s="3" t="s">
        <v>982</v>
      </c>
      <c r="C14" s="3" t="s">
        <v>936</v>
      </c>
      <c r="D14" s="3" t="s">
        <v>983</v>
      </c>
      <c r="E14" s="3" t="s">
        <v>984</v>
      </c>
      <c r="F14" s="3" t="s">
        <v>985</v>
      </c>
      <c r="G14" s="3" t="s">
        <v>949</v>
      </c>
      <c r="H14" s="3" t="s">
        <v>941</v>
      </c>
      <c r="I14" s="3" t="s">
        <v>980</v>
      </c>
      <c r="J14" s="3" t="s">
        <v>925</v>
      </c>
      <c r="K14" s="3" t="s">
        <v>986</v>
      </c>
    </row>
    <row r="15" customFormat="false" ht="28.35" hidden="false" customHeight="false" outlineLevel="0" collapsed="false">
      <c r="A15" s="3" t="s">
        <v>987</v>
      </c>
      <c r="B15" s="3" t="s">
        <v>988</v>
      </c>
      <c r="C15" s="3" t="s">
        <v>936</v>
      </c>
      <c r="D15" s="3" t="s">
        <v>989</v>
      </c>
      <c r="E15" s="3" t="s">
        <v>990</v>
      </c>
      <c r="F15" s="3" t="s">
        <v>991</v>
      </c>
      <c r="G15" s="3" t="s">
        <v>925</v>
      </c>
      <c r="H15" s="3" t="s">
        <v>941</v>
      </c>
      <c r="I15" s="3" t="s">
        <v>992</v>
      </c>
      <c r="J15" s="3" t="s">
        <v>925</v>
      </c>
      <c r="K15" s="3" t="s">
        <v>951</v>
      </c>
    </row>
    <row r="16" customFormat="false" ht="55.2" hidden="false" customHeight="false" outlineLevel="0" collapsed="false">
      <c r="A16" s="3" t="s">
        <v>993</v>
      </c>
      <c r="B16" s="3" t="s">
        <v>994</v>
      </c>
      <c r="C16" s="3" t="s">
        <v>936</v>
      </c>
      <c r="D16" s="3" t="s">
        <v>995</v>
      </c>
      <c r="E16" s="3" t="s">
        <v>996</v>
      </c>
      <c r="F16" s="3" t="s">
        <v>956</v>
      </c>
      <c r="G16" s="3" t="s">
        <v>925</v>
      </c>
      <c r="H16" s="3" t="s">
        <v>941</v>
      </c>
      <c r="I16" s="3" t="s">
        <v>963</v>
      </c>
      <c r="J16" s="3" t="s">
        <v>925</v>
      </c>
      <c r="K16" s="3" t="s">
        <v>951</v>
      </c>
    </row>
    <row r="17" customFormat="false" ht="41.75" hidden="false" customHeight="false" outlineLevel="0" collapsed="false">
      <c r="A17" s="3" t="s">
        <v>997</v>
      </c>
      <c r="B17" s="3" t="s">
        <v>998</v>
      </c>
      <c r="C17" s="3" t="s">
        <v>936</v>
      </c>
      <c r="D17" s="3" t="s">
        <v>999</v>
      </c>
      <c r="E17" s="3" t="s">
        <v>1000</v>
      </c>
      <c r="F17" s="3" t="s">
        <v>1001</v>
      </c>
      <c r="G17" s="3" t="s">
        <v>949</v>
      </c>
      <c r="H17" s="3" t="s">
        <v>941</v>
      </c>
      <c r="I17" s="3" t="s">
        <v>970</v>
      </c>
      <c r="J17" s="3" t="s">
        <v>925</v>
      </c>
      <c r="K17" s="3" t="s">
        <v>951</v>
      </c>
    </row>
    <row r="18" customFormat="false" ht="15" hidden="false" customHeight="false" outlineLevel="0" collapsed="false">
      <c r="A18" s="3" t="s">
        <v>1002</v>
      </c>
      <c r="B18" s="3" t="s">
        <v>1003</v>
      </c>
      <c r="C18" s="3" t="s">
        <v>936</v>
      </c>
      <c r="D18" s="3" t="s">
        <v>1004</v>
      </c>
      <c r="E18" s="3" t="s">
        <v>1005</v>
      </c>
      <c r="F18" s="3" t="s">
        <v>939</v>
      </c>
      <c r="G18" s="3" t="s">
        <v>969</v>
      </c>
      <c r="H18" s="3" t="s">
        <v>941</v>
      </c>
      <c r="I18" s="3" t="s">
        <v>970</v>
      </c>
      <c r="J18" s="3" t="s">
        <v>925</v>
      </c>
      <c r="K18" s="3" t="s">
        <v>951</v>
      </c>
    </row>
    <row r="19" customFormat="false" ht="28.35" hidden="false" customHeight="false" outlineLevel="0" collapsed="false">
      <c r="A19" s="3" t="s">
        <v>1006</v>
      </c>
      <c r="B19" s="3" t="s">
        <v>1007</v>
      </c>
      <c r="C19" s="3" t="s">
        <v>936</v>
      </c>
      <c r="D19" s="3" t="s">
        <v>1008</v>
      </c>
      <c r="E19" s="3" t="s">
        <v>1009</v>
      </c>
      <c r="F19" s="3" t="s">
        <v>939</v>
      </c>
      <c r="G19" s="3" t="s">
        <v>925</v>
      </c>
      <c r="H19" s="3" t="s">
        <v>941</v>
      </c>
      <c r="I19" s="3" t="s">
        <v>1010</v>
      </c>
      <c r="J19" s="3" t="s">
        <v>925</v>
      </c>
      <c r="K19" s="3" t="s">
        <v>951</v>
      </c>
    </row>
    <row r="20" customFormat="false" ht="41.75" hidden="false" customHeight="false" outlineLevel="0" collapsed="false">
      <c r="A20" s="3" t="s">
        <v>1011</v>
      </c>
      <c r="B20" s="3" t="s">
        <v>1012</v>
      </c>
      <c r="C20" s="3" t="s">
        <v>936</v>
      </c>
      <c r="D20" s="3" t="s">
        <v>1013</v>
      </c>
      <c r="E20" s="3" t="s">
        <v>1014</v>
      </c>
      <c r="F20" s="3" t="s">
        <v>1015</v>
      </c>
      <c r="G20" s="3" t="s">
        <v>949</v>
      </c>
      <c r="H20" s="3" t="s">
        <v>941</v>
      </c>
      <c r="I20" s="3" t="s">
        <v>1016</v>
      </c>
      <c r="J20" s="3" t="s">
        <v>925</v>
      </c>
      <c r="K20" s="3" t="s">
        <v>951</v>
      </c>
    </row>
    <row r="21" customFormat="false" ht="15" hidden="false" customHeight="false" outlineLevel="0" collapsed="false">
      <c r="A21" s="3" t="s">
        <v>1017</v>
      </c>
      <c r="B21" s="3" t="s">
        <v>1018</v>
      </c>
      <c r="C21" s="3" t="s">
        <v>936</v>
      </c>
      <c r="D21" s="3" t="s">
        <v>1019</v>
      </c>
      <c r="E21" s="3" t="s">
        <v>1020</v>
      </c>
      <c r="F21" s="3" t="s">
        <v>939</v>
      </c>
      <c r="G21" s="3" t="s">
        <v>925</v>
      </c>
      <c r="H21" s="3" t="s">
        <v>941</v>
      </c>
      <c r="I21" s="3" t="s">
        <v>1021</v>
      </c>
      <c r="J21" s="3" t="s">
        <v>925</v>
      </c>
      <c r="K21" s="3" t="s">
        <v>951</v>
      </c>
    </row>
    <row r="22" customFormat="false" ht="28.35" hidden="false" customHeight="false" outlineLevel="0" collapsed="false">
      <c r="A22" s="3" t="s">
        <v>1022</v>
      </c>
      <c r="B22" s="3" t="s">
        <v>1023</v>
      </c>
      <c r="C22" s="3" t="s">
        <v>936</v>
      </c>
      <c r="D22" s="3" t="s">
        <v>1024</v>
      </c>
      <c r="E22" s="3" t="s">
        <v>1025</v>
      </c>
      <c r="F22" s="3" t="s">
        <v>1026</v>
      </c>
      <c r="G22" s="3" t="s">
        <v>925</v>
      </c>
      <c r="H22" s="3" t="s">
        <v>941</v>
      </c>
      <c r="I22" s="3" t="s">
        <v>1027</v>
      </c>
      <c r="J22" s="3" t="s">
        <v>925</v>
      </c>
      <c r="K22" s="3" t="s">
        <v>951</v>
      </c>
    </row>
    <row r="23" customFormat="false" ht="15" hidden="false" customHeight="false" outlineLevel="0" collapsed="false">
      <c r="A23" s="3" t="s">
        <v>1028</v>
      </c>
      <c r="B23" s="3" t="s">
        <v>1029</v>
      </c>
      <c r="C23" s="3" t="s">
        <v>936</v>
      </c>
      <c r="D23" s="3" t="s">
        <v>1030</v>
      </c>
      <c r="E23" s="3" t="s">
        <v>1031</v>
      </c>
      <c r="F23" s="3" t="s">
        <v>939</v>
      </c>
      <c r="G23" s="3" t="s">
        <v>949</v>
      </c>
      <c r="H23" s="3" t="s">
        <v>941</v>
      </c>
      <c r="I23" s="3" t="s">
        <v>204</v>
      </c>
      <c r="J23" s="3" t="s">
        <v>925</v>
      </c>
      <c r="K23" s="3" t="s">
        <v>951</v>
      </c>
    </row>
    <row r="24" customFormat="false" ht="15" hidden="false" customHeight="false" outlineLevel="0" collapsed="false">
      <c r="A24" s="3" t="s">
        <v>1032</v>
      </c>
      <c r="B24" s="3" t="s">
        <v>1033</v>
      </c>
      <c r="C24" s="3" t="s">
        <v>936</v>
      </c>
      <c r="D24" s="3" t="s">
        <v>973</v>
      </c>
      <c r="E24" s="3" t="s">
        <v>974</v>
      </c>
      <c r="F24" s="3" t="s">
        <v>939</v>
      </c>
      <c r="G24" s="3" t="s">
        <v>925</v>
      </c>
      <c r="H24" s="3" t="s">
        <v>941</v>
      </c>
      <c r="I24" s="3" t="s">
        <v>1034</v>
      </c>
      <c r="J24" s="3" t="s">
        <v>925</v>
      </c>
      <c r="K24" s="3" t="s">
        <v>951</v>
      </c>
    </row>
    <row r="25" customFormat="false" ht="68.65" hidden="false" customHeight="false" outlineLevel="0" collapsed="false">
      <c r="A25" s="3" t="s">
        <v>1035</v>
      </c>
      <c r="B25" s="3" t="s">
        <v>1036</v>
      </c>
      <c r="C25" s="3" t="s">
        <v>936</v>
      </c>
      <c r="D25" s="3" t="s">
        <v>1037</v>
      </c>
      <c r="E25" s="3" t="s">
        <v>1038</v>
      </c>
      <c r="F25" s="3" t="s">
        <v>1039</v>
      </c>
      <c r="G25" s="3" t="s">
        <v>949</v>
      </c>
      <c r="H25" s="3" t="s">
        <v>941</v>
      </c>
      <c r="I25" s="3" t="s">
        <v>76</v>
      </c>
      <c r="J25" s="3" t="s">
        <v>925</v>
      </c>
      <c r="K25" s="3" t="s">
        <v>1040</v>
      </c>
    </row>
    <row r="26" customFormat="false" ht="15" hidden="false" customHeight="false" outlineLevel="0" collapsed="false">
      <c r="A26" s="3" t="s">
        <v>1041</v>
      </c>
      <c r="B26" s="3" t="s">
        <v>1042</v>
      </c>
      <c r="C26" s="3" t="s">
        <v>936</v>
      </c>
      <c r="D26" s="3" t="s">
        <v>1043</v>
      </c>
      <c r="E26" s="3" t="s">
        <v>1044</v>
      </c>
      <c r="F26" s="3" t="s">
        <v>939</v>
      </c>
      <c r="G26" s="3" t="s">
        <v>925</v>
      </c>
      <c r="H26" s="3" t="s">
        <v>941</v>
      </c>
      <c r="I26" s="3" t="s">
        <v>963</v>
      </c>
      <c r="J26" s="3" t="s">
        <v>925</v>
      </c>
      <c r="K26" s="3" t="s">
        <v>951</v>
      </c>
    </row>
    <row r="27" customFormat="false" ht="55.2" hidden="false" customHeight="false" outlineLevel="0" collapsed="false">
      <c r="A27" s="3" t="s">
        <v>1045</v>
      </c>
      <c r="B27" s="3" t="s">
        <v>1046</v>
      </c>
      <c r="C27" s="3" t="s">
        <v>1047</v>
      </c>
      <c r="D27" s="3" t="s">
        <v>1048</v>
      </c>
      <c r="E27" s="3" t="s">
        <v>1049</v>
      </c>
      <c r="F27" s="3" t="s">
        <v>1050</v>
      </c>
      <c r="G27" s="3" t="s">
        <v>957</v>
      </c>
      <c r="H27" s="3" t="s">
        <v>941</v>
      </c>
      <c r="I27" s="3" t="s">
        <v>1051</v>
      </c>
      <c r="J27" s="3" t="s">
        <v>925</v>
      </c>
      <c r="K27" s="3" t="s">
        <v>1052</v>
      </c>
    </row>
    <row r="28" customFormat="false" ht="28.35" hidden="false" customHeight="false" outlineLevel="0" collapsed="false">
      <c r="A28" s="3" t="s">
        <v>1053</v>
      </c>
      <c r="B28" s="3" t="s">
        <v>1054</v>
      </c>
      <c r="C28" s="3" t="s">
        <v>1055</v>
      </c>
      <c r="D28" s="3" t="s">
        <v>1056</v>
      </c>
      <c r="E28" s="3" t="s">
        <v>1057</v>
      </c>
      <c r="F28" s="3" t="s">
        <v>939</v>
      </c>
      <c r="G28" s="3" t="s">
        <v>957</v>
      </c>
      <c r="H28" s="3" t="s">
        <v>941</v>
      </c>
      <c r="I28" s="3" t="s">
        <v>1058</v>
      </c>
      <c r="J28" s="3" t="s">
        <v>1059</v>
      </c>
      <c r="K28" s="3" t="s">
        <v>1060</v>
      </c>
    </row>
    <row r="29" customFormat="false" ht="15" hidden="false" customHeight="false" outlineLevel="0" collapsed="false">
      <c r="A29" s="3" t="s">
        <v>1061</v>
      </c>
      <c r="B29" s="3" t="s">
        <v>1062</v>
      </c>
      <c r="C29" s="3" t="s">
        <v>1063</v>
      </c>
      <c r="D29" s="3" t="s">
        <v>1064</v>
      </c>
      <c r="E29" s="3" t="s">
        <v>1065</v>
      </c>
      <c r="F29" s="3" t="s">
        <v>939</v>
      </c>
      <c r="G29" s="3" t="s">
        <v>949</v>
      </c>
      <c r="H29" s="3" t="s">
        <v>941</v>
      </c>
      <c r="I29" s="3" t="s">
        <v>204</v>
      </c>
      <c r="J29" s="3" t="s">
        <v>1066</v>
      </c>
      <c r="K29" s="3" t="s">
        <v>1067</v>
      </c>
    </row>
    <row r="30" customFormat="false" ht="55.2" hidden="false" customHeight="false" outlineLevel="0" collapsed="false">
      <c r="A30" s="3" t="s">
        <v>242</v>
      </c>
      <c r="B30" s="3" t="s">
        <v>1068</v>
      </c>
      <c r="C30" s="3" t="s">
        <v>1069</v>
      </c>
      <c r="D30" s="3" t="s">
        <v>1070</v>
      </c>
      <c r="E30" s="3" t="s">
        <v>1071</v>
      </c>
      <c r="F30" s="3" t="s">
        <v>1050</v>
      </c>
      <c r="G30" s="3" t="s">
        <v>925</v>
      </c>
      <c r="H30" s="3" t="s">
        <v>941</v>
      </c>
      <c r="I30" s="3" t="s">
        <v>1072</v>
      </c>
      <c r="J30" s="3" t="s">
        <v>1059</v>
      </c>
      <c r="K30" s="3" t="s">
        <v>1073</v>
      </c>
    </row>
    <row r="31" customFormat="false" ht="108.95" hidden="false" customHeight="false" outlineLevel="0" collapsed="false">
      <c r="A31" s="3" t="s">
        <v>1074</v>
      </c>
      <c r="B31" s="3" t="s">
        <v>1075</v>
      </c>
      <c r="C31" s="3" t="s">
        <v>1076</v>
      </c>
      <c r="D31" s="3" t="s">
        <v>1077</v>
      </c>
      <c r="E31" s="3" t="s">
        <v>1078</v>
      </c>
      <c r="F31" s="3" t="s">
        <v>1079</v>
      </c>
      <c r="G31" s="3" t="s">
        <v>1080</v>
      </c>
      <c r="H31" s="3" t="s">
        <v>941</v>
      </c>
      <c r="I31" s="3" t="s">
        <v>1081</v>
      </c>
      <c r="J31" s="3" t="s">
        <v>1082</v>
      </c>
      <c r="K31" s="3" t="s">
        <v>1083</v>
      </c>
    </row>
    <row r="32" customFormat="false" ht="28.35" hidden="false" customHeight="false" outlineLevel="0" collapsed="false">
      <c r="A32" s="3" t="s">
        <v>1084</v>
      </c>
      <c r="B32" s="3" t="s">
        <v>1085</v>
      </c>
      <c r="C32" s="3" t="s">
        <v>1086</v>
      </c>
      <c r="D32" s="3" t="s">
        <v>1087</v>
      </c>
      <c r="E32" s="3" t="s">
        <v>1088</v>
      </c>
      <c r="F32" s="3" t="s">
        <v>1050</v>
      </c>
      <c r="G32" s="3" t="s">
        <v>949</v>
      </c>
      <c r="H32" s="3" t="s">
        <v>941</v>
      </c>
      <c r="I32" s="3" t="s">
        <v>1089</v>
      </c>
      <c r="J32" s="3" t="s">
        <v>1059</v>
      </c>
      <c r="K32" s="3" t="s">
        <v>1073</v>
      </c>
    </row>
    <row r="33" customFormat="false" ht="28.35" hidden="false" customHeight="false" outlineLevel="0" collapsed="false">
      <c r="A33" s="3" t="s">
        <v>1090</v>
      </c>
      <c r="B33" s="3" t="s">
        <v>1091</v>
      </c>
      <c r="C33" s="3" t="s">
        <v>1092</v>
      </c>
      <c r="D33" s="3" t="s">
        <v>1093</v>
      </c>
      <c r="E33" s="3" t="s">
        <v>1094</v>
      </c>
      <c r="F33" s="3" t="s">
        <v>939</v>
      </c>
      <c r="G33" s="3" t="s">
        <v>949</v>
      </c>
      <c r="H33" s="3" t="s">
        <v>941</v>
      </c>
      <c r="I33" s="3" t="s">
        <v>76</v>
      </c>
      <c r="J33" s="3" t="s">
        <v>1095</v>
      </c>
      <c r="K33" s="3" t="s">
        <v>1096</v>
      </c>
    </row>
    <row r="34" customFormat="false" ht="28.35" hidden="false" customHeight="false" outlineLevel="0" collapsed="false">
      <c r="A34" s="3" t="s">
        <v>1097</v>
      </c>
      <c r="B34" s="3" t="s">
        <v>1098</v>
      </c>
      <c r="C34" s="3" t="s">
        <v>1099</v>
      </c>
      <c r="D34" s="3" t="s">
        <v>1100</v>
      </c>
      <c r="E34" s="3" t="s">
        <v>1101</v>
      </c>
      <c r="F34" s="3" t="s">
        <v>1050</v>
      </c>
      <c r="G34" s="3" t="s">
        <v>949</v>
      </c>
      <c r="H34" s="3" t="s">
        <v>941</v>
      </c>
      <c r="I34" s="3" t="s">
        <v>76</v>
      </c>
      <c r="J34" s="3" t="s">
        <v>1095</v>
      </c>
      <c r="K34" s="3" t="s">
        <v>1102</v>
      </c>
    </row>
    <row r="35" customFormat="false" ht="28.35" hidden="false" customHeight="false" outlineLevel="0" collapsed="false">
      <c r="A35" s="3" t="s">
        <v>1103</v>
      </c>
      <c r="B35" s="3" t="s">
        <v>1104</v>
      </c>
      <c r="C35" s="3" t="s">
        <v>1105</v>
      </c>
      <c r="D35" s="3" t="s">
        <v>1106</v>
      </c>
      <c r="E35" s="3" t="s">
        <v>1107</v>
      </c>
      <c r="F35" s="3" t="s">
        <v>991</v>
      </c>
      <c r="G35" s="3" t="s">
        <v>1108</v>
      </c>
      <c r="H35" s="3" t="s">
        <v>1109</v>
      </c>
      <c r="I35" s="3" t="s">
        <v>1110</v>
      </c>
      <c r="J35" s="3" t="s">
        <v>1111</v>
      </c>
      <c r="K35" s="3" t="s">
        <v>1112</v>
      </c>
    </row>
    <row r="36" customFormat="false" ht="68.65" hidden="false" customHeight="false" outlineLevel="0" collapsed="false">
      <c r="A36" s="3" t="s">
        <v>1113</v>
      </c>
      <c r="B36" s="3" t="s">
        <v>1114</v>
      </c>
      <c r="C36" s="3" t="s">
        <v>1115</v>
      </c>
      <c r="D36" s="3" t="s">
        <v>1116</v>
      </c>
      <c r="E36" s="3" t="s">
        <v>1117</v>
      </c>
      <c r="F36" s="3" t="s">
        <v>956</v>
      </c>
      <c r="G36" s="3" t="s">
        <v>1118</v>
      </c>
      <c r="H36" s="3" t="s">
        <v>1109</v>
      </c>
      <c r="I36" s="3" t="s">
        <v>1119</v>
      </c>
      <c r="J36" s="3" t="s">
        <v>1120</v>
      </c>
      <c r="K36" s="3" t="s">
        <v>1121</v>
      </c>
    </row>
    <row r="37" customFormat="false" ht="28.35" hidden="false" customHeight="false" outlineLevel="0" collapsed="false">
      <c r="A37" s="3" t="s">
        <v>1122</v>
      </c>
      <c r="B37" s="3" t="s">
        <v>1123</v>
      </c>
      <c r="C37" s="3" t="s">
        <v>1124</v>
      </c>
      <c r="D37" s="3" t="s">
        <v>1125</v>
      </c>
      <c r="E37" s="3" t="s">
        <v>1126</v>
      </c>
      <c r="F37" s="3" t="s">
        <v>1127</v>
      </c>
      <c r="G37" s="3" t="s">
        <v>1128</v>
      </c>
      <c r="H37" s="3" t="s">
        <v>1109</v>
      </c>
      <c r="I37" s="3" t="s">
        <v>1129</v>
      </c>
      <c r="J37" s="3" t="s">
        <v>1120</v>
      </c>
      <c r="K37" s="3" t="s">
        <v>1130</v>
      </c>
    </row>
    <row r="38" customFormat="false" ht="28.35" hidden="false" customHeight="false" outlineLevel="0" collapsed="false">
      <c r="A38" s="3" t="s">
        <v>1131</v>
      </c>
      <c r="B38" s="3" t="s">
        <v>1132</v>
      </c>
      <c r="C38" s="3" t="s">
        <v>1133</v>
      </c>
      <c r="D38" s="3" t="s">
        <v>1134</v>
      </c>
      <c r="E38" s="3" t="s">
        <v>1135</v>
      </c>
      <c r="F38" s="3" t="s">
        <v>1136</v>
      </c>
      <c r="G38" s="3" t="s">
        <v>951</v>
      </c>
      <c r="H38" s="3" t="s">
        <v>1137</v>
      </c>
      <c r="I38" s="3" t="s">
        <v>1138</v>
      </c>
      <c r="J38" s="3" t="s">
        <v>1139</v>
      </c>
      <c r="K38" s="3" t="s">
        <v>1140</v>
      </c>
    </row>
    <row r="39" customFormat="false" ht="28.35" hidden="false" customHeight="false" outlineLevel="0" collapsed="false">
      <c r="A39" s="3" t="s">
        <v>1141</v>
      </c>
      <c r="B39" s="3" t="s">
        <v>1142</v>
      </c>
      <c r="C39" s="3" t="s">
        <v>1124</v>
      </c>
      <c r="D39" s="3" t="s">
        <v>1143</v>
      </c>
      <c r="E39" s="3" t="s">
        <v>1144</v>
      </c>
      <c r="F39" s="3" t="s">
        <v>991</v>
      </c>
      <c r="G39" s="3" t="s">
        <v>1145</v>
      </c>
      <c r="H39" s="3" t="s">
        <v>1137</v>
      </c>
      <c r="I39" s="3" t="s">
        <v>1129</v>
      </c>
      <c r="J39" s="3" t="s">
        <v>1139</v>
      </c>
      <c r="K39" s="3" t="s">
        <v>1130</v>
      </c>
    </row>
    <row r="40" customFormat="false" ht="55.2" hidden="false" customHeight="false" outlineLevel="0" collapsed="false">
      <c r="A40" s="3" t="s">
        <v>1146</v>
      </c>
      <c r="B40" s="3" t="s">
        <v>1147</v>
      </c>
      <c r="C40" s="3" t="s">
        <v>1124</v>
      </c>
      <c r="D40" s="3" t="s">
        <v>1148</v>
      </c>
      <c r="E40" s="3" t="s">
        <v>1149</v>
      </c>
      <c r="F40" s="3" t="s">
        <v>1150</v>
      </c>
      <c r="G40" s="3" t="s">
        <v>1118</v>
      </c>
      <c r="H40" s="3" t="s">
        <v>1151</v>
      </c>
      <c r="I40" s="3" t="s">
        <v>1129</v>
      </c>
      <c r="J40" s="3" t="s">
        <v>1120</v>
      </c>
      <c r="K40" s="3" t="s">
        <v>1073</v>
      </c>
    </row>
    <row r="41" customFormat="false" ht="28.35" hidden="false" customHeight="false" outlineLevel="0" collapsed="false">
      <c r="A41" s="3" t="s">
        <v>1152</v>
      </c>
      <c r="B41" s="3" t="s">
        <v>1153</v>
      </c>
      <c r="C41" s="3" t="s">
        <v>1154</v>
      </c>
      <c r="D41" s="3" t="s">
        <v>1155</v>
      </c>
      <c r="E41" s="3" t="s">
        <v>1156</v>
      </c>
      <c r="F41" s="3" t="s">
        <v>1157</v>
      </c>
      <c r="G41" s="3" t="s">
        <v>1158</v>
      </c>
      <c r="H41" s="3" t="s">
        <v>1151</v>
      </c>
      <c r="I41" s="3" t="s">
        <v>1159</v>
      </c>
      <c r="J41" s="3" t="s">
        <v>1120</v>
      </c>
      <c r="K41" s="3" t="s">
        <v>1160</v>
      </c>
    </row>
    <row r="42" customFormat="false" ht="28.35" hidden="false" customHeight="false" outlineLevel="0" collapsed="false">
      <c r="A42" s="3" t="s">
        <v>1161</v>
      </c>
      <c r="B42" s="3" t="s">
        <v>1162</v>
      </c>
      <c r="C42" s="3" t="s">
        <v>1163</v>
      </c>
      <c r="D42" s="3" t="s">
        <v>1164</v>
      </c>
      <c r="E42" s="3" t="s">
        <v>1165</v>
      </c>
      <c r="F42" s="3" t="s">
        <v>1166</v>
      </c>
      <c r="G42" s="3" t="s">
        <v>951</v>
      </c>
      <c r="H42" s="3" t="s">
        <v>1137</v>
      </c>
      <c r="I42" s="3" t="s">
        <v>452</v>
      </c>
      <c r="J42" s="3" t="s">
        <v>1139</v>
      </c>
      <c r="K42" s="3" t="s">
        <v>1167</v>
      </c>
    </row>
    <row r="43" customFormat="false" ht="28.35" hidden="false" customHeight="false" outlineLevel="0" collapsed="false">
      <c r="A43" s="3" t="s">
        <v>1168</v>
      </c>
      <c r="B43" s="3" t="s">
        <v>1169</v>
      </c>
      <c r="C43" s="3" t="s">
        <v>1170</v>
      </c>
      <c r="D43" s="3" t="s">
        <v>1171</v>
      </c>
      <c r="E43" s="3" t="s">
        <v>1172</v>
      </c>
      <c r="F43" s="3" t="s">
        <v>1026</v>
      </c>
      <c r="G43" s="3" t="s">
        <v>1173</v>
      </c>
      <c r="H43" s="3" t="s">
        <v>1174</v>
      </c>
      <c r="I43" s="3" t="s">
        <v>1129</v>
      </c>
      <c r="J43" s="3" t="s">
        <v>1175</v>
      </c>
      <c r="K43" s="3" t="s">
        <v>1176</v>
      </c>
    </row>
    <row r="44" customFormat="false" ht="41.75" hidden="false" customHeight="false" outlineLevel="0" collapsed="false">
      <c r="A44" s="3" t="s">
        <v>1177</v>
      </c>
      <c r="B44" s="3" t="s">
        <v>1178</v>
      </c>
      <c r="C44" s="3" t="s">
        <v>1179</v>
      </c>
      <c r="D44" s="3" t="s">
        <v>1180</v>
      </c>
      <c r="E44" s="3" t="s">
        <v>1181</v>
      </c>
      <c r="F44" s="3" t="s">
        <v>991</v>
      </c>
      <c r="G44" s="3" t="s">
        <v>1173</v>
      </c>
      <c r="H44" s="3" t="s">
        <v>1174</v>
      </c>
      <c r="I44" s="3" t="s">
        <v>1182</v>
      </c>
      <c r="J44" s="3" t="s">
        <v>1175</v>
      </c>
      <c r="K44" s="3" t="s">
        <v>1073</v>
      </c>
    </row>
    <row r="45" customFormat="false" ht="55.2" hidden="false" customHeight="false" outlineLevel="0" collapsed="false">
      <c r="A45" s="3" t="s">
        <v>1183</v>
      </c>
      <c r="B45" s="3" t="s">
        <v>1184</v>
      </c>
      <c r="C45" s="3" t="s">
        <v>1185</v>
      </c>
      <c r="D45" s="3" t="s">
        <v>1186</v>
      </c>
      <c r="E45" s="3" t="s">
        <v>1187</v>
      </c>
      <c r="F45" s="3" t="s">
        <v>1026</v>
      </c>
      <c r="G45" s="3" t="s">
        <v>949</v>
      </c>
      <c r="H45" s="3" t="s">
        <v>1174</v>
      </c>
      <c r="I45" s="3" t="s">
        <v>1188</v>
      </c>
      <c r="J45" s="3" t="s">
        <v>1175</v>
      </c>
      <c r="K45" s="3" t="s">
        <v>1073</v>
      </c>
    </row>
    <row r="46" customFormat="false" ht="68.65" hidden="false" customHeight="false" outlineLevel="0" collapsed="false">
      <c r="A46" s="3" t="s">
        <v>1189</v>
      </c>
      <c r="B46" s="3" t="s">
        <v>1190</v>
      </c>
      <c r="C46" s="3" t="s">
        <v>1191</v>
      </c>
      <c r="D46" s="3" t="s">
        <v>1192</v>
      </c>
      <c r="E46" s="3" t="s">
        <v>1193</v>
      </c>
      <c r="F46" s="3" t="s">
        <v>1194</v>
      </c>
      <c r="G46" s="3" t="s">
        <v>1195</v>
      </c>
      <c r="H46" s="3" t="s">
        <v>933</v>
      </c>
      <c r="I46" s="3" t="s">
        <v>1196</v>
      </c>
      <c r="J46" s="3" t="s">
        <v>1197</v>
      </c>
      <c r="K46" s="3" t="s">
        <v>1073</v>
      </c>
    </row>
    <row r="47" customFormat="false" ht="55.2" hidden="false" customHeight="false" outlineLevel="0" collapsed="false">
      <c r="A47" s="3" t="s">
        <v>1198</v>
      </c>
      <c r="B47" s="3" t="s">
        <v>1199</v>
      </c>
      <c r="C47" s="3" t="s">
        <v>1200</v>
      </c>
      <c r="D47" s="3" t="s">
        <v>1201</v>
      </c>
      <c r="E47" s="3" t="s">
        <v>1202</v>
      </c>
      <c r="F47" s="3" t="s">
        <v>1203</v>
      </c>
      <c r="G47" s="3" t="s">
        <v>1173</v>
      </c>
      <c r="H47" s="3" t="s">
        <v>933</v>
      </c>
      <c r="I47" s="3" t="s">
        <v>1196</v>
      </c>
      <c r="J47" s="3" t="s">
        <v>1197</v>
      </c>
      <c r="K47" s="3" t="s">
        <v>1073</v>
      </c>
    </row>
    <row r="48" customFormat="false" ht="55.2" hidden="false" customHeight="false" outlineLevel="0" collapsed="false">
      <c r="A48" s="3" t="s">
        <v>1204</v>
      </c>
      <c r="B48" s="3" t="s">
        <v>1205</v>
      </c>
      <c r="C48" s="3" t="s">
        <v>1206</v>
      </c>
      <c r="D48" s="3" t="s">
        <v>1207</v>
      </c>
      <c r="E48" s="3" t="s">
        <v>1208</v>
      </c>
      <c r="F48" s="3" t="s">
        <v>1039</v>
      </c>
      <c r="G48" s="3" t="s">
        <v>1173</v>
      </c>
      <c r="H48" s="3" t="s">
        <v>933</v>
      </c>
      <c r="I48" s="3" t="s">
        <v>1129</v>
      </c>
      <c r="J48" s="3" t="s">
        <v>1209</v>
      </c>
      <c r="K48" s="3" t="s">
        <v>1073</v>
      </c>
    </row>
    <row r="49" customFormat="false" ht="68.65" hidden="false" customHeight="false" outlineLevel="0" collapsed="false">
      <c r="A49" s="3" t="s">
        <v>1210</v>
      </c>
      <c r="B49" s="3" t="s">
        <v>1211</v>
      </c>
      <c r="C49" s="3" t="s">
        <v>1212</v>
      </c>
      <c r="D49" s="3" t="s">
        <v>1213</v>
      </c>
      <c r="E49" s="3" t="s">
        <v>1214</v>
      </c>
      <c r="F49" s="3" t="s">
        <v>1026</v>
      </c>
      <c r="G49" s="3" t="s">
        <v>1215</v>
      </c>
      <c r="H49" s="3" t="s">
        <v>1174</v>
      </c>
      <c r="I49" s="3" t="s">
        <v>1216</v>
      </c>
      <c r="J49" s="3" t="s">
        <v>1197</v>
      </c>
      <c r="K49" s="3" t="s">
        <v>1073</v>
      </c>
    </row>
    <row r="50" customFormat="false" ht="28.35" hidden="false" customHeight="false" outlineLevel="0" collapsed="false">
      <c r="A50" s="3" t="s">
        <v>1217</v>
      </c>
      <c r="B50" s="3" t="s">
        <v>1218</v>
      </c>
      <c r="C50" s="3" t="s">
        <v>1170</v>
      </c>
      <c r="D50" s="3" t="s">
        <v>1219</v>
      </c>
      <c r="E50" s="3" t="s">
        <v>1220</v>
      </c>
      <c r="F50" s="3" t="s">
        <v>1203</v>
      </c>
      <c r="G50" s="3" t="s">
        <v>1173</v>
      </c>
      <c r="H50" s="3" t="s">
        <v>1174</v>
      </c>
      <c r="I50" s="3" t="s">
        <v>1129</v>
      </c>
      <c r="J50" s="3" t="s">
        <v>1197</v>
      </c>
      <c r="K50" s="3" t="s">
        <v>1073</v>
      </c>
    </row>
    <row r="51" customFormat="false" ht="28.35" hidden="false" customHeight="false" outlineLevel="0" collapsed="false">
      <c r="A51" s="3" t="s">
        <v>1221</v>
      </c>
      <c r="B51" s="3" t="s">
        <v>1222</v>
      </c>
      <c r="C51" s="3" t="s">
        <v>1223</v>
      </c>
      <c r="D51" s="3" t="s">
        <v>1224</v>
      </c>
      <c r="E51" s="3" t="s">
        <v>1225</v>
      </c>
      <c r="F51" s="3" t="s">
        <v>1157</v>
      </c>
      <c r="G51" s="3" t="s">
        <v>1173</v>
      </c>
      <c r="H51" s="3" t="s">
        <v>1226</v>
      </c>
      <c r="I51" s="3" t="s">
        <v>1129</v>
      </c>
      <c r="J51" s="3" t="s">
        <v>1197</v>
      </c>
      <c r="K51" s="3" t="s">
        <v>1073</v>
      </c>
    </row>
    <row r="52" customFormat="false" ht="28.35" hidden="false" customHeight="false" outlineLevel="0" collapsed="false">
      <c r="A52" s="3" t="s">
        <v>1227</v>
      </c>
      <c r="B52" s="3" t="s">
        <v>1228</v>
      </c>
      <c r="C52" s="3" t="s">
        <v>1229</v>
      </c>
      <c r="D52" s="3" t="s">
        <v>1230</v>
      </c>
      <c r="E52" s="3" t="s">
        <v>1231</v>
      </c>
      <c r="F52" s="3" t="s">
        <v>1157</v>
      </c>
      <c r="G52" s="3" t="s">
        <v>969</v>
      </c>
      <c r="H52" s="3" t="s">
        <v>1232</v>
      </c>
      <c r="I52" s="3" t="s">
        <v>1216</v>
      </c>
      <c r="J52" s="3" t="s">
        <v>1233</v>
      </c>
      <c r="K52" s="3" t="s">
        <v>1234</v>
      </c>
    </row>
    <row r="53" customFormat="false" ht="28.35" hidden="false" customHeight="false" outlineLevel="0" collapsed="false">
      <c r="A53" s="3" t="s">
        <v>1235</v>
      </c>
      <c r="B53" s="3" t="s">
        <v>1236</v>
      </c>
      <c r="C53" s="3" t="s">
        <v>1237</v>
      </c>
      <c r="D53" s="3" t="s">
        <v>1238</v>
      </c>
      <c r="E53" s="3" t="s">
        <v>1239</v>
      </c>
      <c r="F53" s="3" t="s">
        <v>1240</v>
      </c>
      <c r="G53" s="3" t="s">
        <v>949</v>
      </c>
      <c r="H53" s="3" t="s">
        <v>941</v>
      </c>
      <c r="I53" s="3" t="s">
        <v>1216</v>
      </c>
      <c r="J53" s="3" t="s">
        <v>1241</v>
      </c>
      <c r="K53" s="3" t="s">
        <v>1073</v>
      </c>
    </row>
    <row r="54" customFormat="false" ht="28.35" hidden="false" customHeight="false" outlineLevel="0" collapsed="false">
      <c r="A54" s="3" t="s">
        <v>1242</v>
      </c>
      <c r="B54" s="3" t="s">
        <v>1243</v>
      </c>
      <c r="C54" s="3" t="s">
        <v>1244</v>
      </c>
      <c r="D54" s="3" t="s">
        <v>1245</v>
      </c>
      <c r="E54" s="3" t="s">
        <v>1246</v>
      </c>
      <c r="F54" s="3" t="s">
        <v>1247</v>
      </c>
      <c r="G54" s="3" t="s">
        <v>949</v>
      </c>
      <c r="H54" s="3" t="s">
        <v>941</v>
      </c>
      <c r="I54" s="3" t="s">
        <v>1138</v>
      </c>
      <c r="J54" s="3" t="s">
        <v>1248</v>
      </c>
      <c r="K54" s="3" t="s">
        <v>1249</v>
      </c>
    </row>
    <row r="55" customFormat="false" ht="41.75" hidden="false" customHeight="false" outlineLevel="0" collapsed="false">
      <c r="A55" s="3" t="s">
        <v>1250</v>
      </c>
      <c r="B55" s="3" t="s">
        <v>1251</v>
      </c>
      <c r="C55" s="3" t="s">
        <v>1252</v>
      </c>
      <c r="D55" s="3" t="s">
        <v>1253</v>
      </c>
      <c r="E55" s="3" t="s">
        <v>1254</v>
      </c>
      <c r="F55" s="3" t="s">
        <v>1255</v>
      </c>
      <c r="G55" s="3" t="s">
        <v>949</v>
      </c>
      <c r="H55" s="3" t="s">
        <v>941</v>
      </c>
      <c r="I55" s="3" t="s">
        <v>1129</v>
      </c>
      <c r="J55" s="3" t="s">
        <v>1175</v>
      </c>
      <c r="K55" s="3" t="s">
        <v>1256</v>
      </c>
    </row>
    <row r="56" customFormat="false" ht="41.75" hidden="false" customHeight="false" outlineLevel="0" collapsed="false">
      <c r="A56" s="3" t="s">
        <v>1257</v>
      </c>
      <c r="B56" s="3" t="s">
        <v>1258</v>
      </c>
      <c r="C56" s="3" t="s">
        <v>1259</v>
      </c>
      <c r="D56" s="3" t="s">
        <v>1260</v>
      </c>
      <c r="E56" s="3" t="s">
        <v>1261</v>
      </c>
      <c r="F56" s="3" t="s">
        <v>1262</v>
      </c>
      <c r="G56" s="3" t="s">
        <v>949</v>
      </c>
      <c r="H56" s="3" t="s">
        <v>1263</v>
      </c>
      <c r="I56" s="3" t="s">
        <v>1138</v>
      </c>
      <c r="J56" s="3" t="s">
        <v>1248</v>
      </c>
      <c r="K56" s="3" t="s">
        <v>1264</v>
      </c>
    </row>
    <row r="57" customFormat="false" ht="68.65" hidden="false" customHeight="false" outlineLevel="0" collapsed="false">
      <c r="A57" s="3" t="s">
        <v>1265</v>
      </c>
      <c r="B57" s="3" t="s">
        <v>1266</v>
      </c>
      <c r="C57" s="3" t="s">
        <v>1267</v>
      </c>
      <c r="D57" s="3" t="s">
        <v>1268</v>
      </c>
      <c r="E57" s="3" t="s">
        <v>1269</v>
      </c>
      <c r="F57" s="3" t="s">
        <v>1270</v>
      </c>
      <c r="G57" s="3" t="s">
        <v>949</v>
      </c>
      <c r="H57" s="3" t="s">
        <v>1271</v>
      </c>
      <c r="I57" s="3" t="s">
        <v>1272</v>
      </c>
      <c r="J57" s="3" t="s">
        <v>1273</v>
      </c>
      <c r="K57" s="3" t="s">
        <v>1274</v>
      </c>
    </row>
    <row r="58" customFormat="false" ht="41.75" hidden="false" customHeight="false" outlineLevel="0" collapsed="false">
      <c r="A58" s="3" t="s">
        <v>1275</v>
      </c>
      <c r="B58" s="3" t="s">
        <v>1276</v>
      </c>
      <c r="C58" s="3" t="s">
        <v>1277</v>
      </c>
      <c r="D58" s="3" t="s">
        <v>1278</v>
      </c>
      <c r="E58" s="3" t="s">
        <v>1279</v>
      </c>
      <c r="F58" s="3" t="s">
        <v>1280</v>
      </c>
      <c r="G58" s="3" t="s">
        <v>949</v>
      </c>
      <c r="H58" s="3" t="s">
        <v>1281</v>
      </c>
      <c r="I58" s="3" t="s">
        <v>1282</v>
      </c>
      <c r="J58" s="3" t="s">
        <v>1066</v>
      </c>
      <c r="K58" s="3" t="s">
        <v>1283</v>
      </c>
    </row>
    <row r="59" customFormat="false" ht="55.2" hidden="false" customHeight="false" outlineLevel="0" collapsed="false">
      <c r="A59" s="3" t="s">
        <v>1284</v>
      </c>
      <c r="B59" s="3" t="s">
        <v>1285</v>
      </c>
      <c r="C59" s="3" t="s">
        <v>1286</v>
      </c>
      <c r="D59" s="3" t="s">
        <v>1287</v>
      </c>
      <c r="E59" s="3" t="s">
        <v>1288</v>
      </c>
      <c r="F59" s="3" t="s">
        <v>1289</v>
      </c>
      <c r="G59" s="3" t="s">
        <v>949</v>
      </c>
      <c r="H59" s="3" t="s">
        <v>1226</v>
      </c>
      <c r="I59" s="3" t="s">
        <v>1290</v>
      </c>
      <c r="J59" s="3" t="s">
        <v>1066</v>
      </c>
      <c r="K59" s="3" t="s">
        <v>1283</v>
      </c>
    </row>
    <row r="60" customFormat="false" ht="28.35" hidden="false" customHeight="false" outlineLevel="0" collapsed="false">
      <c r="A60" s="3" t="s">
        <v>1291</v>
      </c>
      <c r="B60" s="3" t="s">
        <v>1292</v>
      </c>
      <c r="C60" s="3" t="s">
        <v>1293</v>
      </c>
      <c r="D60" s="3" t="s">
        <v>1294</v>
      </c>
      <c r="E60" s="3" t="s">
        <v>1295</v>
      </c>
      <c r="F60" s="3" t="s">
        <v>1296</v>
      </c>
      <c r="G60" s="3" t="s">
        <v>949</v>
      </c>
      <c r="H60" s="3" t="s">
        <v>1226</v>
      </c>
      <c r="I60" s="3" t="s">
        <v>1297</v>
      </c>
      <c r="J60" s="3" t="s">
        <v>1066</v>
      </c>
      <c r="K60" s="3" t="s">
        <v>1298</v>
      </c>
    </row>
    <row r="61" customFormat="false" ht="95.5" hidden="false" customHeight="false" outlineLevel="0" collapsed="false">
      <c r="A61" s="3" t="s">
        <v>1299</v>
      </c>
      <c r="B61" s="3" t="s">
        <v>1300</v>
      </c>
      <c r="C61" s="3" t="s">
        <v>1301</v>
      </c>
      <c r="D61" s="3" t="s">
        <v>1302</v>
      </c>
      <c r="E61" s="3" t="s">
        <v>1303</v>
      </c>
      <c r="F61" s="3" t="s">
        <v>1304</v>
      </c>
      <c r="G61" s="3" t="s">
        <v>949</v>
      </c>
      <c r="H61" s="3" t="s">
        <v>1305</v>
      </c>
      <c r="I61" s="3" t="s">
        <v>980</v>
      </c>
      <c r="J61" s="3" t="s">
        <v>1175</v>
      </c>
      <c r="K61" s="3" t="s">
        <v>1306</v>
      </c>
    </row>
    <row r="62" customFormat="false" ht="95.5" hidden="false" customHeight="false" outlineLevel="0" collapsed="false">
      <c r="A62" s="3" t="s">
        <v>1307</v>
      </c>
      <c r="B62" s="3" t="s">
        <v>1308</v>
      </c>
      <c r="C62" s="3" t="s">
        <v>1309</v>
      </c>
      <c r="D62" s="3" t="s">
        <v>1310</v>
      </c>
      <c r="E62" s="3" t="s">
        <v>1311</v>
      </c>
      <c r="F62" s="3" t="s">
        <v>991</v>
      </c>
      <c r="G62" s="3" t="s">
        <v>949</v>
      </c>
      <c r="H62" s="3" t="s">
        <v>1305</v>
      </c>
      <c r="I62" s="3" t="s">
        <v>1312</v>
      </c>
      <c r="J62" s="3" t="s">
        <v>1313</v>
      </c>
      <c r="K62" s="3" t="s">
        <v>1314</v>
      </c>
    </row>
    <row r="63" customFormat="false" ht="55.2" hidden="false" customHeight="false" outlineLevel="0" collapsed="false">
      <c r="A63" s="3" t="s">
        <v>1315</v>
      </c>
      <c r="B63" s="3" t="s">
        <v>1316</v>
      </c>
      <c r="C63" s="3" t="s">
        <v>1317</v>
      </c>
      <c r="D63" s="3" t="s">
        <v>1318</v>
      </c>
      <c r="E63" s="3" t="s">
        <v>1319</v>
      </c>
      <c r="F63" s="3" t="s">
        <v>1320</v>
      </c>
      <c r="G63" s="3" t="s">
        <v>949</v>
      </c>
      <c r="H63" s="3" t="s">
        <v>1281</v>
      </c>
      <c r="I63" s="3" t="s">
        <v>204</v>
      </c>
      <c r="J63" s="3" t="s">
        <v>1175</v>
      </c>
      <c r="K63" s="3" t="s">
        <v>1321</v>
      </c>
    </row>
    <row r="64" customFormat="false" ht="28.35" hidden="false" customHeight="false" outlineLevel="0" collapsed="false">
      <c r="A64" s="3" t="s">
        <v>1322</v>
      </c>
      <c r="B64" s="3" t="s">
        <v>1323</v>
      </c>
      <c r="C64" s="3" t="s">
        <v>1324</v>
      </c>
      <c r="D64" s="3" t="s">
        <v>1325</v>
      </c>
      <c r="E64" s="3" t="s">
        <v>1326</v>
      </c>
      <c r="F64" s="3" t="s">
        <v>1327</v>
      </c>
      <c r="G64" s="3" t="s">
        <v>949</v>
      </c>
      <c r="H64" s="3" t="s">
        <v>1281</v>
      </c>
      <c r="I64" s="3" t="s">
        <v>1129</v>
      </c>
      <c r="J64" s="3" t="s">
        <v>1175</v>
      </c>
      <c r="K64" s="3" t="s">
        <v>1129</v>
      </c>
    </row>
    <row r="65" customFormat="false" ht="68.65" hidden="false" customHeight="false" outlineLevel="0" collapsed="false">
      <c r="A65" s="3" t="s">
        <v>1328</v>
      </c>
      <c r="B65" s="3" t="s">
        <v>1329</v>
      </c>
      <c r="C65" s="3" t="s">
        <v>1330</v>
      </c>
      <c r="D65" s="3" t="s">
        <v>1331</v>
      </c>
      <c r="E65" s="3" t="s">
        <v>1332</v>
      </c>
      <c r="F65" s="3" t="s">
        <v>1333</v>
      </c>
      <c r="G65" s="3" t="s">
        <v>949</v>
      </c>
      <c r="H65" s="3" t="s">
        <v>941</v>
      </c>
      <c r="I65" s="3" t="s">
        <v>348</v>
      </c>
      <c r="J65" s="3" t="s">
        <v>1175</v>
      </c>
      <c r="K65" s="3" t="s">
        <v>1334</v>
      </c>
    </row>
    <row r="66" customFormat="false" ht="28.35" hidden="false" customHeight="false" outlineLevel="0" collapsed="false">
      <c r="A66" s="3" t="s">
        <v>1335</v>
      </c>
      <c r="B66" s="3" t="s">
        <v>1336</v>
      </c>
      <c r="C66" s="3" t="s">
        <v>1337</v>
      </c>
      <c r="D66" s="3" t="s">
        <v>1338</v>
      </c>
      <c r="E66" s="3" t="s">
        <v>1339</v>
      </c>
      <c r="F66" s="3" t="s">
        <v>1340</v>
      </c>
      <c r="G66" s="3" t="s">
        <v>1334</v>
      </c>
      <c r="H66" s="3" t="s">
        <v>941</v>
      </c>
      <c r="I66" s="3" t="s">
        <v>1129</v>
      </c>
      <c r="J66" s="3" t="s">
        <v>1175</v>
      </c>
      <c r="K66" s="3" t="s">
        <v>1129</v>
      </c>
    </row>
    <row r="67" customFormat="false" ht="28.35" hidden="false" customHeight="false" outlineLevel="0" collapsed="false">
      <c r="A67" s="3" t="s">
        <v>1341</v>
      </c>
      <c r="B67" s="3" t="s">
        <v>1342</v>
      </c>
      <c r="C67" s="3" t="s">
        <v>1343</v>
      </c>
      <c r="D67" s="3" t="s">
        <v>1344</v>
      </c>
      <c r="E67" s="3" t="s">
        <v>1345</v>
      </c>
      <c r="F67" s="3" t="s">
        <v>1346</v>
      </c>
      <c r="G67" s="3" t="s">
        <v>949</v>
      </c>
      <c r="H67" s="3" t="s">
        <v>941</v>
      </c>
      <c r="I67" s="3" t="s">
        <v>1129</v>
      </c>
      <c r="J67" s="3" t="s">
        <v>1175</v>
      </c>
      <c r="K67" s="3" t="s">
        <v>1347</v>
      </c>
    </row>
    <row r="68" customFormat="false" ht="28.35" hidden="false" customHeight="false" outlineLevel="0" collapsed="false">
      <c r="A68" s="3" t="s">
        <v>201</v>
      </c>
      <c r="B68" s="3" t="s">
        <v>1348</v>
      </c>
      <c r="C68" s="3" t="s">
        <v>1349</v>
      </c>
      <c r="D68" s="3" t="s">
        <v>1350</v>
      </c>
      <c r="E68" s="3" t="s">
        <v>1351</v>
      </c>
      <c r="F68" s="3" t="s">
        <v>1352</v>
      </c>
      <c r="G68" s="3" t="s">
        <v>1353</v>
      </c>
      <c r="H68" s="3" t="s">
        <v>1129</v>
      </c>
      <c r="I68" s="3" t="s">
        <v>1354</v>
      </c>
      <c r="J68" s="3" t="s">
        <v>1355</v>
      </c>
      <c r="K68" s="3" t="s">
        <v>951</v>
      </c>
    </row>
    <row r="69" customFormat="false" ht="28.35" hidden="false" customHeight="false" outlineLevel="0" collapsed="false">
      <c r="A69" s="3" t="s">
        <v>1356</v>
      </c>
      <c r="B69" s="3" t="s">
        <v>1357</v>
      </c>
      <c r="C69" s="3" t="s">
        <v>1358</v>
      </c>
      <c r="D69" s="3" t="s">
        <v>1359</v>
      </c>
      <c r="E69" s="3" t="s">
        <v>1360</v>
      </c>
      <c r="F69" s="3" t="s">
        <v>1157</v>
      </c>
      <c r="G69" s="3" t="s">
        <v>949</v>
      </c>
      <c r="H69" s="3" t="s">
        <v>1129</v>
      </c>
      <c r="I69" s="3" t="s">
        <v>1361</v>
      </c>
      <c r="J69" s="3" t="s">
        <v>1362</v>
      </c>
      <c r="K69" s="3" t="s">
        <v>1363</v>
      </c>
    </row>
    <row r="70" customFormat="false" ht="28.35" hidden="false" customHeight="false" outlineLevel="0" collapsed="false">
      <c r="A70" s="3" t="s">
        <v>219</v>
      </c>
      <c r="B70" s="3" t="s">
        <v>1364</v>
      </c>
      <c r="C70" s="3" t="s">
        <v>1365</v>
      </c>
      <c r="D70" s="3" t="s">
        <v>1366</v>
      </c>
      <c r="E70" s="3" t="s">
        <v>1367</v>
      </c>
      <c r="F70" s="3" t="s">
        <v>1368</v>
      </c>
      <c r="G70" s="3" t="s">
        <v>1369</v>
      </c>
      <c r="H70" s="3" t="s">
        <v>1129</v>
      </c>
      <c r="I70" s="3" t="s">
        <v>1370</v>
      </c>
      <c r="J70" s="3" t="s">
        <v>1371</v>
      </c>
      <c r="K70" s="3" t="s">
        <v>1372</v>
      </c>
    </row>
    <row r="71" customFormat="false" ht="28.35" hidden="false" customHeight="false" outlineLevel="0" collapsed="false">
      <c r="A71" s="3" t="s">
        <v>215</v>
      </c>
      <c r="B71" s="3" t="s">
        <v>1373</v>
      </c>
      <c r="C71" s="3" t="s">
        <v>1374</v>
      </c>
      <c r="D71" s="3" t="s">
        <v>1375</v>
      </c>
      <c r="E71" s="3" t="s">
        <v>1376</v>
      </c>
      <c r="F71" s="3" t="s">
        <v>1377</v>
      </c>
      <c r="G71" s="3" t="s">
        <v>1158</v>
      </c>
      <c r="H71" s="3" t="s">
        <v>1232</v>
      </c>
      <c r="I71" s="3" t="s">
        <v>1378</v>
      </c>
      <c r="J71" s="3" t="s">
        <v>1379</v>
      </c>
      <c r="K71" s="3" t="s">
        <v>1380</v>
      </c>
    </row>
    <row r="72" customFormat="false" ht="41.75" hidden="false" customHeight="false" outlineLevel="0" collapsed="false">
      <c r="A72" s="3" t="s">
        <v>1381</v>
      </c>
      <c r="B72" s="3" t="s">
        <v>1382</v>
      </c>
      <c r="C72" s="3" t="s">
        <v>1383</v>
      </c>
      <c r="D72" s="3" t="s">
        <v>1384</v>
      </c>
      <c r="E72" s="3" t="s">
        <v>1385</v>
      </c>
      <c r="F72" s="3" t="s">
        <v>1386</v>
      </c>
      <c r="G72" s="3" t="s">
        <v>949</v>
      </c>
      <c r="H72" s="3" t="s">
        <v>1129</v>
      </c>
      <c r="I72" s="3" t="s">
        <v>1129</v>
      </c>
      <c r="J72" s="3" t="s">
        <v>1139</v>
      </c>
      <c r="K72" s="3" t="s">
        <v>1073</v>
      </c>
    </row>
    <row r="73" customFormat="false" ht="82.05" hidden="false" customHeight="false" outlineLevel="0" collapsed="false">
      <c r="A73" s="3" t="s">
        <v>1387</v>
      </c>
      <c r="B73" s="3" t="s">
        <v>1388</v>
      </c>
      <c r="C73" s="3" t="s">
        <v>1389</v>
      </c>
      <c r="D73" s="3" t="s">
        <v>1390</v>
      </c>
      <c r="E73" s="3" t="s">
        <v>1391</v>
      </c>
      <c r="F73" s="3" t="s">
        <v>1392</v>
      </c>
      <c r="G73" s="3" t="s">
        <v>949</v>
      </c>
      <c r="H73" s="3" t="s">
        <v>941</v>
      </c>
      <c r="I73" s="3" t="s">
        <v>204</v>
      </c>
      <c r="J73" s="3" t="s">
        <v>1175</v>
      </c>
      <c r="K73" s="3" t="s">
        <v>1334</v>
      </c>
    </row>
    <row r="74" customFormat="false" ht="15" hidden="false" customHeight="false" outlineLevel="0" collapsed="false">
      <c r="A74" s="3" t="s">
        <v>1393</v>
      </c>
      <c r="B74" s="3" t="s">
        <v>1394</v>
      </c>
      <c r="C74" s="3" t="s">
        <v>1395</v>
      </c>
      <c r="D74" s="3" t="s">
        <v>1396</v>
      </c>
      <c r="E74" s="3" t="s">
        <v>1397</v>
      </c>
      <c r="F74" s="3" t="s">
        <v>1157</v>
      </c>
      <c r="G74" s="3" t="s">
        <v>1173</v>
      </c>
      <c r="H74" s="3" t="s">
        <v>1398</v>
      </c>
      <c r="I74" s="3" t="s">
        <v>1129</v>
      </c>
      <c r="J74" s="3" t="s">
        <v>1175</v>
      </c>
      <c r="K74" s="3" t="s">
        <v>1399</v>
      </c>
    </row>
    <row r="75" customFormat="false" ht="41.75" hidden="false" customHeight="false" outlineLevel="0" collapsed="false">
      <c r="A75" s="3" t="s">
        <v>1400</v>
      </c>
      <c r="B75" s="3" t="s">
        <v>1401</v>
      </c>
      <c r="C75" s="3" t="s">
        <v>1402</v>
      </c>
      <c r="D75" s="3" t="s">
        <v>1403</v>
      </c>
      <c r="E75" s="3" t="s">
        <v>1404</v>
      </c>
      <c r="F75" s="3" t="s">
        <v>1136</v>
      </c>
      <c r="G75" s="3" t="s">
        <v>1405</v>
      </c>
      <c r="H75" s="3" t="s">
        <v>1406</v>
      </c>
      <c r="I75" s="3" t="s">
        <v>963</v>
      </c>
      <c r="J75" s="3" t="s">
        <v>1407</v>
      </c>
      <c r="K75" s="3" t="s">
        <v>1408</v>
      </c>
    </row>
    <row r="76" customFormat="false" ht="68.65" hidden="false" customHeight="false" outlineLevel="0" collapsed="false">
      <c r="A76" s="3" t="s">
        <v>1409</v>
      </c>
      <c r="B76" s="3" t="s">
        <v>1410</v>
      </c>
      <c r="C76" s="3" t="s">
        <v>1411</v>
      </c>
      <c r="D76" s="3" t="s">
        <v>1116</v>
      </c>
      <c r="E76" s="3" t="s">
        <v>1412</v>
      </c>
      <c r="F76" s="3" t="s">
        <v>1413</v>
      </c>
      <c r="G76" s="3" t="s">
        <v>925</v>
      </c>
      <c r="H76" s="3" t="s">
        <v>1414</v>
      </c>
      <c r="I76" s="3" t="s">
        <v>1415</v>
      </c>
      <c r="J76" s="3" t="s">
        <v>925</v>
      </c>
      <c r="K76" s="3" t="s">
        <v>1283</v>
      </c>
    </row>
    <row r="77" customFormat="false" ht="41.75" hidden="false" customHeight="false" outlineLevel="0" collapsed="false">
      <c r="A77" s="3" t="s">
        <v>1416</v>
      </c>
      <c r="B77" s="3" t="s">
        <v>1417</v>
      </c>
      <c r="C77" s="3" t="s">
        <v>1418</v>
      </c>
      <c r="D77" s="3" t="s">
        <v>1419</v>
      </c>
      <c r="E77" s="3" t="s">
        <v>1420</v>
      </c>
      <c r="F77" s="3" t="s">
        <v>1421</v>
      </c>
      <c r="G77" s="3" t="s">
        <v>1422</v>
      </c>
      <c r="H77" s="3" t="s">
        <v>1226</v>
      </c>
      <c r="I77" s="3" t="s">
        <v>1423</v>
      </c>
      <c r="J77" s="3" t="s">
        <v>1424</v>
      </c>
      <c r="K77" s="3" t="s">
        <v>1264</v>
      </c>
    </row>
    <row r="78" customFormat="false" ht="41.75" hidden="false" customHeight="false" outlineLevel="0" collapsed="false">
      <c r="A78" s="3" t="s">
        <v>1425</v>
      </c>
      <c r="B78" s="3" t="s">
        <v>1426</v>
      </c>
      <c r="C78" s="3" t="s">
        <v>1418</v>
      </c>
      <c r="D78" s="3" t="s">
        <v>1427</v>
      </c>
      <c r="E78" s="3" t="s">
        <v>1428</v>
      </c>
      <c r="F78" s="3" t="s">
        <v>1429</v>
      </c>
      <c r="G78" s="3" t="s">
        <v>1422</v>
      </c>
      <c r="H78" s="3" t="s">
        <v>1226</v>
      </c>
      <c r="I78" s="3" t="s">
        <v>1430</v>
      </c>
      <c r="J78" s="3" t="s">
        <v>1424</v>
      </c>
      <c r="K78" s="3" t="s">
        <v>1264</v>
      </c>
    </row>
    <row r="79" customFormat="false" ht="55.2" hidden="false" customHeight="false" outlineLevel="0" collapsed="false">
      <c r="A79" s="3" t="s">
        <v>1431</v>
      </c>
      <c r="B79" s="3" t="s">
        <v>1432</v>
      </c>
      <c r="C79" s="3" t="s">
        <v>1433</v>
      </c>
      <c r="D79" s="3" t="s">
        <v>1434</v>
      </c>
      <c r="E79" s="3" t="s">
        <v>1435</v>
      </c>
      <c r="F79" s="3" t="s">
        <v>1436</v>
      </c>
      <c r="G79" s="3" t="s">
        <v>1129</v>
      </c>
      <c r="H79" s="3" t="s">
        <v>1226</v>
      </c>
      <c r="I79" s="3" t="s">
        <v>1430</v>
      </c>
      <c r="J79" s="3" t="s">
        <v>1362</v>
      </c>
      <c r="K79" s="3" t="s">
        <v>1102</v>
      </c>
    </row>
    <row r="80" customFormat="false" ht="41.75" hidden="false" customHeight="false" outlineLevel="0" collapsed="false">
      <c r="A80" s="3" t="s">
        <v>1437</v>
      </c>
      <c r="B80" s="3" t="s">
        <v>1438</v>
      </c>
      <c r="C80" s="3" t="s">
        <v>1439</v>
      </c>
      <c r="D80" s="3" t="s">
        <v>1440</v>
      </c>
      <c r="E80" s="3" t="s">
        <v>1441</v>
      </c>
      <c r="F80" s="3" t="s">
        <v>1136</v>
      </c>
      <c r="G80" s="3" t="s">
        <v>949</v>
      </c>
      <c r="H80" s="3" t="s">
        <v>1232</v>
      </c>
      <c r="I80" s="3" t="s">
        <v>1442</v>
      </c>
      <c r="J80" s="3" t="s">
        <v>1379</v>
      </c>
      <c r="K80" s="3" t="s">
        <v>1073</v>
      </c>
    </row>
    <row r="81" customFormat="false" ht="28.35" hidden="false" customHeight="false" outlineLevel="0" collapsed="false">
      <c r="A81" s="3" t="s">
        <v>1443</v>
      </c>
      <c r="B81" s="3" t="s">
        <v>1444</v>
      </c>
      <c r="C81" s="3" t="s">
        <v>1445</v>
      </c>
      <c r="D81" s="3" t="s">
        <v>1446</v>
      </c>
      <c r="E81" s="3" t="s">
        <v>1447</v>
      </c>
      <c r="F81" s="3" t="s">
        <v>1448</v>
      </c>
      <c r="G81" s="3" t="s">
        <v>1449</v>
      </c>
      <c r="H81" s="3" t="s">
        <v>941</v>
      </c>
      <c r="I81" s="3" t="s">
        <v>1129</v>
      </c>
      <c r="J81" s="3" t="s">
        <v>1379</v>
      </c>
      <c r="K81" s="3" t="s">
        <v>1264</v>
      </c>
    </row>
    <row r="82" customFormat="false" ht="28.35" hidden="false" customHeight="false" outlineLevel="0" collapsed="false">
      <c r="A82" s="3" t="s">
        <v>1450</v>
      </c>
      <c r="B82" s="3" t="s">
        <v>1451</v>
      </c>
      <c r="C82" s="3" t="s">
        <v>1452</v>
      </c>
      <c r="D82" s="3" t="s">
        <v>1453</v>
      </c>
      <c r="E82" s="3" t="s">
        <v>1454</v>
      </c>
      <c r="F82" s="3" t="s">
        <v>991</v>
      </c>
      <c r="G82" s="3" t="s">
        <v>1173</v>
      </c>
      <c r="H82" s="3" t="s">
        <v>941</v>
      </c>
      <c r="I82" s="3" t="s">
        <v>1129</v>
      </c>
      <c r="J82" s="3" t="s">
        <v>1455</v>
      </c>
      <c r="K82" s="3" t="s">
        <v>1399</v>
      </c>
    </row>
    <row r="83" customFormat="false" ht="15" hidden="false" customHeight="false" outlineLevel="0" collapsed="false">
      <c r="A83" s="3" t="s">
        <v>1456</v>
      </c>
      <c r="B83" s="3" t="s">
        <v>1457</v>
      </c>
      <c r="C83" s="3" t="s">
        <v>1458</v>
      </c>
      <c r="D83" s="3" t="s">
        <v>1459</v>
      </c>
      <c r="E83" s="3" t="s">
        <v>1460</v>
      </c>
      <c r="F83" s="3" t="s">
        <v>1157</v>
      </c>
      <c r="G83" s="3" t="s">
        <v>969</v>
      </c>
      <c r="H83" s="3" t="s">
        <v>941</v>
      </c>
      <c r="I83" s="3" t="s">
        <v>1461</v>
      </c>
      <c r="J83" s="3" t="s">
        <v>1462</v>
      </c>
      <c r="K83" s="3" t="s">
        <v>951</v>
      </c>
    </row>
    <row r="84" customFormat="false" ht="28.35" hidden="false" customHeight="false" outlineLevel="0" collapsed="false">
      <c r="A84" s="3" t="s">
        <v>1463</v>
      </c>
      <c r="B84" s="3" t="s">
        <v>1464</v>
      </c>
      <c r="C84" s="3" t="s">
        <v>1465</v>
      </c>
      <c r="D84" s="3" t="s">
        <v>1466</v>
      </c>
      <c r="E84" s="3" t="s">
        <v>1467</v>
      </c>
      <c r="F84" s="3" t="s">
        <v>1157</v>
      </c>
      <c r="G84" s="3" t="s">
        <v>1173</v>
      </c>
      <c r="H84" s="3" t="s">
        <v>1468</v>
      </c>
      <c r="I84" s="3" t="s">
        <v>1469</v>
      </c>
      <c r="J84" s="3" t="s">
        <v>925</v>
      </c>
      <c r="K84" s="3" t="s">
        <v>1470</v>
      </c>
    </row>
    <row r="85" customFormat="false" ht="41.75" hidden="false" customHeight="false" outlineLevel="0" collapsed="false">
      <c r="A85" s="3" t="s">
        <v>1471</v>
      </c>
      <c r="B85" s="3" t="s">
        <v>1472</v>
      </c>
      <c r="C85" s="3" t="s">
        <v>1473</v>
      </c>
      <c r="D85" s="3" t="s">
        <v>1474</v>
      </c>
      <c r="E85" s="3" t="s">
        <v>1475</v>
      </c>
      <c r="F85" s="3" t="s">
        <v>1157</v>
      </c>
      <c r="G85" s="3" t="s">
        <v>1173</v>
      </c>
      <c r="H85" s="3" t="s">
        <v>933</v>
      </c>
      <c r="I85" s="3" t="s">
        <v>226</v>
      </c>
      <c r="J85" s="3" t="s">
        <v>925</v>
      </c>
      <c r="K85" s="3" t="s">
        <v>1476</v>
      </c>
    </row>
    <row r="86" customFormat="false" ht="28.35" hidden="false" customHeight="false" outlineLevel="0" collapsed="false">
      <c r="A86" s="3" t="s">
        <v>1477</v>
      </c>
      <c r="B86" s="3" t="s">
        <v>1478</v>
      </c>
      <c r="C86" s="3" t="s">
        <v>1479</v>
      </c>
      <c r="D86" s="3" t="s">
        <v>1480</v>
      </c>
      <c r="E86" s="3" t="s">
        <v>1481</v>
      </c>
      <c r="F86" s="3" t="s">
        <v>1482</v>
      </c>
      <c r="G86" s="3" t="s">
        <v>1483</v>
      </c>
      <c r="H86" s="3" t="s">
        <v>1232</v>
      </c>
      <c r="I86" s="3" t="s">
        <v>1484</v>
      </c>
      <c r="J86" s="3" t="s">
        <v>1455</v>
      </c>
      <c r="K86" s="3" t="s">
        <v>1485</v>
      </c>
    </row>
    <row r="87" customFormat="false" ht="28.35" hidden="false" customHeight="false" outlineLevel="0" collapsed="false">
      <c r="A87" s="3" t="s">
        <v>1486</v>
      </c>
      <c r="B87" s="3" t="s">
        <v>1487</v>
      </c>
      <c r="C87" s="3" t="s">
        <v>1488</v>
      </c>
      <c r="D87" s="3" t="s">
        <v>1489</v>
      </c>
      <c r="E87" s="3" t="s">
        <v>1490</v>
      </c>
      <c r="F87" s="3" t="s">
        <v>1482</v>
      </c>
      <c r="G87" s="3" t="s">
        <v>1129</v>
      </c>
      <c r="H87" s="3" t="s">
        <v>941</v>
      </c>
      <c r="I87" s="3" t="s">
        <v>1129</v>
      </c>
      <c r="J87" s="3" t="s">
        <v>1379</v>
      </c>
      <c r="K87" s="3" t="s">
        <v>1399</v>
      </c>
    </row>
    <row r="88" customFormat="false" ht="82.05" hidden="false" customHeight="false" outlineLevel="0" collapsed="false">
      <c r="A88" s="3" t="s">
        <v>1491</v>
      </c>
      <c r="B88" s="3" t="s">
        <v>1492</v>
      </c>
      <c r="C88" s="3" t="s">
        <v>1493</v>
      </c>
      <c r="D88" s="3" t="s">
        <v>1494</v>
      </c>
      <c r="E88" s="3" t="s">
        <v>1495</v>
      </c>
      <c r="F88" s="3" t="s">
        <v>1496</v>
      </c>
      <c r="G88" s="3" t="s">
        <v>1497</v>
      </c>
      <c r="H88" s="3" t="s">
        <v>941</v>
      </c>
      <c r="I88" s="3"/>
      <c r="J88" s="3" t="s">
        <v>1498</v>
      </c>
      <c r="K88" s="3" t="s">
        <v>1499</v>
      </c>
    </row>
    <row r="89" customFormat="false" ht="28.35" hidden="false" customHeight="false" outlineLevel="0" collapsed="false">
      <c r="A89" s="3" t="s">
        <v>1500</v>
      </c>
      <c r="B89" s="3" t="s">
        <v>1501</v>
      </c>
      <c r="C89" s="3" t="s">
        <v>1502</v>
      </c>
      <c r="D89" s="3" t="s">
        <v>1503</v>
      </c>
      <c r="E89" s="3" t="s">
        <v>1504</v>
      </c>
      <c r="F89" s="3" t="s">
        <v>1352</v>
      </c>
      <c r="G89" s="3" t="s">
        <v>1129</v>
      </c>
      <c r="H89" s="3" t="s">
        <v>941</v>
      </c>
      <c r="I89" s="3"/>
      <c r="J89" s="3" t="s">
        <v>1498</v>
      </c>
      <c r="K89" s="3" t="s">
        <v>1505</v>
      </c>
    </row>
    <row r="90" customFormat="false" ht="28.35" hidden="false" customHeight="false" outlineLevel="0" collapsed="false">
      <c r="A90" s="3" t="s">
        <v>1506</v>
      </c>
      <c r="B90" s="3" t="s">
        <v>1507</v>
      </c>
      <c r="C90" s="3" t="s">
        <v>1508</v>
      </c>
      <c r="D90" s="3" t="s">
        <v>1509</v>
      </c>
      <c r="E90" s="3" t="s">
        <v>1510</v>
      </c>
      <c r="F90" s="3" t="s">
        <v>1129</v>
      </c>
      <c r="G90" s="3" t="s">
        <v>1511</v>
      </c>
      <c r="H90" s="3" t="s">
        <v>941</v>
      </c>
      <c r="I90" s="3"/>
      <c r="J90" s="3" t="s">
        <v>1498</v>
      </c>
      <c r="K90" s="3" t="s">
        <v>1512</v>
      </c>
    </row>
    <row r="91" customFormat="false" ht="28.35" hidden="false" customHeight="false" outlineLevel="0" collapsed="false">
      <c r="A91" s="3" t="s">
        <v>1513</v>
      </c>
      <c r="B91" s="3" t="s">
        <v>1514</v>
      </c>
      <c r="C91" s="3" t="s">
        <v>1515</v>
      </c>
      <c r="D91" s="3" t="s">
        <v>1516</v>
      </c>
      <c r="E91" s="3" t="s">
        <v>1517</v>
      </c>
      <c r="F91" s="3" t="s">
        <v>1129</v>
      </c>
      <c r="G91" s="3" t="s">
        <v>1129</v>
      </c>
      <c r="H91" s="3" t="s">
        <v>941</v>
      </c>
      <c r="I91" s="3"/>
      <c r="J91" s="3" t="s">
        <v>1518</v>
      </c>
      <c r="K91" s="3" t="s">
        <v>1519</v>
      </c>
    </row>
    <row r="92" customFormat="false" ht="28.35" hidden="false" customHeight="false" outlineLevel="0" collapsed="false">
      <c r="A92" s="3" t="s">
        <v>1520</v>
      </c>
      <c r="B92" s="3" t="s">
        <v>1521</v>
      </c>
      <c r="C92" s="3" t="s">
        <v>1522</v>
      </c>
      <c r="D92" s="3" t="s">
        <v>1523</v>
      </c>
      <c r="E92" s="3" t="s">
        <v>1524</v>
      </c>
      <c r="F92" s="3" t="s">
        <v>1129</v>
      </c>
      <c r="G92" s="3" t="s">
        <v>1129</v>
      </c>
      <c r="H92" s="3" t="s">
        <v>941</v>
      </c>
      <c r="I92" s="3"/>
      <c r="J92" s="3" t="s">
        <v>1129</v>
      </c>
      <c r="K92" s="3" t="s">
        <v>1525</v>
      </c>
    </row>
    <row r="93" customFormat="false" ht="68.65" hidden="false" customHeight="false" outlineLevel="0" collapsed="false">
      <c r="A93" s="3" t="s">
        <v>1526</v>
      </c>
      <c r="B93" s="3" t="s">
        <v>1527</v>
      </c>
      <c r="C93" s="3" t="s">
        <v>1528</v>
      </c>
      <c r="D93" s="3" t="s">
        <v>1529</v>
      </c>
      <c r="E93" s="3" t="s">
        <v>1530</v>
      </c>
      <c r="F93" s="3" t="s">
        <v>1531</v>
      </c>
      <c r="G93" s="3" t="s">
        <v>1129</v>
      </c>
      <c r="H93" s="3" t="s">
        <v>941</v>
      </c>
      <c r="I93" s="3"/>
      <c r="J93" s="3" t="s">
        <v>1498</v>
      </c>
      <c r="K93" s="3" t="s">
        <v>1519</v>
      </c>
    </row>
    <row r="94" customFormat="false" ht="28.35" hidden="false" customHeight="false" outlineLevel="0" collapsed="false">
      <c r="A94" s="3" t="s">
        <v>1532</v>
      </c>
      <c r="B94" s="3" t="s">
        <v>1533</v>
      </c>
      <c r="C94" s="3" t="s">
        <v>1445</v>
      </c>
      <c r="D94" s="3" t="s">
        <v>1534</v>
      </c>
      <c r="E94" s="3" t="s">
        <v>1490</v>
      </c>
      <c r="F94" s="3" t="s">
        <v>1129</v>
      </c>
      <c r="G94" s="3" t="s">
        <v>1129</v>
      </c>
      <c r="H94" s="3" t="s">
        <v>941</v>
      </c>
      <c r="I94" s="3"/>
      <c r="J94" s="3" t="s">
        <v>1535</v>
      </c>
      <c r="K94" s="3" t="s">
        <v>1536</v>
      </c>
    </row>
    <row r="95" customFormat="false" ht="28.35" hidden="false" customHeight="false" outlineLevel="0" collapsed="false">
      <c r="A95" s="3" t="s">
        <v>1537</v>
      </c>
      <c r="B95" s="3" t="s">
        <v>1538</v>
      </c>
      <c r="C95" s="3" t="s">
        <v>1237</v>
      </c>
      <c r="D95" s="3" t="s">
        <v>1539</v>
      </c>
      <c r="E95" s="3" t="s">
        <v>1540</v>
      </c>
      <c r="F95" s="3" t="s">
        <v>1541</v>
      </c>
      <c r="G95" s="3" t="s">
        <v>1129</v>
      </c>
      <c r="H95" s="3" t="s">
        <v>941</v>
      </c>
      <c r="I95" s="3"/>
      <c r="J95" s="3" t="s">
        <v>1129</v>
      </c>
      <c r="K95" s="3" t="s">
        <v>1542</v>
      </c>
    </row>
    <row r="96" customFormat="false" ht="28.35" hidden="false" customHeight="false" outlineLevel="0" collapsed="false">
      <c r="A96" s="3" t="s">
        <v>1543</v>
      </c>
      <c r="B96" s="3" t="s">
        <v>1544</v>
      </c>
      <c r="C96" s="3" t="s">
        <v>1545</v>
      </c>
      <c r="D96" s="3" t="s">
        <v>1546</v>
      </c>
      <c r="E96" s="3" t="s">
        <v>1547</v>
      </c>
      <c r="F96" s="3" t="s">
        <v>1548</v>
      </c>
      <c r="G96" s="3" t="s">
        <v>1549</v>
      </c>
      <c r="H96" s="3" t="s">
        <v>941</v>
      </c>
      <c r="I96" s="3"/>
      <c r="J96" s="3" t="s">
        <v>1550</v>
      </c>
      <c r="K96" s="3" t="s">
        <v>1551</v>
      </c>
    </row>
    <row r="97" customFormat="false" ht="55.2" hidden="false" customHeight="false" outlineLevel="0" collapsed="false">
      <c r="A97" s="3" t="s">
        <v>1552</v>
      </c>
      <c r="B97" s="3" t="s">
        <v>1553</v>
      </c>
      <c r="C97" s="3" t="s">
        <v>1554</v>
      </c>
      <c r="D97" s="3" t="s">
        <v>1555</v>
      </c>
      <c r="E97" s="3" t="s">
        <v>1556</v>
      </c>
      <c r="F97" s="3" t="s">
        <v>1050</v>
      </c>
      <c r="G97" s="3" t="s">
        <v>1557</v>
      </c>
      <c r="H97" s="3" t="s">
        <v>941</v>
      </c>
      <c r="I97" s="3"/>
      <c r="J97" s="3" t="s">
        <v>1558</v>
      </c>
      <c r="K97" s="3" t="s">
        <v>1559</v>
      </c>
    </row>
    <row r="98" customFormat="false" ht="122.35" hidden="false" customHeight="false" outlineLevel="0" collapsed="false">
      <c r="A98" s="3" t="s">
        <v>1560</v>
      </c>
      <c r="B98" s="3" t="s">
        <v>1561</v>
      </c>
      <c r="C98" s="3" t="s">
        <v>1562</v>
      </c>
      <c r="D98" s="3" t="s">
        <v>1563</v>
      </c>
      <c r="E98" s="3" t="s">
        <v>1564</v>
      </c>
      <c r="F98" s="3" t="s">
        <v>1565</v>
      </c>
      <c r="G98" s="3" t="s">
        <v>1566</v>
      </c>
      <c r="H98" s="3" t="s">
        <v>941</v>
      </c>
      <c r="I98" s="3"/>
      <c r="J98" s="3" t="s">
        <v>1498</v>
      </c>
      <c r="K98" s="3" t="s">
        <v>1567</v>
      </c>
    </row>
    <row r="99" customFormat="false" ht="28.35" hidden="false" customHeight="false" outlineLevel="0" collapsed="false">
      <c r="A99" s="3" t="s">
        <v>1568</v>
      </c>
      <c r="B99" s="3" t="s">
        <v>1569</v>
      </c>
      <c r="C99" s="3" t="s">
        <v>1570</v>
      </c>
      <c r="D99" s="3" t="s">
        <v>1571</v>
      </c>
      <c r="E99" s="3" t="s">
        <v>1572</v>
      </c>
      <c r="F99" s="3" t="s">
        <v>1573</v>
      </c>
      <c r="G99" s="3" t="s">
        <v>1129</v>
      </c>
      <c r="H99" s="3" t="s">
        <v>941</v>
      </c>
      <c r="I99" s="3"/>
      <c r="J99" s="3" t="s">
        <v>1129</v>
      </c>
      <c r="K99" s="3" t="s">
        <v>1574</v>
      </c>
    </row>
    <row r="100" customFormat="false" ht="41.75" hidden="false" customHeight="false" outlineLevel="0" collapsed="false">
      <c r="A100" s="3" t="s">
        <v>1575</v>
      </c>
      <c r="B100" s="3" t="s">
        <v>1576</v>
      </c>
      <c r="C100" s="3" t="s">
        <v>1577</v>
      </c>
      <c r="D100" s="3" t="s">
        <v>1578</v>
      </c>
      <c r="E100" s="3" t="s">
        <v>1579</v>
      </c>
      <c r="F100" s="3" t="s">
        <v>1580</v>
      </c>
      <c r="G100" s="3" t="s">
        <v>1581</v>
      </c>
      <c r="H100" s="3" t="s">
        <v>941</v>
      </c>
      <c r="I100" s="3"/>
      <c r="J100" s="3" t="s">
        <v>1498</v>
      </c>
      <c r="K100" s="3" t="s">
        <v>1582</v>
      </c>
    </row>
    <row r="101" customFormat="false" ht="15" hidden="false" customHeight="false" outlineLevel="0" collapsed="false">
      <c r="A101" s="3" t="s">
        <v>1583</v>
      </c>
      <c r="B101" s="3" t="s">
        <v>1584</v>
      </c>
      <c r="C101" s="3" t="s">
        <v>1585</v>
      </c>
      <c r="D101" s="3" t="s">
        <v>1129</v>
      </c>
      <c r="E101" s="3" t="s">
        <v>1129</v>
      </c>
      <c r="F101" s="3" t="s">
        <v>1586</v>
      </c>
      <c r="G101" s="3" t="s">
        <v>1129</v>
      </c>
      <c r="H101" s="3" t="s">
        <v>941</v>
      </c>
      <c r="I101" s="3"/>
      <c r="J101" s="3" t="s">
        <v>1587</v>
      </c>
      <c r="K101" s="3" t="s">
        <v>1588</v>
      </c>
    </row>
    <row r="102" customFormat="false" ht="68.65" hidden="false" customHeight="false" outlineLevel="0" collapsed="false">
      <c r="A102" s="3" t="s">
        <v>1589</v>
      </c>
      <c r="B102" s="3" t="s">
        <v>1590</v>
      </c>
      <c r="C102" s="3" t="s">
        <v>1591</v>
      </c>
      <c r="D102" s="3" t="s">
        <v>1592</v>
      </c>
      <c r="E102" s="3" t="s">
        <v>1593</v>
      </c>
      <c r="F102" s="3" t="s">
        <v>1594</v>
      </c>
      <c r="G102" s="3" t="s">
        <v>1595</v>
      </c>
      <c r="H102" s="3" t="s">
        <v>941</v>
      </c>
      <c r="I102" s="3"/>
      <c r="J102" s="3" t="s">
        <v>1535</v>
      </c>
      <c r="K102" s="3" t="s">
        <v>1596</v>
      </c>
    </row>
    <row r="103" customFormat="false" ht="41.75" hidden="false" customHeight="false" outlineLevel="0" collapsed="false">
      <c r="A103" s="3" t="s">
        <v>1597</v>
      </c>
      <c r="B103" s="3" t="s">
        <v>1598</v>
      </c>
      <c r="C103" s="3" t="s">
        <v>1599</v>
      </c>
      <c r="D103" s="3" t="s">
        <v>1600</v>
      </c>
      <c r="E103" s="3" t="s">
        <v>1601</v>
      </c>
      <c r="F103" s="3" t="s">
        <v>1026</v>
      </c>
      <c r="G103" s="3" t="s">
        <v>1602</v>
      </c>
      <c r="H103" s="3" t="s">
        <v>941</v>
      </c>
      <c r="I103" s="3"/>
      <c r="J103" s="3" t="s">
        <v>1535</v>
      </c>
      <c r="K103" s="3" t="s">
        <v>1603</v>
      </c>
    </row>
    <row r="104" customFormat="false" ht="28.35" hidden="false" customHeight="false" outlineLevel="0" collapsed="false">
      <c r="A104" s="3" t="s">
        <v>1604</v>
      </c>
      <c r="B104" s="3" t="s">
        <v>1605</v>
      </c>
      <c r="C104" s="3" t="s">
        <v>1606</v>
      </c>
      <c r="D104" s="3" t="s">
        <v>1607</v>
      </c>
      <c r="E104" s="3" t="s">
        <v>1608</v>
      </c>
      <c r="F104" s="3" t="s">
        <v>1203</v>
      </c>
      <c r="G104" s="3" t="s">
        <v>1609</v>
      </c>
      <c r="H104" s="3" t="s">
        <v>941</v>
      </c>
      <c r="I104" s="3"/>
      <c r="J104" s="3" t="s">
        <v>1610</v>
      </c>
      <c r="K104" s="3" t="s">
        <v>1611</v>
      </c>
    </row>
    <row r="105" customFormat="false" ht="41.75" hidden="false" customHeight="false" outlineLevel="0" collapsed="false">
      <c r="A105" s="3" t="s">
        <v>1612</v>
      </c>
      <c r="B105" s="3" t="s">
        <v>1613</v>
      </c>
      <c r="C105" s="3" t="s">
        <v>1445</v>
      </c>
      <c r="D105" s="3" t="s">
        <v>1614</v>
      </c>
      <c r="E105" s="3" t="s">
        <v>1615</v>
      </c>
      <c r="F105" s="3" t="s">
        <v>1616</v>
      </c>
      <c r="G105" s="3" t="s">
        <v>1617</v>
      </c>
      <c r="H105" s="3" t="s">
        <v>941</v>
      </c>
      <c r="I105" s="3"/>
      <c r="J105" s="3" t="s">
        <v>1618</v>
      </c>
      <c r="K105" s="3" t="s">
        <v>1519</v>
      </c>
    </row>
    <row r="106" customFormat="false" ht="28.35" hidden="false" customHeight="false" outlineLevel="0" collapsed="false">
      <c r="A106" s="3" t="s">
        <v>1619</v>
      </c>
      <c r="B106" s="3" t="s">
        <v>1620</v>
      </c>
      <c r="C106" s="3" t="s">
        <v>1445</v>
      </c>
      <c r="D106" s="3" t="s">
        <v>1621</v>
      </c>
      <c r="E106" s="3" t="s">
        <v>1622</v>
      </c>
      <c r="F106" s="3" t="s">
        <v>1623</v>
      </c>
      <c r="G106" s="3" t="s">
        <v>1129</v>
      </c>
      <c r="H106" s="3" t="s">
        <v>941</v>
      </c>
      <c r="I106" s="3"/>
      <c r="J106" s="3" t="s">
        <v>1518</v>
      </c>
      <c r="K106" s="3" t="s">
        <v>1519</v>
      </c>
    </row>
    <row r="107" customFormat="false" ht="28.35" hidden="false" customHeight="false" outlineLevel="0" collapsed="false">
      <c r="A107" s="3" t="s">
        <v>1624</v>
      </c>
      <c r="B107" s="3" t="s">
        <v>1625</v>
      </c>
      <c r="C107" s="3" t="s">
        <v>1626</v>
      </c>
      <c r="D107" s="3" t="s">
        <v>1627</v>
      </c>
      <c r="E107" s="3" t="s">
        <v>1628</v>
      </c>
      <c r="F107" s="3" t="s">
        <v>1629</v>
      </c>
      <c r="G107" s="3" t="s">
        <v>1129</v>
      </c>
      <c r="H107" s="3" t="s">
        <v>941</v>
      </c>
      <c r="I107" s="3"/>
      <c r="J107" s="3" t="s">
        <v>1498</v>
      </c>
      <c r="K107" s="3" t="s">
        <v>1525</v>
      </c>
    </row>
    <row r="108" customFormat="false" ht="28.35" hidden="false" customHeight="false" outlineLevel="0" collapsed="false">
      <c r="A108" s="3" t="s">
        <v>1630</v>
      </c>
      <c r="B108" s="3" t="s">
        <v>1631</v>
      </c>
      <c r="C108" s="3" t="s">
        <v>1632</v>
      </c>
      <c r="D108" s="3" t="s">
        <v>1633</v>
      </c>
      <c r="E108" s="3" t="s">
        <v>1634</v>
      </c>
      <c r="F108" s="3" t="s">
        <v>1635</v>
      </c>
      <c r="G108" s="3" t="s">
        <v>1636</v>
      </c>
      <c r="H108" s="3" t="s">
        <v>941</v>
      </c>
      <c r="I108" s="3"/>
      <c r="J108" s="3" t="s">
        <v>1498</v>
      </c>
      <c r="K108" s="3" t="s">
        <v>1637</v>
      </c>
    </row>
    <row r="109" customFormat="false" ht="41.75" hidden="false" customHeight="false" outlineLevel="0" collapsed="false">
      <c r="A109" s="3" t="s">
        <v>1638</v>
      </c>
      <c r="B109" s="3" t="s">
        <v>1639</v>
      </c>
      <c r="C109" s="3" t="s">
        <v>1640</v>
      </c>
      <c r="D109" s="3" t="s">
        <v>1641</v>
      </c>
      <c r="E109" s="3" t="s">
        <v>1642</v>
      </c>
      <c r="F109" s="3" t="s">
        <v>1643</v>
      </c>
      <c r="G109" s="3" t="s">
        <v>1644</v>
      </c>
      <c r="H109" s="3" t="s">
        <v>941</v>
      </c>
      <c r="I109" s="3"/>
      <c r="J109" s="3" t="s">
        <v>1618</v>
      </c>
      <c r="K109" s="3" t="s">
        <v>1525</v>
      </c>
    </row>
    <row r="110" customFormat="false" ht="55.2" hidden="false" customHeight="false" outlineLevel="0" collapsed="false">
      <c r="A110" s="3" t="s">
        <v>1645</v>
      </c>
      <c r="B110" s="3" t="s">
        <v>1646</v>
      </c>
      <c r="C110" s="3" t="s">
        <v>1647</v>
      </c>
      <c r="D110" s="3" t="s">
        <v>1648</v>
      </c>
      <c r="E110" s="3" t="s">
        <v>1649</v>
      </c>
      <c r="F110" s="3" t="s">
        <v>1650</v>
      </c>
      <c r="G110" s="3" t="s">
        <v>1651</v>
      </c>
      <c r="H110" s="3" t="s">
        <v>941</v>
      </c>
      <c r="I110" s="3"/>
      <c r="J110" s="3" t="s">
        <v>1652</v>
      </c>
      <c r="K110" s="3" t="s">
        <v>1519</v>
      </c>
    </row>
    <row r="111" customFormat="false" ht="82.05" hidden="false" customHeight="false" outlineLevel="0" collapsed="false">
      <c r="A111" s="3" t="s">
        <v>102</v>
      </c>
      <c r="B111" s="3" t="s">
        <v>1653</v>
      </c>
      <c r="C111" s="3" t="s">
        <v>1654</v>
      </c>
      <c r="D111" s="3" t="s">
        <v>1655</v>
      </c>
      <c r="E111" s="3" t="s">
        <v>1656</v>
      </c>
      <c r="F111" s="3" t="s">
        <v>1657</v>
      </c>
      <c r="G111" s="3" t="s">
        <v>1658</v>
      </c>
      <c r="H111" s="3" t="s">
        <v>941</v>
      </c>
      <c r="I111" s="3"/>
      <c r="J111" s="3" t="s">
        <v>1498</v>
      </c>
      <c r="K111" s="3" t="s">
        <v>1659</v>
      </c>
    </row>
    <row r="112" customFormat="false" ht="68.65" hidden="false" customHeight="false" outlineLevel="0" collapsed="false">
      <c r="A112" s="3" t="s">
        <v>1660</v>
      </c>
      <c r="B112" s="3" t="s">
        <v>1661</v>
      </c>
      <c r="C112" s="3" t="s">
        <v>1662</v>
      </c>
      <c r="D112" s="3" t="s">
        <v>1663</v>
      </c>
      <c r="E112" s="3" t="s">
        <v>1664</v>
      </c>
      <c r="F112" s="3" t="s">
        <v>1665</v>
      </c>
      <c r="G112" s="3" t="s">
        <v>1666</v>
      </c>
      <c r="H112" s="3" t="s">
        <v>941</v>
      </c>
      <c r="I112" s="3"/>
      <c r="J112" s="3" t="s">
        <v>1498</v>
      </c>
      <c r="K112" s="3" t="s">
        <v>1525</v>
      </c>
    </row>
    <row r="113" customFormat="false" ht="41.75" hidden="false" customHeight="false" outlineLevel="0" collapsed="false">
      <c r="A113" s="3" t="s">
        <v>1667</v>
      </c>
      <c r="B113" s="3" t="s">
        <v>1668</v>
      </c>
      <c r="C113" s="3" t="s">
        <v>1669</v>
      </c>
      <c r="D113" s="3" t="s">
        <v>1670</v>
      </c>
      <c r="E113" s="3" t="s">
        <v>1671</v>
      </c>
      <c r="F113" s="3" t="s">
        <v>1672</v>
      </c>
      <c r="G113" s="3" t="s">
        <v>1673</v>
      </c>
      <c r="H113" s="3" t="s">
        <v>941</v>
      </c>
      <c r="I113" s="3"/>
      <c r="J113" s="3" t="s">
        <v>1498</v>
      </c>
      <c r="K113" s="3" t="s">
        <v>1519</v>
      </c>
    </row>
    <row r="114" customFormat="false" ht="41.75" hidden="false" customHeight="false" outlineLevel="0" collapsed="false">
      <c r="A114" s="3" t="s">
        <v>1674</v>
      </c>
      <c r="B114" s="3" t="s">
        <v>1675</v>
      </c>
      <c r="C114" s="3" t="s">
        <v>1676</v>
      </c>
      <c r="D114" s="3" t="s">
        <v>1677</v>
      </c>
      <c r="E114" s="3" t="s">
        <v>1678</v>
      </c>
      <c r="F114" s="3" t="s">
        <v>1679</v>
      </c>
      <c r="G114" s="3" t="s">
        <v>1680</v>
      </c>
      <c r="H114" s="3" t="s">
        <v>941</v>
      </c>
      <c r="I114" s="3"/>
      <c r="J114" s="3" t="s">
        <v>1518</v>
      </c>
      <c r="K114" s="3" t="s">
        <v>1525</v>
      </c>
    </row>
    <row r="115" customFormat="false" ht="68.65" hidden="false" customHeight="false" outlineLevel="0" collapsed="false">
      <c r="A115" s="3" t="s">
        <v>1681</v>
      </c>
      <c r="B115" s="3" t="s">
        <v>1682</v>
      </c>
      <c r="C115" s="3" t="s">
        <v>1452</v>
      </c>
      <c r="D115" s="3" t="s">
        <v>1683</v>
      </c>
      <c r="E115" s="3" t="s">
        <v>1684</v>
      </c>
      <c r="F115" s="3" t="s">
        <v>1026</v>
      </c>
      <c r="G115" s="3" t="s">
        <v>1129</v>
      </c>
      <c r="H115" s="3" t="s">
        <v>941</v>
      </c>
      <c r="I115" s="3"/>
      <c r="J115" s="3" t="s">
        <v>1518</v>
      </c>
      <c r="K115" s="3" t="s">
        <v>1519</v>
      </c>
    </row>
    <row r="116" customFormat="false" ht="41.75" hidden="false" customHeight="false" outlineLevel="0" collapsed="false">
      <c r="A116" s="3" t="s">
        <v>1685</v>
      </c>
      <c r="B116" s="3" t="s">
        <v>1686</v>
      </c>
      <c r="C116" s="3" t="s">
        <v>1687</v>
      </c>
      <c r="D116" s="3" t="s">
        <v>1688</v>
      </c>
      <c r="E116" s="3" t="s">
        <v>1689</v>
      </c>
      <c r="F116" s="3" t="s">
        <v>1690</v>
      </c>
      <c r="G116" s="3" t="s">
        <v>1129</v>
      </c>
      <c r="H116" s="3" t="s">
        <v>941</v>
      </c>
      <c r="I116" s="3"/>
      <c r="J116" s="3" t="s">
        <v>1691</v>
      </c>
      <c r="K116" s="3" t="s">
        <v>1525</v>
      </c>
    </row>
    <row r="117" customFormat="false" ht="95.5" hidden="false" customHeight="false" outlineLevel="0" collapsed="false">
      <c r="A117" s="3" t="s">
        <v>1692</v>
      </c>
      <c r="B117" s="3" t="s">
        <v>1693</v>
      </c>
      <c r="C117" s="3" t="s">
        <v>1694</v>
      </c>
      <c r="D117" s="3" t="s">
        <v>1695</v>
      </c>
      <c r="E117" s="3" t="s">
        <v>1696</v>
      </c>
      <c r="F117" s="3" t="s">
        <v>1697</v>
      </c>
      <c r="G117" s="3" t="s">
        <v>1129</v>
      </c>
      <c r="H117" s="3" t="s">
        <v>941</v>
      </c>
      <c r="I117" s="3"/>
      <c r="J117" s="3" t="s">
        <v>1518</v>
      </c>
      <c r="K117" s="3" t="s">
        <v>1698</v>
      </c>
    </row>
    <row r="118" customFormat="false" ht="68.65" hidden="false" customHeight="false" outlineLevel="0" collapsed="false">
      <c r="A118" s="3" t="s">
        <v>1699</v>
      </c>
      <c r="B118" s="3" t="s">
        <v>1700</v>
      </c>
      <c r="C118" s="3" t="s">
        <v>1701</v>
      </c>
      <c r="D118" s="3" t="s">
        <v>1702</v>
      </c>
      <c r="E118" s="3" t="s">
        <v>1703</v>
      </c>
      <c r="F118" s="3" t="s">
        <v>1704</v>
      </c>
      <c r="G118" s="3" t="s">
        <v>1705</v>
      </c>
      <c r="H118" s="3" t="s">
        <v>941</v>
      </c>
      <c r="I118" s="3"/>
      <c r="J118" s="3" t="s">
        <v>1518</v>
      </c>
      <c r="K118" s="3" t="s">
        <v>1519</v>
      </c>
    </row>
    <row r="119" customFormat="false" ht="28.35" hidden="false" customHeight="false" outlineLevel="0" collapsed="false">
      <c r="A119" s="3" t="s">
        <v>1706</v>
      </c>
      <c r="B119" s="3" t="s">
        <v>1707</v>
      </c>
      <c r="C119" s="3" t="s">
        <v>1708</v>
      </c>
      <c r="D119" s="3" t="s">
        <v>1709</v>
      </c>
      <c r="E119" s="3" t="s">
        <v>1710</v>
      </c>
      <c r="F119" s="3" t="s">
        <v>1711</v>
      </c>
      <c r="G119" s="3" t="s">
        <v>1129</v>
      </c>
      <c r="H119" s="3" t="s">
        <v>941</v>
      </c>
      <c r="I119" s="3"/>
      <c r="J119" s="3" t="s">
        <v>1518</v>
      </c>
      <c r="K119" s="3" t="s">
        <v>1519</v>
      </c>
    </row>
    <row r="120" customFormat="false" ht="55.2" hidden="false" customHeight="false" outlineLevel="0" collapsed="false">
      <c r="A120" s="3" t="s">
        <v>1712</v>
      </c>
      <c r="B120" s="3" t="s">
        <v>1713</v>
      </c>
      <c r="C120" s="3" t="s">
        <v>1714</v>
      </c>
      <c r="D120" s="3" t="s">
        <v>1715</v>
      </c>
      <c r="E120" s="3" t="s">
        <v>1716</v>
      </c>
      <c r="F120" s="3" t="s">
        <v>1717</v>
      </c>
      <c r="G120" s="3" t="s">
        <v>1718</v>
      </c>
      <c r="H120" s="3" t="s">
        <v>941</v>
      </c>
      <c r="I120" s="3"/>
      <c r="J120" s="3" t="s">
        <v>1498</v>
      </c>
      <c r="K120" s="3" t="s">
        <v>1519</v>
      </c>
    </row>
    <row r="121" customFormat="false" ht="68.65" hidden="false" customHeight="false" outlineLevel="0" collapsed="false">
      <c r="A121" s="3" t="s">
        <v>1719</v>
      </c>
      <c r="B121" s="3" t="s">
        <v>1720</v>
      </c>
      <c r="C121" s="3" t="s">
        <v>1721</v>
      </c>
      <c r="D121" s="3" t="s">
        <v>1722</v>
      </c>
      <c r="E121" s="3" t="s">
        <v>1723</v>
      </c>
      <c r="F121" s="3" t="s">
        <v>1724</v>
      </c>
      <c r="G121" s="3" t="s">
        <v>1129</v>
      </c>
      <c r="H121" s="3" t="s">
        <v>941</v>
      </c>
      <c r="I121" s="3"/>
      <c r="J121" s="3" t="s">
        <v>1518</v>
      </c>
      <c r="K121" s="3" t="s">
        <v>1525</v>
      </c>
    </row>
    <row r="122" customFormat="false" ht="41.75" hidden="false" customHeight="false" outlineLevel="0" collapsed="false">
      <c r="A122" s="3" t="s">
        <v>1725</v>
      </c>
      <c r="B122" s="3" t="s">
        <v>1726</v>
      </c>
      <c r="C122" s="3" t="s">
        <v>1727</v>
      </c>
      <c r="D122" s="3" t="s">
        <v>1728</v>
      </c>
      <c r="E122" s="3" t="s">
        <v>1729</v>
      </c>
      <c r="F122" s="3" t="s">
        <v>1730</v>
      </c>
      <c r="G122" s="3" t="s">
        <v>1129</v>
      </c>
      <c r="H122" s="3" t="s">
        <v>941</v>
      </c>
      <c r="I122" s="3"/>
      <c r="J122" s="3" t="s">
        <v>1691</v>
      </c>
      <c r="K122" s="3" t="s">
        <v>1731</v>
      </c>
    </row>
    <row r="123" customFormat="false" ht="55.2" hidden="false" customHeight="false" outlineLevel="0" collapsed="false">
      <c r="A123" s="3" t="s">
        <v>1732</v>
      </c>
      <c r="B123" s="3" t="s">
        <v>1733</v>
      </c>
      <c r="C123" s="3" t="s">
        <v>1734</v>
      </c>
      <c r="D123" s="3" t="s">
        <v>1735</v>
      </c>
      <c r="E123" s="3" t="s">
        <v>1736</v>
      </c>
      <c r="F123" s="3" t="s">
        <v>1737</v>
      </c>
      <c r="G123" s="3" t="s">
        <v>1129</v>
      </c>
      <c r="H123" s="3" t="s">
        <v>941</v>
      </c>
      <c r="I123" s="3"/>
      <c r="J123" s="3" t="s">
        <v>1518</v>
      </c>
      <c r="K123" s="3" t="s">
        <v>1738</v>
      </c>
    </row>
    <row r="124" customFormat="false" ht="28.35" hidden="false" customHeight="false" outlineLevel="0" collapsed="false">
      <c r="A124" s="3" t="s">
        <v>1739</v>
      </c>
      <c r="B124" s="3" t="s">
        <v>1740</v>
      </c>
      <c r="C124" s="3" t="s">
        <v>1741</v>
      </c>
      <c r="D124" s="3" t="s">
        <v>1742</v>
      </c>
      <c r="E124" s="3" t="s">
        <v>1743</v>
      </c>
      <c r="F124" s="3" t="s">
        <v>1744</v>
      </c>
      <c r="G124" s="3" t="s">
        <v>1745</v>
      </c>
      <c r="H124" s="3" t="s">
        <v>1232</v>
      </c>
      <c r="I124" s="3"/>
      <c r="J124" s="3" t="s">
        <v>1746</v>
      </c>
      <c r="K124" s="3" t="s">
        <v>1747</v>
      </c>
    </row>
    <row r="125" customFormat="false" ht="15" hidden="false" customHeight="false" outlineLevel="0" collapsed="false">
      <c r="A125" s="3" t="s">
        <v>1748</v>
      </c>
      <c r="B125" s="3" t="s">
        <v>1749</v>
      </c>
      <c r="C125" s="3" t="s">
        <v>1741</v>
      </c>
      <c r="D125" s="3" t="s">
        <v>1750</v>
      </c>
      <c r="E125" s="3" t="s">
        <v>1751</v>
      </c>
      <c r="F125" s="3" t="s">
        <v>1752</v>
      </c>
      <c r="G125" s="3" t="s">
        <v>1753</v>
      </c>
      <c r="H125" s="3" t="s">
        <v>1232</v>
      </c>
      <c r="I125" s="3"/>
      <c r="J125" s="3" t="s">
        <v>1518</v>
      </c>
      <c r="K125" s="3" t="s">
        <v>1754</v>
      </c>
    </row>
    <row r="126" customFormat="false" ht="41.75" hidden="false" customHeight="false" outlineLevel="0" collapsed="false">
      <c r="A126" s="3" t="s">
        <v>1755</v>
      </c>
      <c r="B126" s="3" t="s">
        <v>1756</v>
      </c>
      <c r="C126" s="3" t="s">
        <v>1757</v>
      </c>
      <c r="D126" s="3" t="s">
        <v>1758</v>
      </c>
      <c r="E126" s="3" t="s">
        <v>1759</v>
      </c>
      <c r="F126" s="3" t="s">
        <v>1760</v>
      </c>
      <c r="G126" s="3" t="s">
        <v>1129</v>
      </c>
      <c r="H126" s="3" t="s">
        <v>1232</v>
      </c>
      <c r="I126" s="3"/>
      <c r="J126" s="3" t="s">
        <v>1761</v>
      </c>
      <c r="K126" s="3" t="s">
        <v>1762</v>
      </c>
    </row>
    <row r="127" customFormat="false" ht="41.75" hidden="false" customHeight="false" outlineLevel="0" collapsed="false">
      <c r="A127" s="3" t="s">
        <v>1763</v>
      </c>
      <c r="B127" s="3" t="s">
        <v>1764</v>
      </c>
      <c r="C127" s="3" t="s">
        <v>1765</v>
      </c>
      <c r="D127" s="3" t="s">
        <v>1766</v>
      </c>
      <c r="E127" s="3" t="s">
        <v>1767</v>
      </c>
      <c r="F127" s="3" t="s">
        <v>1203</v>
      </c>
      <c r="G127" s="3" t="s">
        <v>1753</v>
      </c>
      <c r="H127" s="3" t="s">
        <v>1232</v>
      </c>
      <c r="I127" s="3"/>
      <c r="J127" s="3" t="s">
        <v>1518</v>
      </c>
      <c r="K127" s="3" t="s">
        <v>1768</v>
      </c>
    </row>
    <row r="128" customFormat="false" ht="68.65" hidden="false" customHeight="false" outlineLevel="0" collapsed="false">
      <c r="A128" s="3" t="s">
        <v>1769</v>
      </c>
      <c r="B128" s="3" t="s">
        <v>1770</v>
      </c>
      <c r="C128" s="3" t="s">
        <v>1771</v>
      </c>
      <c r="D128" s="3" t="s">
        <v>1772</v>
      </c>
      <c r="E128" s="3" t="s">
        <v>1773</v>
      </c>
      <c r="F128" s="3" t="s">
        <v>1774</v>
      </c>
      <c r="G128" s="3" t="s">
        <v>1129</v>
      </c>
      <c r="H128" s="3" t="s">
        <v>1232</v>
      </c>
      <c r="I128" s="3"/>
      <c r="J128" s="3" t="s">
        <v>1498</v>
      </c>
      <c r="K128" s="3" t="s">
        <v>1519</v>
      </c>
    </row>
    <row r="129" customFormat="false" ht="28.35" hidden="false" customHeight="false" outlineLevel="0" collapsed="false">
      <c r="A129" s="3" t="s">
        <v>1775</v>
      </c>
      <c r="B129" s="3" t="s">
        <v>1776</v>
      </c>
      <c r="C129" s="3" t="s">
        <v>1777</v>
      </c>
      <c r="D129" s="3" t="s">
        <v>1778</v>
      </c>
      <c r="E129" s="3" t="s">
        <v>1779</v>
      </c>
      <c r="F129" s="3" t="s">
        <v>991</v>
      </c>
      <c r="G129" s="3" t="s">
        <v>1129</v>
      </c>
      <c r="H129" s="3" t="s">
        <v>1232</v>
      </c>
      <c r="I129" s="3"/>
      <c r="J129" s="3" t="s">
        <v>1129</v>
      </c>
      <c r="K129" s="3" t="s">
        <v>1780</v>
      </c>
    </row>
    <row r="130" customFormat="false" ht="28.35" hidden="false" customHeight="false" outlineLevel="0" collapsed="false">
      <c r="A130" s="3" t="s">
        <v>1781</v>
      </c>
      <c r="B130" s="3" t="s">
        <v>1782</v>
      </c>
      <c r="C130" s="3" t="s">
        <v>1757</v>
      </c>
      <c r="D130" s="3" t="s">
        <v>1783</v>
      </c>
      <c r="E130" s="3" t="s">
        <v>1784</v>
      </c>
      <c r="F130" s="3" t="s">
        <v>1129</v>
      </c>
      <c r="G130" s="3" t="s">
        <v>1129</v>
      </c>
      <c r="H130" s="3" t="s">
        <v>1232</v>
      </c>
      <c r="I130" s="3"/>
      <c r="J130" s="3" t="s">
        <v>1518</v>
      </c>
      <c r="K130" s="3" t="s">
        <v>1582</v>
      </c>
    </row>
    <row r="131" customFormat="false" ht="28.35" hidden="false" customHeight="false" outlineLevel="0" collapsed="false">
      <c r="A131" s="3" t="s">
        <v>1785</v>
      </c>
      <c r="B131" s="3" t="s">
        <v>1786</v>
      </c>
      <c r="C131" s="3" t="s">
        <v>1787</v>
      </c>
      <c r="D131" s="3" t="s">
        <v>1788</v>
      </c>
      <c r="E131" s="3" t="s">
        <v>1789</v>
      </c>
      <c r="F131" s="3" t="s">
        <v>1129</v>
      </c>
      <c r="G131" s="3" t="s">
        <v>1129</v>
      </c>
      <c r="H131" s="3" t="s">
        <v>1226</v>
      </c>
      <c r="I131" s="3"/>
      <c r="J131" s="3" t="s">
        <v>1518</v>
      </c>
      <c r="K131" s="3" t="s">
        <v>1519</v>
      </c>
    </row>
    <row r="132" customFormat="false" ht="55.2" hidden="false" customHeight="false" outlineLevel="0" collapsed="false">
      <c r="A132" s="3" t="s">
        <v>1790</v>
      </c>
      <c r="B132" s="3" t="s">
        <v>1791</v>
      </c>
      <c r="C132" s="3" t="s">
        <v>1792</v>
      </c>
      <c r="D132" s="3" t="s">
        <v>1793</v>
      </c>
      <c r="E132" s="3" t="s">
        <v>1794</v>
      </c>
      <c r="F132" s="3" t="s">
        <v>1795</v>
      </c>
      <c r="G132" s="3" t="s">
        <v>1796</v>
      </c>
      <c r="H132" s="3" t="s">
        <v>1226</v>
      </c>
      <c r="I132" s="3"/>
      <c r="J132" s="3" t="s">
        <v>1518</v>
      </c>
      <c r="K132" s="3" t="s">
        <v>1525</v>
      </c>
    </row>
    <row r="133" customFormat="false" ht="28.35" hidden="false" customHeight="false" outlineLevel="0" collapsed="false">
      <c r="A133" s="3" t="s">
        <v>1797</v>
      </c>
      <c r="B133" s="3" t="s">
        <v>1798</v>
      </c>
      <c r="C133" s="3" t="s">
        <v>1741</v>
      </c>
      <c r="D133" s="3" t="s">
        <v>1799</v>
      </c>
      <c r="E133" s="3" t="s">
        <v>1800</v>
      </c>
      <c r="F133" s="3" t="s">
        <v>1801</v>
      </c>
      <c r="G133" s="3" t="s">
        <v>1129</v>
      </c>
      <c r="H133" s="3" t="s">
        <v>1232</v>
      </c>
      <c r="I133" s="3"/>
      <c r="J133" s="3" t="s">
        <v>1802</v>
      </c>
      <c r="K133" s="3" t="s">
        <v>1754</v>
      </c>
    </row>
    <row r="134" customFormat="false" ht="82.05" hidden="false" customHeight="false" outlineLevel="0" collapsed="false">
      <c r="A134" s="3" t="s">
        <v>1803</v>
      </c>
      <c r="B134" s="3" t="s">
        <v>1804</v>
      </c>
      <c r="C134" s="3" t="s">
        <v>1805</v>
      </c>
      <c r="D134" s="3" t="s">
        <v>1806</v>
      </c>
      <c r="E134" s="3" t="s">
        <v>1807</v>
      </c>
      <c r="F134" s="3" t="s">
        <v>1129</v>
      </c>
      <c r="G134" s="3" t="s">
        <v>1129</v>
      </c>
      <c r="H134" s="3" t="s">
        <v>1808</v>
      </c>
      <c r="I134" s="3"/>
      <c r="J134" s="3" t="s">
        <v>1809</v>
      </c>
      <c r="K134" s="3" t="s">
        <v>1519</v>
      </c>
    </row>
    <row r="135" customFormat="false" ht="41.75" hidden="false" customHeight="false" outlineLevel="0" collapsed="false">
      <c r="A135" s="3" t="s">
        <v>1810</v>
      </c>
      <c r="B135" s="3" t="s">
        <v>1811</v>
      </c>
      <c r="C135" s="3" t="s">
        <v>1812</v>
      </c>
      <c r="D135" s="3" t="s">
        <v>1813</v>
      </c>
      <c r="E135" s="3" t="s">
        <v>1814</v>
      </c>
      <c r="F135" s="3" t="s">
        <v>1815</v>
      </c>
      <c r="G135" s="3" t="s">
        <v>1129</v>
      </c>
      <c r="H135" s="3" t="s">
        <v>1816</v>
      </c>
      <c r="I135" s="3"/>
      <c r="J135" s="3" t="s">
        <v>1129</v>
      </c>
      <c r="K135" s="3" t="s">
        <v>1817</v>
      </c>
    </row>
    <row r="136" customFormat="false" ht="28.35" hidden="false" customHeight="false" outlineLevel="0" collapsed="false">
      <c r="A136" s="3" t="s">
        <v>1818</v>
      </c>
      <c r="B136" s="3" t="s">
        <v>1819</v>
      </c>
      <c r="C136" s="3" t="s">
        <v>1820</v>
      </c>
      <c r="D136" s="3" t="s">
        <v>1821</v>
      </c>
      <c r="E136" s="3" t="s">
        <v>1822</v>
      </c>
      <c r="F136" s="3" t="s">
        <v>1823</v>
      </c>
      <c r="G136" s="3" t="s">
        <v>1129</v>
      </c>
      <c r="H136" s="3" t="s">
        <v>1226</v>
      </c>
      <c r="I136" s="3"/>
      <c r="J136" s="3" t="s">
        <v>1129</v>
      </c>
      <c r="K136" s="3" t="s">
        <v>1582</v>
      </c>
    </row>
    <row r="137" customFormat="false" ht="68.65" hidden="false" customHeight="false" outlineLevel="0" collapsed="false">
      <c r="A137" s="3" t="s">
        <v>1824</v>
      </c>
      <c r="B137" s="3" t="s">
        <v>1825</v>
      </c>
      <c r="C137" s="3" t="s">
        <v>1826</v>
      </c>
      <c r="D137" s="3" t="s">
        <v>1827</v>
      </c>
      <c r="E137" s="3" t="s">
        <v>1828</v>
      </c>
      <c r="F137" s="3" t="s">
        <v>1829</v>
      </c>
      <c r="G137" s="3" t="s">
        <v>1129</v>
      </c>
      <c r="H137" s="3" t="s">
        <v>1830</v>
      </c>
      <c r="I137" s="3"/>
      <c r="J137" s="3" t="s">
        <v>1129</v>
      </c>
      <c r="K137" s="3" t="s">
        <v>1831</v>
      </c>
    </row>
    <row r="138" customFormat="false" ht="55.2" hidden="false" customHeight="false" outlineLevel="0" collapsed="false">
      <c r="A138" s="3" t="s">
        <v>1832</v>
      </c>
      <c r="B138" s="3" t="s">
        <v>1833</v>
      </c>
      <c r="C138" s="3" t="s">
        <v>1834</v>
      </c>
      <c r="D138" s="3" t="s">
        <v>1835</v>
      </c>
      <c r="E138" s="3" t="s">
        <v>1836</v>
      </c>
      <c r="F138" s="3" t="s">
        <v>1837</v>
      </c>
      <c r="G138" s="3" t="s">
        <v>1129</v>
      </c>
      <c r="H138" s="3" t="s">
        <v>933</v>
      </c>
      <c r="I138" s="3"/>
      <c r="J138" s="3" t="s">
        <v>1129</v>
      </c>
      <c r="K138" s="3" t="s">
        <v>1582</v>
      </c>
    </row>
    <row r="139" customFormat="false" ht="28.35" hidden="false" customHeight="false" outlineLevel="0" collapsed="false">
      <c r="A139" s="3" t="s">
        <v>1838</v>
      </c>
      <c r="B139" s="3" t="s">
        <v>1839</v>
      </c>
      <c r="C139" s="3" t="s">
        <v>1787</v>
      </c>
      <c r="D139" s="3" t="s">
        <v>1840</v>
      </c>
      <c r="E139" s="3" t="s">
        <v>1841</v>
      </c>
      <c r="F139" s="3" t="s">
        <v>1129</v>
      </c>
      <c r="G139" s="3" t="s">
        <v>1129</v>
      </c>
      <c r="H139" s="3" t="s">
        <v>1226</v>
      </c>
      <c r="I139" s="3"/>
      <c r="J139" s="3" t="s">
        <v>1518</v>
      </c>
      <c r="K139" s="3" t="s">
        <v>1842</v>
      </c>
    </row>
    <row r="140" customFormat="false" ht="55.2" hidden="false" customHeight="false" outlineLevel="0" collapsed="false">
      <c r="A140" s="3" t="s">
        <v>143</v>
      </c>
      <c r="B140" s="3" t="s">
        <v>1843</v>
      </c>
      <c r="C140" s="3" t="s">
        <v>1844</v>
      </c>
      <c r="D140" s="3" t="s">
        <v>1845</v>
      </c>
      <c r="E140" s="3" t="s">
        <v>1846</v>
      </c>
      <c r="F140" s="3" t="s">
        <v>1129</v>
      </c>
      <c r="G140" s="3" t="s">
        <v>1847</v>
      </c>
      <c r="H140" s="3" t="s">
        <v>941</v>
      </c>
      <c r="I140" s="3"/>
      <c r="J140" s="3" t="s">
        <v>1518</v>
      </c>
      <c r="K140" s="3" t="s">
        <v>1582</v>
      </c>
    </row>
    <row r="141" customFormat="false" ht="41.75" hidden="false" customHeight="false" outlineLevel="0" collapsed="false">
      <c r="A141" s="3" t="s">
        <v>1848</v>
      </c>
      <c r="B141" s="3" t="s">
        <v>1849</v>
      </c>
      <c r="C141" s="3" t="s">
        <v>1850</v>
      </c>
      <c r="D141" s="3" t="s">
        <v>1851</v>
      </c>
      <c r="E141" s="3" t="s">
        <v>1852</v>
      </c>
      <c r="F141" s="3" t="s">
        <v>1129</v>
      </c>
      <c r="G141" s="3" t="s">
        <v>1853</v>
      </c>
      <c r="H141" s="3" t="s">
        <v>941</v>
      </c>
      <c r="I141" s="3"/>
      <c r="J141" s="3" t="s">
        <v>1518</v>
      </c>
      <c r="K141" s="3" t="s">
        <v>1519</v>
      </c>
    </row>
    <row r="142" customFormat="false" ht="28.35" hidden="false" customHeight="false" outlineLevel="0" collapsed="false">
      <c r="A142" s="3" t="s">
        <v>1854</v>
      </c>
      <c r="B142" s="3" t="s">
        <v>1855</v>
      </c>
      <c r="C142" s="3" t="s">
        <v>1856</v>
      </c>
      <c r="D142" s="3" t="s">
        <v>1857</v>
      </c>
      <c r="E142" s="3" t="s">
        <v>1858</v>
      </c>
      <c r="F142" s="3" t="s">
        <v>1129</v>
      </c>
      <c r="G142" s="3" t="s">
        <v>1859</v>
      </c>
      <c r="H142" s="3" t="s">
        <v>941</v>
      </c>
      <c r="I142" s="3"/>
      <c r="J142" s="3" t="s">
        <v>1518</v>
      </c>
      <c r="K142" s="3" t="s">
        <v>1588</v>
      </c>
    </row>
    <row r="143" customFormat="false" ht="28.35" hidden="false" customHeight="false" outlineLevel="0" collapsed="false">
      <c r="A143" s="3" t="s">
        <v>1860</v>
      </c>
      <c r="B143" s="3" t="s">
        <v>1861</v>
      </c>
      <c r="C143" s="3" t="s">
        <v>1862</v>
      </c>
      <c r="D143" s="3" t="s">
        <v>1863</v>
      </c>
      <c r="E143" s="3" t="s">
        <v>1864</v>
      </c>
      <c r="F143" s="3" t="s">
        <v>1129</v>
      </c>
      <c r="G143" s="3" t="s">
        <v>1865</v>
      </c>
      <c r="H143" s="3" t="s">
        <v>941</v>
      </c>
      <c r="I143" s="3"/>
      <c r="J143" s="3" t="s">
        <v>1498</v>
      </c>
      <c r="K143" s="3" t="s">
        <v>1866</v>
      </c>
    </row>
    <row r="144" customFormat="false" ht="55.2" hidden="false" customHeight="false" outlineLevel="0" collapsed="false">
      <c r="A144" s="3" t="s">
        <v>1867</v>
      </c>
      <c r="B144" s="3" t="s">
        <v>1868</v>
      </c>
      <c r="C144" s="3" t="s">
        <v>1869</v>
      </c>
      <c r="D144" s="3" t="s">
        <v>1870</v>
      </c>
      <c r="E144" s="3" t="s">
        <v>1871</v>
      </c>
      <c r="F144" s="3" t="s">
        <v>1129</v>
      </c>
      <c r="G144" s="3" t="s">
        <v>1557</v>
      </c>
      <c r="H144" s="3" t="s">
        <v>941</v>
      </c>
      <c r="I144" s="3"/>
      <c r="J144" s="3" t="s">
        <v>1498</v>
      </c>
      <c r="K144" s="3" t="s">
        <v>1866</v>
      </c>
    </row>
    <row r="145" customFormat="false" ht="28.35" hidden="false" customHeight="false" outlineLevel="0" collapsed="false">
      <c r="A145" s="3" t="s">
        <v>1872</v>
      </c>
      <c r="B145" s="3" t="s">
        <v>1873</v>
      </c>
      <c r="C145" s="3" t="s">
        <v>1874</v>
      </c>
      <c r="D145" s="3" t="s">
        <v>1875</v>
      </c>
      <c r="E145" s="3" t="s">
        <v>1876</v>
      </c>
      <c r="F145" s="3" t="s">
        <v>1877</v>
      </c>
      <c r="G145" s="3" t="s">
        <v>1129</v>
      </c>
      <c r="H145" s="3" t="s">
        <v>941</v>
      </c>
      <c r="I145" s="3"/>
      <c r="J145" s="3" t="s">
        <v>1618</v>
      </c>
      <c r="K145" s="3" t="s">
        <v>1611</v>
      </c>
    </row>
    <row r="146" customFormat="false" ht="28.35" hidden="false" customHeight="false" outlineLevel="0" collapsed="false">
      <c r="A146" s="3" t="s">
        <v>1878</v>
      </c>
      <c r="B146" s="3" t="s">
        <v>1879</v>
      </c>
      <c r="C146" s="3" t="s">
        <v>1880</v>
      </c>
      <c r="D146" s="3" t="s">
        <v>1881</v>
      </c>
      <c r="E146" s="3" t="s">
        <v>1882</v>
      </c>
      <c r="F146" s="3" t="s">
        <v>1129</v>
      </c>
      <c r="G146" s="3" t="s">
        <v>1129</v>
      </c>
      <c r="H146" s="3" t="s">
        <v>941</v>
      </c>
      <c r="I146" s="3"/>
      <c r="J146" s="3" t="s">
        <v>1129</v>
      </c>
      <c r="K146" s="3" t="s">
        <v>1519</v>
      </c>
    </row>
    <row r="147" customFormat="false" ht="28.35" hidden="false" customHeight="false" outlineLevel="0" collapsed="false">
      <c r="A147" s="3" t="s">
        <v>1883</v>
      </c>
      <c r="B147" s="3" t="s">
        <v>1884</v>
      </c>
      <c r="C147" s="3" t="s">
        <v>1885</v>
      </c>
      <c r="D147" s="3" t="s">
        <v>1886</v>
      </c>
      <c r="E147" s="3" t="s">
        <v>1887</v>
      </c>
      <c r="F147" s="3" t="s">
        <v>1888</v>
      </c>
      <c r="G147" s="3" t="s">
        <v>1129</v>
      </c>
      <c r="H147" s="3" t="s">
        <v>941</v>
      </c>
      <c r="I147" s="3"/>
      <c r="J147" s="3" t="s">
        <v>1129</v>
      </c>
      <c r="K147" s="3" t="s">
        <v>1889</v>
      </c>
    </row>
    <row r="148" customFormat="false" ht="41.75" hidden="false" customHeight="false" outlineLevel="0" collapsed="false">
      <c r="A148" s="3" t="s">
        <v>1890</v>
      </c>
      <c r="B148" s="3" t="s">
        <v>1891</v>
      </c>
      <c r="C148" s="3" t="s">
        <v>1687</v>
      </c>
      <c r="D148" s="3" t="s">
        <v>1892</v>
      </c>
      <c r="E148" s="3" t="s">
        <v>1893</v>
      </c>
      <c r="F148" s="3" t="s">
        <v>1894</v>
      </c>
      <c r="G148" s="3" t="s">
        <v>1129</v>
      </c>
      <c r="H148" s="3" t="s">
        <v>941</v>
      </c>
      <c r="I148" s="3"/>
      <c r="J148" s="3" t="s">
        <v>1129</v>
      </c>
      <c r="K148" s="3" t="s">
        <v>1731</v>
      </c>
    </row>
    <row r="149" customFormat="false" ht="15" hidden="false" customHeight="false" outlineLevel="0" collapsed="false">
      <c r="A149" s="3" t="s">
        <v>1895</v>
      </c>
      <c r="B149" s="3" t="s">
        <v>1896</v>
      </c>
      <c r="C149" s="3" t="s">
        <v>1897</v>
      </c>
      <c r="D149" s="3" t="s">
        <v>1898</v>
      </c>
      <c r="E149" s="3" t="s">
        <v>1899</v>
      </c>
      <c r="F149" s="3" t="s">
        <v>1900</v>
      </c>
      <c r="G149" s="3" t="s">
        <v>1129</v>
      </c>
      <c r="H149" s="3" t="s">
        <v>941</v>
      </c>
      <c r="I149" s="3"/>
      <c r="J149" s="3" t="s">
        <v>1901</v>
      </c>
      <c r="K149" s="3" t="s">
        <v>1902</v>
      </c>
    </row>
    <row r="150" customFormat="false" ht="28.35" hidden="false" customHeight="false" outlineLevel="0" collapsed="false">
      <c r="A150" s="3" t="s">
        <v>1903</v>
      </c>
      <c r="B150" s="3" t="s">
        <v>1904</v>
      </c>
      <c r="C150" s="3" t="s">
        <v>1905</v>
      </c>
      <c r="D150" s="3" t="s">
        <v>1906</v>
      </c>
      <c r="E150" s="3" t="s">
        <v>1907</v>
      </c>
      <c r="F150" s="3" t="s">
        <v>1129</v>
      </c>
      <c r="G150" s="3" t="s">
        <v>1129</v>
      </c>
      <c r="H150" s="3" t="s">
        <v>941</v>
      </c>
      <c r="I150" s="3"/>
      <c r="J150" s="3" t="s">
        <v>1518</v>
      </c>
      <c r="K150" s="3" t="s">
        <v>1519</v>
      </c>
    </row>
    <row r="151" customFormat="false" ht="28.35" hidden="false" customHeight="false" outlineLevel="0" collapsed="false">
      <c r="A151" s="3" t="s">
        <v>1908</v>
      </c>
      <c r="B151" s="3" t="s">
        <v>1909</v>
      </c>
      <c r="C151" s="3" t="s">
        <v>1910</v>
      </c>
      <c r="D151" s="3" t="s">
        <v>1911</v>
      </c>
      <c r="E151" s="3" t="s">
        <v>1912</v>
      </c>
      <c r="F151" s="3" t="s">
        <v>1129</v>
      </c>
      <c r="G151" s="3" t="s">
        <v>1129</v>
      </c>
      <c r="H151" s="3" t="s">
        <v>1913</v>
      </c>
      <c r="I151" s="3"/>
      <c r="J151" s="3" t="s">
        <v>1129</v>
      </c>
      <c r="K151" s="3" t="s">
        <v>1519</v>
      </c>
    </row>
    <row r="152" customFormat="false" ht="28.35" hidden="false" customHeight="false" outlineLevel="0" collapsed="false">
      <c r="A152" s="3" t="s">
        <v>1914</v>
      </c>
      <c r="B152" s="3" t="s">
        <v>1915</v>
      </c>
      <c r="C152" s="3" t="s">
        <v>1916</v>
      </c>
      <c r="D152" s="3" t="s">
        <v>1917</v>
      </c>
      <c r="E152" s="3" t="s">
        <v>1918</v>
      </c>
      <c r="F152" s="3" t="s">
        <v>1129</v>
      </c>
      <c r="G152" s="3" t="s">
        <v>1129</v>
      </c>
      <c r="H152" s="3" t="s">
        <v>1919</v>
      </c>
      <c r="I152" s="3"/>
      <c r="J152" s="3" t="s">
        <v>1129</v>
      </c>
      <c r="K152" s="3" t="s">
        <v>1525</v>
      </c>
    </row>
    <row r="153" customFormat="false" ht="41.75" hidden="false" customHeight="false" outlineLevel="0" collapsed="false">
      <c r="A153" s="3" t="s">
        <v>1920</v>
      </c>
      <c r="B153" s="3" t="s">
        <v>1921</v>
      </c>
      <c r="C153" s="3" t="s">
        <v>1922</v>
      </c>
      <c r="D153" s="3" t="s">
        <v>1923</v>
      </c>
      <c r="E153" s="3" t="s">
        <v>1924</v>
      </c>
      <c r="F153" s="3" t="s">
        <v>991</v>
      </c>
      <c r="G153" s="3" t="s">
        <v>1129</v>
      </c>
      <c r="H153" s="3" t="s">
        <v>941</v>
      </c>
      <c r="I153" s="3"/>
      <c r="J153" s="3" t="s">
        <v>1129</v>
      </c>
      <c r="K153" s="3" t="s">
        <v>1925</v>
      </c>
    </row>
    <row r="154" customFormat="false" ht="41.75" hidden="false" customHeight="false" outlineLevel="0" collapsed="false">
      <c r="A154" s="3" t="s">
        <v>1926</v>
      </c>
      <c r="B154" s="3" t="s">
        <v>1927</v>
      </c>
      <c r="C154" s="3" t="s">
        <v>1928</v>
      </c>
      <c r="D154" s="3" t="s">
        <v>1929</v>
      </c>
      <c r="E154" s="3" t="s">
        <v>1930</v>
      </c>
      <c r="F154" s="3" t="s">
        <v>1931</v>
      </c>
      <c r="G154" s="3" t="s">
        <v>1129</v>
      </c>
      <c r="H154" s="3" t="s">
        <v>941</v>
      </c>
      <c r="I154" s="3"/>
      <c r="J154" s="3" t="s">
        <v>1129</v>
      </c>
      <c r="K154" s="3" t="s">
        <v>1519</v>
      </c>
    </row>
    <row r="155" customFormat="false" ht="55.2" hidden="false" customHeight="false" outlineLevel="0" collapsed="false">
      <c r="A155" s="3" t="s">
        <v>1932</v>
      </c>
      <c r="B155" s="3" t="s">
        <v>1933</v>
      </c>
      <c r="C155" s="3" t="s">
        <v>1934</v>
      </c>
      <c r="D155" s="3" t="s">
        <v>1935</v>
      </c>
      <c r="E155" s="3" t="s">
        <v>1936</v>
      </c>
      <c r="F155" s="3"/>
      <c r="G155" s="3"/>
      <c r="H155" s="3" t="s">
        <v>941</v>
      </c>
      <c r="I155" s="3" t="s">
        <v>359</v>
      </c>
      <c r="J155" s="3" t="s">
        <v>1937</v>
      </c>
      <c r="K155" s="3" t="s">
        <v>1938</v>
      </c>
    </row>
    <row r="156" customFormat="false" ht="82.05" hidden="false" customHeight="false" outlineLevel="0" collapsed="false">
      <c r="A156" s="3" t="s">
        <v>360</v>
      </c>
      <c r="B156" s="3" t="s">
        <v>1939</v>
      </c>
      <c r="C156" s="3" t="s">
        <v>1940</v>
      </c>
      <c r="D156" s="3" t="s">
        <v>1941</v>
      </c>
      <c r="E156" s="3" t="s">
        <v>1942</v>
      </c>
      <c r="F156" s="3"/>
      <c r="G156" s="3"/>
      <c r="H156" s="3" t="s">
        <v>941</v>
      </c>
      <c r="I156" s="3" t="s">
        <v>359</v>
      </c>
      <c r="J156" s="3" t="s">
        <v>1943</v>
      </c>
      <c r="K156" s="3" t="s">
        <v>1944</v>
      </c>
    </row>
    <row r="157" customFormat="false" ht="68.65" hidden="false" customHeight="false" outlineLevel="0" collapsed="false">
      <c r="A157" s="3" t="s">
        <v>1945</v>
      </c>
      <c r="B157" s="3" t="s">
        <v>1946</v>
      </c>
      <c r="C157" s="3" t="s">
        <v>1947</v>
      </c>
      <c r="D157" s="3" t="s">
        <v>1948</v>
      </c>
      <c r="E157" s="3" t="s">
        <v>1949</v>
      </c>
      <c r="F157" s="3"/>
      <c r="G157" s="3"/>
      <c r="H157" s="3" t="s">
        <v>941</v>
      </c>
      <c r="I157" s="3" t="s">
        <v>383</v>
      </c>
      <c r="J157" s="3" t="s">
        <v>1950</v>
      </c>
      <c r="K157" s="3" t="s">
        <v>1283</v>
      </c>
    </row>
    <row r="158" customFormat="false" ht="68.65" hidden="false" customHeight="false" outlineLevel="0" collapsed="false">
      <c r="A158" s="3" t="s">
        <v>1951</v>
      </c>
      <c r="B158" s="3" t="s">
        <v>1952</v>
      </c>
      <c r="C158" s="3" t="s">
        <v>1953</v>
      </c>
      <c r="D158" s="3" t="s">
        <v>1954</v>
      </c>
      <c r="E158" s="3" t="s">
        <v>1955</v>
      </c>
      <c r="F158" s="3"/>
      <c r="G158" s="3"/>
      <c r="H158" s="3" t="s">
        <v>941</v>
      </c>
      <c r="I158" s="3" t="s">
        <v>383</v>
      </c>
      <c r="J158" s="3" t="s">
        <v>1956</v>
      </c>
      <c r="K158" s="3" t="s">
        <v>1957</v>
      </c>
    </row>
    <row r="159" customFormat="false" ht="28.35" hidden="false" customHeight="false" outlineLevel="0" collapsed="false">
      <c r="A159" s="3" t="s">
        <v>1958</v>
      </c>
      <c r="B159" s="3" t="s">
        <v>1959</v>
      </c>
      <c r="C159" s="3" t="s">
        <v>1960</v>
      </c>
      <c r="D159" s="3" t="s">
        <v>1961</v>
      </c>
      <c r="E159" s="3" t="s">
        <v>1962</v>
      </c>
      <c r="F159" s="3"/>
      <c r="G159" s="3"/>
      <c r="H159" s="3" t="s">
        <v>941</v>
      </c>
      <c r="I159" s="3" t="s">
        <v>383</v>
      </c>
      <c r="J159" s="3" t="s">
        <v>1963</v>
      </c>
      <c r="K159" s="3" t="s">
        <v>1964</v>
      </c>
    </row>
    <row r="160" customFormat="false" ht="68.65" hidden="false" customHeight="false" outlineLevel="0" collapsed="false">
      <c r="A160" s="3" t="s">
        <v>1965</v>
      </c>
      <c r="B160" s="3" t="s">
        <v>1966</v>
      </c>
      <c r="C160" s="3" t="s">
        <v>1967</v>
      </c>
      <c r="D160" s="3" t="s">
        <v>1968</v>
      </c>
      <c r="E160" s="3" t="s">
        <v>1969</v>
      </c>
      <c r="F160" s="3"/>
      <c r="G160" s="3"/>
      <c r="H160" s="3" t="s">
        <v>941</v>
      </c>
      <c r="I160" s="3" t="s">
        <v>383</v>
      </c>
      <c r="J160" s="3" t="s">
        <v>1970</v>
      </c>
      <c r="K160" s="3" t="s">
        <v>1971</v>
      </c>
    </row>
    <row r="161" customFormat="false" ht="68.65" hidden="false" customHeight="false" outlineLevel="0" collapsed="false">
      <c r="A161" s="3" t="s">
        <v>1972</v>
      </c>
      <c r="B161" s="3" t="s">
        <v>1973</v>
      </c>
      <c r="C161" s="3" t="s">
        <v>1974</v>
      </c>
      <c r="D161" s="3" t="s">
        <v>1975</v>
      </c>
      <c r="E161" s="3" t="s">
        <v>1976</v>
      </c>
      <c r="F161" s="3"/>
      <c r="G161" s="3"/>
      <c r="H161" s="3" t="s">
        <v>1977</v>
      </c>
      <c r="I161" s="3" t="s">
        <v>1978</v>
      </c>
      <c r="J161" s="3" t="s">
        <v>1979</v>
      </c>
      <c r="K161" s="3" t="s">
        <v>1980</v>
      </c>
    </row>
    <row r="162" customFormat="false" ht="55.2" hidden="false" customHeight="false" outlineLevel="0" collapsed="false">
      <c r="A162" s="3" t="s">
        <v>1981</v>
      </c>
      <c r="B162" s="3" t="s">
        <v>1982</v>
      </c>
      <c r="C162" s="3" t="s">
        <v>1983</v>
      </c>
      <c r="D162" s="3" t="s">
        <v>1984</v>
      </c>
      <c r="E162" s="3" t="s">
        <v>1985</v>
      </c>
      <c r="F162" s="3"/>
      <c r="G162" s="3"/>
      <c r="H162" s="3" t="s">
        <v>1986</v>
      </c>
      <c r="I162" s="3" t="s">
        <v>1978</v>
      </c>
      <c r="J162" s="3" t="s">
        <v>1120</v>
      </c>
      <c r="K162" s="3" t="s">
        <v>1987</v>
      </c>
    </row>
    <row r="163" customFormat="false" ht="28.35" hidden="false" customHeight="false" outlineLevel="0" collapsed="false">
      <c r="A163" s="3" t="s">
        <v>1988</v>
      </c>
      <c r="B163" s="3" t="s">
        <v>1989</v>
      </c>
      <c r="C163" s="3" t="s">
        <v>1990</v>
      </c>
      <c r="D163" s="3" t="s">
        <v>1991</v>
      </c>
      <c r="E163" s="3" t="s">
        <v>1992</v>
      </c>
      <c r="F163" s="3"/>
      <c r="G163" s="3"/>
      <c r="H163" s="3" t="s">
        <v>1993</v>
      </c>
      <c r="I163" s="3" t="s">
        <v>1978</v>
      </c>
      <c r="J163" s="3" t="s">
        <v>1994</v>
      </c>
      <c r="K163" s="3" t="s">
        <v>1995</v>
      </c>
    </row>
    <row r="164" customFormat="false" ht="55.2" hidden="false" customHeight="false" outlineLevel="0" collapsed="false">
      <c r="A164" s="3" t="s">
        <v>1996</v>
      </c>
      <c r="B164" s="3" t="s">
        <v>1997</v>
      </c>
      <c r="C164" s="3" t="s">
        <v>1998</v>
      </c>
      <c r="D164" s="3" t="s">
        <v>1999</v>
      </c>
      <c r="E164" s="3" t="s">
        <v>2000</v>
      </c>
      <c r="F164" s="3"/>
      <c r="G164" s="3"/>
      <c r="H164" s="3" t="s">
        <v>941</v>
      </c>
      <c r="I164" s="3" t="s">
        <v>2001</v>
      </c>
      <c r="J164" s="3" t="s">
        <v>2002</v>
      </c>
      <c r="K164" s="3" t="s">
        <v>1283</v>
      </c>
    </row>
    <row r="165" customFormat="false" ht="108.95" hidden="false" customHeight="false" outlineLevel="0" collapsed="false">
      <c r="A165" s="3" t="s">
        <v>2003</v>
      </c>
      <c r="B165" s="3" t="s">
        <v>2004</v>
      </c>
      <c r="C165" s="3" t="s">
        <v>2005</v>
      </c>
      <c r="D165" s="3" t="s">
        <v>2006</v>
      </c>
      <c r="E165" s="3" t="s">
        <v>2007</v>
      </c>
      <c r="F165" s="3"/>
      <c r="G165" s="3"/>
      <c r="H165" s="3" t="s">
        <v>941</v>
      </c>
      <c r="I165" s="3" t="s">
        <v>2008</v>
      </c>
      <c r="J165" s="3" t="s">
        <v>1120</v>
      </c>
      <c r="K165" s="3" t="s">
        <v>2009</v>
      </c>
    </row>
    <row r="166" customFormat="false" ht="82.05" hidden="false" customHeight="false" outlineLevel="0" collapsed="false">
      <c r="A166" s="3" t="s">
        <v>2010</v>
      </c>
      <c r="B166" s="3" t="s">
        <v>2011</v>
      </c>
      <c r="C166" s="3" t="s">
        <v>2012</v>
      </c>
      <c r="D166" s="3" t="s">
        <v>2013</v>
      </c>
      <c r="E166" s="3" t="s">
        <v>2014</v>
      </c>
      <c r="F166" s="3"/>
      <c r="G166" s="3"/>
      <c r="H166" s="3" t="s">
        <v>941</v>
      </c>
      <c r="I166" s="3" t="s">
        <v>2001</v>
      </c>
      <c r="J166" s="3" t="s">
        <v>2015</v>
      </c>
      <c r="K166" s="3" t="s">
        <v>2016</v>
      </c>
    </row>
    <row r="167" customFormat="false" ht="41.75" hidden="false" customHeight="false" outlineLevel="0" collapsed="false">
      <c r="A167" s="3" t="s">
        <v>2017</v>
      </c>
      <c r="B167" s="3" t="s">
        <v>2018</v>
      </c>
      <c r="C167" s="3" t="s">
        <v>2019</v>
      </c>
      <c r="D167" s="3" t="s">
        <v>2020</v>
      </c>
      <c r="E167" s="3" t="s">
        <v>2021</v>
      </c>
      <c r="F167" s="3"/>
      <c r="G167" s="3"/>
      <c r="H167" s="3" t="s">
        <v>941</v>
      </c>
      <c r="I167" s="3" t="s">
        <v>2022</v>
      </c>
      <c r="J167" s="3" t="s">
        <v>2023</v>
      </c>
      <c r="K167" s="3" t="s">
        <v>2024</v>
      </c>
    </row>
    <row r="168" customFormat="false" ht="28.35" hidden="false" customHeight="false" outlineLevel="0" collapsed="false">
      <c r="A168" s="3" t="s">
        <v>2025</v>
      </c>
      <c r="B168" s="3" t="s">
        <v>2026</v>
      </c>
      <c r="C168" s="3" t="s">
        <v>2027</v>
      </c>
      <c r="D168" s="3" t="s">
        <v>2028</v>
      </c>
      <c r="E168" s="3" t="s">
        <v>2029</v>
      </c>
      <c r="F168" s="3"/>
      <c r="G168" s="3"/>
      <c r="H168" s="3" t="s">
        <v>941</v>
      </c>
      <c r="I168" s="3" t="s">
        <v>1129</v>
      </c>
      <c r="J168" s="3" t="s">
        <v>1129</v>
      </c>
      <c r="K168" s="3" t="s">
        <v>2030</v>
      </c>
    </row>
    <row r="169" customFormat="false" ht="28.35" hidden="false" customHeight="false" outlineLevel="0" collapsed="false">
      <c r="A169" s="3" t="s">
        <v>2031</v>
      </c>
      <c r="B169" s="3" t="s">
        <v>2032</v>
      </c>
      <c r="C169" s="3" t="s">
        <v>2033</v>
      </c>
      <c r="D169" s="3" t="s">
        <v>2034</v>
      </c>
      <c r="E169" s="3" t="s">
        <v>2035</v>
      </c>
      <c r="F169" s="3"/>
      <c r="G169" s="3"/>
      <c r="H169" s="3" t="s">
        <v>941</v>
      </c>
      <c r="I169" s="3" t="s">
        <v>2036</v>
      </c>
      <c r="J169" s="3" t="s">
        <v>2037</v>
      </c>
      <c r="K169" s="3" t="s">
        <v>2038</v>
      </c>
    </row>
    <row r="170" customFormat="false" ht="68.65" hidden="false" customHeight="false" outlineLevel="0" collapsed="false">
      <c r="A170" s="3" t="s">
        <v>2039</v>
      </c>
      <c r="B170" s="3" t="s">
        <v>2040</v>
      </c>
      <c r="C170" s="3" t="s">
        <v>2041</v>
      </c>
      <c r="D170" s="3" t="s">
        <v>2042</v>
      </c>
      <c r="E170" s="3" t="s">
        <v>2043</v>
      </c>
      <c r="F170" s="3"/>
      <c r="G170" s="3"/>
      <c r="H170" s="3" t="s">
        <v>2044</v>
      </c>
      <c r="I170" s="3" t="s">
        <v>1129</v>
      </c>
      <c r="J170" s="3" t="s">
        <v>2045</v>
      </c>
      <c r="K170" s="3" t="s">
        <v>2046</v>
      </c>
    </row>
    <row r="171" customFormat="false" ht="108.95" hidden="false" customHeight="false" outlineLevel="0" collapsed="false">
      <c r="A171" s="3" t="s">
        <v>2047</v>
      </c>
      <c r="B171" s="3" t="s">
        <v>2048</v>
      </c>
      <c r="C171" s="3" t="s">
        <v>2049</v>
      </c>
      <c r="D171" s="3" t="s">
        <v>2050</v>
      </c>
      <c r="E171" s="3" t="s">
        <v>2051</v>
      </c>
      <c r="F171" s="3"/>
      <c r="G171" s="3"/>
      <c r="H171" s="3" t="s">
        <v>1919</v>
      </c>
      <c r="I171" s="3" t="s">
        <v>2052</v>
      </c>
      <c r="J171" s="3" t="s">
        <v>2053</v>
      </c>
      <c r="K171" s="3" t="s">
        <v>2054</v>
      </c>
    </row>
    <row r="172" customFormat="false" ht="41.75" hidden="false" customHeight="false" outlineLevel="0" collapsed="false">
      <c r="A172" s="3" t="s">
        <v>2055</v>
      </c>
      <c r="B172" s="3" t="s">
        <v>2056</v>
      </c>
      <c r="C172" s="3" t="s">
        <v>2057</v>
      </c>
      <c r="D172" s="3" t="s">
        <v>2058</v>
      </c>
      <c r="E172" s="3" t="s">
        <v>2059</v>
      </c>
      <c r="F172" s="3"/>
      <c r="G172" s="3"/>
      <c r="H172" s="3" t="s">
        <v>1919</v>
      </c>
      <c r="I172" s="3" t="s">
        <v>359</v>
      </c>
      <c r="J172" s="3" t="s">
        <v>2060</v>
      </c>
      <c r="K172" s="3" t="s">
        <v>1283</v>
      </c>
    </row>
    <row r="173" customFormat="false" ht="82.05" hidden="false" customHeight="false" outlineLevel="0" collapsed="false">
      <c r="A173" s="3" t="s">
        <v>2061</v>
      </c>
      <c r="B173" s="3" t="s">
        <v>2062</v>
      </c>
      <c r="C173" s="3" t="s">
        <v>2063</v>
      </c>
      <c r="D173" s="3" t="s">
        <v>2064</v>
      </c>
      <c r="E173" s="3" t="s">
        <v>2065</v>
      </c>
      <c r="F173" s="3"/>
      <c r="G173" s="3"/>
      <c r="H173" s="3" t="s">
        <v>2066</v>
      </c>
      <c r="I173" s="3" t="s">
        <v>1129</v>
      </c>
      <c r="J173" s="3" t="s">
        <v>2053</v>
      </c>
      <c r="K173" s="3" t="s">
        <v>1283</v>
      </c>
    </row>
    <row r="174" customFormat="false" ht="68.65" hidden="false" customHeight="false" outlineLevel="0" collapsed="false">
      <c r="A174" s="3" t="s">
        <v>2067</v>
      </c>
      <c r="B174" s="3" t="s">
        <v>2068</v>
      </c>
      <c r="C174" s="3" t="s">
        <v>2069</v>
      </c>
      <c r="D174" s="3" t="s">
        <v>2070</v>
      </c>
      <c r="E174" s="3" t="s">
        <v>2071</v>
      </c>
      <c r="F174" s="3"/>
      <c r="G174" s="3"/>
      <c r="H174" s="3" t="s">
        <v>1919</v>
      </c>
      <c r="I174" s="3" t="s">
        <v>359</v>
      </c>
      <c r="J174" s="3" t="s">
        <v>1120</v>
      </c>
      <c r="K174" s="3" t="s">
        <v>2072</v>
      </c>
    </row>
    <row r="175" customFormat="false" ht="41.75" hidden="false" customHeight="false" outlineLevel="0" collapsed="false">
      <c r="A175" s="3" t="s">
        <v>2073</v>
      </c>
      <c r="B175" s="3" t="s">
        <v>2074</v>
      </c>
      <c r="C175" s="3" t="s">
        <v>2075</v>
      </c>
      <c r="D175" s="3" t="s">
        <v>2076</v>
      </c>
      <c r="E175" s="3" t="s">
        <v>2077</v>
      </c>
      <c r="F175" s="3"/>
      <c r="G175" s="3"/>
      <c r="H175" s="3" t="s">
        <v>1919</v>
      </c>
      <c r="I175" s="3" t="s">
        <v>1129</v>
      </c>
      <c r="J175" s="3" t="s">
        <v>2078</v>
      </c>
      <c r="K175" s="3" t="s">
        <v>2079</v>
      </c>
    </row>
    <row r="176" customFormat="false" ht="82.05" hidden="false" customHeight="false" outlineLevel="0" collapsed="false">
      <c r="A176" s="3" t="s">
        <v>2080</v>
      </c>
      <c r="B176" s="3" t="s">
        <v>2081</v>
      </c>
      <c r="C176" s="3" t="s">
        <v>2082</v>
      </c>
      <c r="D176" s="3" t="s">
        <v>2083</v>
      </c>
      <c r="E176" s="3" t="s">
        <v>2084</v>
      </c>
      <c r="F176" s="3"/>
      <c r="G176" s="3"/>
      <c r="H176" s="3" t="s">
        <v>2085</v>
      </c>
      <c r="I176" s="3" t="s">
        <v>2086</v>
      </c>
      <c r="J176" s="3" t="s">
        <v>1362</v>
      </c>
      <c r="K176" s="3" t="s">
        <v>2087</v>
      </c>
    </row>
    <row r="177" customFormat="false" ht="68.65" hidden="false" customHeight="false" outlineLevel="0" collapsed="false">
      <c r="A177" s="3" t="s">
        <v>2088</v>
      </c>
      <c r="B177" s="3" t="s">
        <v>2089</v>
      </c>
      <c r="C177" s="3" t="s">
        <v>2090</v>
      </c>
      <c r="D177" s="3" t="s">
        <v>2091</v>
      </c>
      <c r="E177" s="3" t="s">
        <v>2092</v>
      </c>
      <c r="F177" s="3"/>
      <c r="G177" s="3"/>
      <c r="H177" s="3" t="s">
        <v>941</v>
      </c>
      <c r="I177" s="3" t="s">
        <v>2093</v>
      </c>
      <c r="J177" s="3" t="s">
        <v>1120</v>
      </c>
      <c r="K177" s="3" t="s">
        <v>1283</v>
      </c>
    </row>
    <row r="178" customFormat="false" ht="82.05" hidden="false" customHeight="false" outlineLevel="0" collapsed="false">
      <c r="A178" s="3" t="s">
        <v>2094</v>
      </c>
      <c r="B178" s="3" t="s">
        <v>2095</v>
      </c>
      <c r="C178" s="3" t="s">
        <v>2096</v>
      </c>
      <c r="D178" s="3" t="s">
        <v>2097</v>
      </c>
      <c r="E178" s="3" t="s">
        <v>2098</v>
      </c>
      <c r="F178" s="3"/>
      <c r="G178" s="3"/>
      <c r="H178" s="3" t="s">
        <v>941</v>
      </c>
      <c r="I178" s="3" t="s">
        <v>359</v>
      </c>
      <c r="J178" s="3" t="s">
        <v>2099</v>
      </c>
      <c r="K178" s="3" t="s">
        <v>2100</v>
      </c>
    </row>
    <row r="179" customFormat="false" ht="41.75" hidden="false" customHeight="false" outlineLevel="0" collapsed="false">
      <c r="A179" s="3" t="s">
        <v>2101</v>
      </c>
      <c r="B179" s="3" t="s">
        <v>2102</v>
      </c>
      <c r="C179" s="3" t="s">
        <v>2103</v>
      </c>
      <c r="D179" s="3" t="s">
        <v>2104</v>
      </c>
      <c r="E179" s="3" t="s">
        <v>2105</v>
      </c>
      <c r="F179" s="3"/>
      <c r="G179" s="3"/>
      <c r="H179" s="3" t="s">
        <v>941</v>
      </c>
      <c r="I179" s="3" t="s">
        <v>2106</v>
      </c>
      <c r="J179" s="3" t="s">
        <v>2107</v>
      </c>
      <c r="K179" s="3" t="s">
        <v>2108</v>
      </c>
    </row>
    <row r="180" customFormat="false" ht="68.65" hidden="false" customHeight="false" outlineLevel="0" collapsed="false">
      <c r="A180" s="3" t="s">
        <v>2109</v>
      </c>
      <c r="B180" s="3" t="s">
        <v>2110</v>
      </c>
      <c r="C180" s="3" t="s">
        <v>2111</v>
      </c>
      <c r="D180" s="3" t="s">
        <v>2112</v>
      </c>
      <c r="E180" s="3" t="s">
        <v>2113</v>
      </c>
      <c r="F180" s="3"/>
      <c r="G180" s="3"/>
      <c r="H180" s="3" t="s">
        <v>1919</v>
      </c>
      <c r="I180" s="3" t="s">
        <v>2114</v>
      </c>
      <c r="J180" s="3" t="s">
        <v>2115</v>
      </c>
      <c r="K180" s="3" t="s">
        <v>2116</v>
      </c>
    </row>
    <row r="181" customFormat="false" ht="68.65" hidden="false" customHeight="false" outlineLevel="0" collapsed="false">
      <c r="A181" s="3" t="s">
        <v>2117</v>
      </c>
      <c r="B181" s="3" t="s">
        <v>2118</v>
      </c>
      <c r="C181" s="3" t="s">
        <v>2119</v>
      </c>
      <c r="D181" s="3" t="s">
        <v>2120</v>
      </c>
      <c r="E181" s="3" t="s">
        <v>2121</v>
      </c>
      <c r="F181" s="3"/>
      <c r="G181" s="3"/>
      <c r="H181" s="3" t="s">
        <v>941</v>
      </c>
      <c r="I181" s="3" t="s">
        <v>2122</v>
      </c>
      <c r="J181" s="3" t="s">
        <v>2123</v>
      </c>
      <c r="K181" s="3" t="s">
        <v>2124</v>
      </c>
    </row>
    <row r="182" customFormat="false" ht="41.75" hidden="false" customHeight="false" outlineLevel="0" collapsed="false">
      <c r="A182" s="3" t="s">
        <v>2125</v>
      </c>
      <c r="B182" s="3" t="s">
        <v>2126</v>
      </c>
      <c r="C182" s="3" t="s">
        <v>2127</v>
      </c>
      <c r="D182" s="3" t="s">
        <v>2128</v>
      </c>
      <c r="E182" s="3" t="s">
        <v>2129</v>
      </c>
      <c r="F182" s="3"/>
      <c r="G182" s="3"/>
      <c r="H182" s="3" t="s">
        <v>941</v>
      </c>
      <c r="I182" s="3" t="s">
        <v>2130</v>
      </c>
      <c r="J182" s="3" t="s">
        <v>2131</v>
      </c>
      <c r="K182" s="3" t="s">
        <v>1129</v>
      </c>
    </row>
    <row r="183" customFormat="false" ht="68.65" hidden="false" customHeight="false" outlineLevel="0" collapsed="false">
      <c r="A183" s="3" t="s">
        <v>2132</v>
      </c>
      <c r="B183" s="3" t="s">
        <v>2133</v>
      </c>
      <c r="C183" s="3" t="s">
        <v>2134</v>
      </c>
      <c r="D183" s="3" t="s">
        <v>2135</v>
      </c>
      <c r="E183" s="3" t="s">
        <v>2136</v>
      </c>
      <c r="F183" s="3"/>
      <c r="G183" s="3"/>
      <c r="H183" s="3" t="s">
        <v>941</v>
      </c>
      <c r="I183" s="3" t="s">
        <v>2122</v>
      </c>
      <c r="J183" s="3" t="s">
        <v>2131</v>
      </c>
      <c r="K183" s="3" t="s">
        <v>1129</v>
      </c>
    </row>
    <row r="184" customFormat="false" ht="55.2" hidden="false" customHeight="false" outlineLevel="0" collapsed="false">
      <c r="A184" s="3" t="s">
        <v>2137</v>
      </c>
      <c r="B184" s="3" t="s">
        <v>2138</v>
      </c>
      <c r="C184" s="3" t="s">
        <v>2139</v>
      </c>
      <c r="D184" s="3" t="s">
        <v>2140</v>
      </c>
      <c r="E184" s="3" t="s">
        <v>2141</v>
      </c>
      <c r="F184" s="3"/>
      <c r="G184" s="3"/>
      <c r="H184" s="3" t="s">
        <v>941</v>
      </c>
      <c r="I184" s="3" t="s">
        <v>2142</v>
      </c>
      <c r="J184" s="3" t="s">
        <v>2143</v>
      </c>
      <c r="K184" s="3" t="s">
        <v>2144</v>
      </c>
    </row>
    <row r="185" customFormat="false" ht="68.65" hidden="false" customHeight="false" outlineLevel="0" collapsed="false">
      <c r="A185" s="3" t="s">
        <v>2145</v>
      </c>
      <c r="B185" s="3" t="s">
        <v>2146</v>
      </c>
      <c r="C185" s="3" t="s">
        <v>2147</v>
      </c>
      <c r="D185" s="3" t="s">
        <v>2148</v>
      </c>
      <c r="E185" s="3" t="s">
        <v>2149</v>
      </c>
      <c r="F185" s="3"/>
      <c r="G185" s="3"/>
      <c r="H185" s="3" t="s">
        <v>941</v>
      </c>
      <c r="I185" s="3" t="s">
        <v>2150</v>
      </c>
      <c r="J185" s="3" t="s">
        <v>2151</v>
      </c>
      <c r="K185" s="3" t="s">
        <v>2152</v>
      </c>
    </row>
    <row r="186" customFormat="false" ht="68.65" hidden="false" customHeight="false" outlineLevel="0" collapsed="false">
      <c r="A186" s="3" t="s">
        <v>2153</v>
      </c>
      <c r="B186" s="3" t="s">
        <v>2154</v>
      </c>
      <c r="C186" s="3" t="s">
        <v>2155</v>
      </c>
      <c r="D186" s="3" t="s">
        <v>2156</v>
      </c>
      <c r="E186" s="3" t="s">
        <v>2157</v>
      </c>
      <c r="F186" s="3"/>
      <c r="G186" s="3"/>
      <c r="H186" s="3" t="s">
        <v>1919</v>
      </c>
      <c r="I186" s="3" t="s">
        <v>2158</v>
      </c>
      <c r="J186" s="3" t="s">
        <v>2159</v>
      </c>
      <c r="K186" s="3" t="s">
        <v>2160</v>
      </c>
    </row>
    <row r="187" customFormat="false" ht="55.2" hidden="false" customHeight="false" outlineLevel="0" collapsed="false">
      <c r="A187" s="3" t="s">
        <v>2161</v>
      </c>
      <c r="B187" s="3" t="s">
        <v>2162</v>
      </c>
      <c r="C187" s="3" t="s">
        <v>2163</v>
      </c>
      <c r="D187" s="3" t="s">
        <v>2164</v>
      </c>
      <c r="E187" s="3" t="s">
        <v>2165</v>
      </c>
      <c r="F187" s="3"/>
      <c r="G187" s="3"/>
      <c r="H187" s="3" t="s">
        <v>941</v>
      </c>
      <c r="I187" s="3" t="s">
        <v>2158</v>
      </c>
      <c r="J187" s="3" t="s">
        <v>2166</v>
      </c>
      <c r="K187" s="3" t="s">
        <v>1363</v>
      </c>
    </row>
    <row r="188" customFormat="false" ht="28.35" hidden="false" customHeight="false" outlineLevel="0" collapsed="false">
      <c r="A188" s="3" t="s">
        <v>2167</v>
      </c>
      <c r="B188" s="3" t="s">
        <v>2168</v>
      </c>
      <c r="C188" s="3" t="s">
        <v>2169</v>
      </c>
      <c r="D188" s="3" t="s">
        <v>2170</v>
      </c>
      <c r="E188" s="3" t="s">
        <v>2171</v>
      </c>
      <c r="F188" s="3"/>
      <c r="G188" s="3"/>
      <c r="H188" s="3" t="s">
        <v>941</v>
      </c>
      <c r="I188" s="3" t="s">
        <v>1138</v>
      </c>
      <c r="J188" s="3" t="s">
        <v>2053</v>
      </c>
      <c r="K188" s="3" t="s">
        <v>2172</v>
      </c>
    </row>
    <row r="189" customFormat="false" ht="95.5" hidden="false" customHeight="false" outlineLevel="0" collapsed="false">
      <c r="A189" s="3" t="s">
        <v>2173</v>
      </c>
      <c r="B189" s="3" t="s">
        <v>2174</v>
      </c>
      <c r="C189" s="3" t="s">
        <v>2175</v>
      </c>
      <c r="D189" s="3" t="s">
        <v>2176</v>
      </c>
      <c r="E189" s="3" t="s">
        <v>2177</v>
      </c>
      <c r="F189" s="3"/>
      <c r="G189" s="3"/>
      <c r="H189" s="3" t="s">
        <v>1919</v>
      </c>
      <c r="I189" s="3" t="s">
        <v>2178</v>
      </c>
      <c r="J189" s="3" t="s">
        <v>2179</v>
      </c>
      <c r="K189" s="3" t="s">
        <v>2180</v>
      </c>
    </row>
    <row r="190" customFormat="false" ht="122.35" hidden="false" customHeight="false" outlineLevel="0" collapsed="false">
      <c r="A190" s="3" t="s">
        <v>2181</v>
      </c>
      <c r="B190" s="3" t="s">
        <v>2182</v>
      </c>
      <c r="C190" s="3" t="s">
        <v>2183</v>
      </c>
      <c r="D190" s="3" t="s">
        <v>2184</v>
      </c>
      <c r="E190" s="3" t="s">
        <v>2185</v>
      </c>
      <c r="F190" s="3"/>
      <c r="G190" s="3"/>
      <c r="H190" s="3" t="s">
        <v>941</v>
      </c>
      <c r="I190" s="3" t="s">
        <v>2186</v>
      </c>
      <c r="J190" s="3" t="s">
        <v>2187</v>
      </c>
      <c r="K190" s="3" t="s">
        <v>2188</v>
      </c>
    </row>
    <row r="191" customFormat="false" ht="108.95" hidden="false" customHeight="false" outlineLevel="0" collapsed="false">
      <c r="A191" s="3" t="s">
        <v>384</v>
      </c>
      <c r="B191" s="3" t="s">
        <v>2189</v>
      </c>
      <c r="C191" s="3" t="s">
        <v>2190</v>
      </c>
      <c r="D191" s="3" t="s">
        <v>2191</v>
      </c>
      <c r="E191" s="3" t="s">
        <v>2192</v>
      </c>
      <c r="F191" s="3"/>
      <c r="G191" s="3"/>
      <c r="H191" s="3" t="s">
        <v>941</v>
      </c>
      <c r="I191" s="3" t="s">
        <v>2186</v>
      </c>
      <c r="J191" s="3" t="s">
        <v>2193</v>
      </c>
      <c r="K191" s="3" t="s">
        <v>2194</v>
      </c>
    </row>
    <row r="192" customFormat="false" ht="149.25" hidden="false" customHeight="false" outlineLevel="0" collapsed="false">
      <c r="A192" s="3" t="s">
        <v>2195</v>
      </c>
      <c r="B192" s="3" t="s">
        <v>2196</v>
      </c>
      <c r="C192" s="3" t="s">
        <v>2197</v>
      </c>
      <c r="D192" s="3" t="s">
        <v>2198</v>
      </c>
      <c r="E192" s="3" t="s">
        <v>2199</v>
      </c>
      <c r="F192" s="3"/>
      <c r="G192" s="3"/>
      <c r="H192" s="3" t="s">
        <v>941</v>
      </c>
      <c r="I192" s="3" t="s">
        <v>2200</v>
      </c>
      <c r="J192" s="3" t="s">
        <v>2201</v>
      </c>
      <c r="K192" s="3" t="s">
        <v>2202</v>
      </c>
    </row>
    <row r="193" customFormat="false" ht="122.35" hidden="false" customHeight="false" outlineLevel="0" collapsed="false">
      <c r="A193" s="3" t="s">
        <v>2203</v>
      </c>
      <c r="B193" s="3" t="s">
        <v>2204</v>
      </c>
      <c r="C193" s="3" t="s">
        <v>2205</v>
      </c>
      <c r="D193" s="3" t="s">
        <v>2206</v>
      </c>
      <c r="E193" s="3" t="s">
        <v>2207</v>
      </c>
      <c r="F193" s="3"/>
      <c r="G193" s="3"/>
      <c r="H193" s="3" t="s">
        <v>941</v>
      </c>
      <c r="I193" s="3" t="s">
        <v>1978</v>
      </c>
      <c r="J193" s="3" t="s">
        <v>2208</v>
      </c>
      <c r="K193" s="3" t="s">
        <v>2209</v>
      </c>
    </row>
    <row r="194" customFormat="false" ht="95.5" hidden="false" customHeight="false" outlineLevel="0" collapsed="false">
      <c r="A194" s="3" t="s">
        <v>2210</v>
      </c>
      <c r="B194" s="3" t="s">
        <v>2211</v>
      </c>
      <c r="C194" s="3" t="s">
        <v>2212</v>
      </c>
      <c r="D194" s="3" t="s">
        <v>2213</v>
      </c>
      <c r="E194" s="3" t="s">
        <v>2214</v>
      </c>
      <c r="F194" s="3"/>
      <c r="G194" s="3"/>
      <c r="H194" s="3" t="s">
        <v>2215</v>
      </c>
      <c r="I194" s="3" t="s">
        <v>2216</v>
      </c>
      <c r="J194" s="3" t="s">
        <v>1979</v>
      </c>
      <c r="K194" s="3" t="s">
        <v>1129</v>
      </c>
    </row>
    <row r="195" customFormat="false" ht="82.05" hidden="false" customHeight="false" outlineLevel="0" collapsed="false">
      <c r="A195" s="3" t="s">
        <v>2217</v>
      </c>
      <c r="B195" s="3" t="s">
        <v>2218</v>
      </c>
      <c r="C195" s="3" t="s">
        <v>2219</v>
      </c>
      <c r="D195" s="3" t="s">
        <v>2220</v>
      </c>
      <c r="E195" s="3" t="s">
        <v>2221</v>
      </c>
      <c r="F195" s="3"/>
      <c r="G195" s="3"/>
      <c r="H195" s="3" t="s">
        <v>2222</v>
      </c>
      <c r="I195" s="3" t="s">
        <v>2223</v>
      </c>
      <c r="J195" s="3" t="s">
        <v>2224</v>
      </c>
      <c r="K195" s="3" t="s">
        <v>2225</v>
      </c>
    </row>
    <row r="196" customFormat="false" ht="95.5" hidden="false" customHeight="false" outlineLevel="0" collapsed="false">
      <c r="A196" s="3" t="s">
        <v>2226</v>
      </c>
      <c r="B196" s="3" t="s">
        <v>2227</v>
      </c>
      <c r="C196" s="3" t="s">
        <v>2228</v>
      </c>
      <c r="D196" s="3" t="s">
        <v>2229</v>
      </c>
      <c r="E196" s="3" t="s">
        <v>2230</v>
      </c>
      <c r="F196" s="3"/>
      <c r="G196" s="3"/>
      <c r="H196" s="3" t="s">
        <v>1281</v>
      </c>
      <c r="I196" s="3" t="s">
        <v>2231</v>
      </c>
      <c r="J196" s="3" t="s">
        <v>2232</v>
      </c>
      <c r="K196" s="3" t="s">
        <v>2233</v>
      </c>
    </row>
    <row r="197" customFormat="false" ht="95.5" hidden="false" customHeight="false" outlineLevel="0" collapsed="false">
      <c r="A197" s="3" t="s">
        <v>2234</v>
      </c>
      <c r="B197" s="3" t="s">
        <v>2235</v>
      </c>
      <c r="C197" s="3" t="s">
        <v>2236</v>
      </c>
      <c r="D197" s="3" t="s">
        <v>2237</v>
      </c>
      <c r="E197" s="3" t="s">
        <v>2238</v>
      </c>
      <c r="F197" s="3"/>
      <c r="G197" s="3"/>
      <c r="H197" s="3" t="s">
        <v>941</v>
      </c>
      <c r="I197" s="3" t="s">
        <v>1129</v>
      </c>
      <c r="J197" s="3" t="s">
        <v>2239</v>
      </c>
      <c r="K197" s="3" t="s">
        <v>2240</v>
      </c>
    </row>
    <row r="198" customFormat="false" ht="135.8" hidden="false" customHeight="false" outlineLevel="0" collapsed="false">
      <c r="A198" s="3" t="s">
        <v>2241</v>
      </c>
      <c r="B198" s="3" t="s">
        <v>2242</v>
      </c>
      <c r="C198" s="3" t="s">
        <v>2243</v>
      </c>
      <c r="D198" s="3" t="s">
        <v>2244</v>
      </c>
      <c r="E198" s="3" t="s">
        <v>2245</v>
      </c>
      <c r="F198" s="3"/>
      <c r="G198" s="3"/>
      <c r="H198" s="3" t="s">
        <v>2246</v>
      </c>
      <c r="I198" s="3" t="s">
        <v>2247</v>
      </c>
      <c r="J198" s="3" t="s">
        <v>2248</v>
      </c>
      <c r="K198" s="3" t="s">
        <v>2249</v>
      </c>
    </row>
    <row r="199" customFormat="false" ht="82.05" hidden="false" customHeight="false" outlineLevel="0" collapsed="false">
      <c r="A199" s="3" t="s">
        <v>2250</v>
      </c>
      <c r="B199" s="3" t="s">
        <v>2251</v>
      </c>
      <c r="C199" s="3" t="s">
        <v>2252</v>
      </c>
      <c r="D199" s="3" t="s">
        <v>2253</v>
      </c>
      <c r="E199" s="3" t="s">
        <v>2254</v>
      </c>
      <c r="F199" s="3"/>
      <c r="G199" s="3"/>
      <c r="H199" s="3" t="s">
        <v>941</v>
      </c>
      <c r="I199" s="3" t="s">
        <v>2255</v>
      </c>
      <c r="J199" s="3" t="s">
        <v>2256</v>
      </c>
      <c r="K199" s="3" t="s">
        <v>2257</v>
      </c>
    </row>
    <row r="200" customFormat="false" ht="95.5" hidden="false" customHeight="false" outlineLevel="0" collapsed="false">
      <c r="A200" s="3" t="s">
        <v>2258</v>
      </c>
      <c r="B200" s="3" t="s">
        <v>2259</v>
      </c>
      <c r="C200" s="3" t="s">
        <v>2260</v>
      </c>
      <c r="D200" s="3" t="s">
        <v>2261</v>
      </c>
      <c r="E200" s="3" t="s">
        <v>2262</v>
      </c>
      <c r="F200" s="3"/>
      <c r="G200" s="3"/>
      <c r="H200" s="3" t="s">
        <v>2263</v>
      </c>
      <c r="I200" s="3" t="s">
        <v>1129</v>
      </c>
      <c r="J200" s="3" t="s">
        <v>2264</v>
      </c>
      <c r="K200" s="3" t="s">
        <v>2265</v>
      </c>
    </row>
    <row r="201" customFormat="false" ht="108.95" hidden="false" customHeight="false" outlineLevel="0" collapsed="false">
      <c r="A201" s="3" t="s">
        <v>2266</v>
      </c>
      <c r="B201" s="3" t="s">
        <v>2267</v>
      </c>
      <c r="C201" s="3" t="s">
        <v>2268</v>
      </c>
      <c r="D201" s="3" t="s">
        <v>2269</v>
      </c>
      <c r="E201" s="3" t="s">
        <v>2270</v>
      </c>
      <c r="F201" s="3"/>
      <c r="G201" s="3"/>
      <c r="H201" s="3" t="s">
        <v>1919</v>
      </c>
      <c r="I201" s="3" t="s">
        <v>2271</v>
      </c>
      <c r="J201" s="3" t="s">
        <v>2272</v>
      </c>
      <c r="K201" s="3" t="s">
        <v>2273</v>
      </c>
    </row>
    <row r="202" customFormat="false" ht="68.65" hidden="false" customHeight="false" outlineLevel="0" collapsed="false">
      <c r="A202" s="3" t="s">
        <v>2274</v>
      </c>
      <c r="B202" s="3" t="s">
        <v>2275</v>
      </c>
      <c r="C202" s="3" t="s">
        <v>2276</v>
      </c>
      <c r="D202" s="3" t="s">
        <v>2277</v>
      </c>
      <c r="E202" s="3" t="s">
        <v>2278</v>
      </c>
      <c r="F202" s="3"/>
      <c r="G202" s="3"/>
      <c r="H202" s="3" t="s">
        <v>941</v>
      </c>
      <c r="I202" s="3" t="s">
        <v>1129</v>
      </c>
      <c r="J202" s="3" t="s">
        <v>2279</v>
      </c>
      <c r="K202" s="3" t="s">
        <v>2280</v>
      </c>
    </row>
    <row r="203" customFormat="false" ht="68.65" hidden="false" customHeight="false" outlineLevel="0" collapsed="false">
      <c r="A203" s="3" t="s">
        <v>2281</v>
      </c>
      <c r="B203" s="3" t="s">
        <v>2282</v>
      </c>
      <c r="C203" s="3" t="s">
        <v>2283</v>
      </c>
      <c r="D203" s="3" t="s">
        <v>2284</v>
      </c>
      <c r="E203" s="3" t="s">
        <v>2285</v>
      </c>
      <c r="F203" s="3"/>
      <c r="G203" s="3"/>
      <c r="H203" s="3" t="s">
        <v>941</v>
      </c>
      <c r="I203" s="3" t="s">
        <v>1129</v>
      </c>
      <c r="J203" s="3" t="s">
        <v>2286</v>
      </c>
      <c r="K203" s="3" t="s">
        <v>1129</v>
      </c>
    </row>
    <row r="204" customFormat="false" ht="68.65" hidden="false" customHeight="false" outlineLevel="0" collapsed="false">
      <c r="A204" s="3" t="s">
        <v>2287</v>
      </c>
      <c r="B204" s="3" t="s">
        <v>2288</v>
      </c>
      <c r="C204" s="3" t="s">
        <v>2289</v>
      </c>
      <c r="D204" s="3" t="s">
        <v>2290</v>
      </c>
      <c r="E204" s="3" t="s">
        <v>2291</v>
      </c>
      <c r="F204" s="3"/>
      <c r="G204" s="3"/>
      <c r="H204" s="3" t="s">
        <v>941</v>
      </c>
      <c r="I204" s="3" t="s">
        <v>1129</v>
      </c>
      <c r="J204" s="3" t="s">
        <v>2292</v>
      </c>
      <c r="K204" s="3" t="s">
        <v>1129</v>
      </c>
    </row>
    <row r="205" customFormat="false" ht="82.05" hidden="false" customHeight="false" outlineLevel="0" collapsed="false">
      <c r="A205" s="3" t="s">
        <v>2293</v>
      </c>
      <c r="B205" s="3" t="s">
        <v>2294</v>
      </c>
      <c r="C205" s="3" t="s">
        <v>2295</v>
      </c>
      <c r="D205" s="3" t="s">
        <v>2296</v>
      </c>
      <c r="E205" s="3" t="s">
        <v>2297</v>
      </c>
      <c r="F205" s="3"/>
      <c r="G205" s="3"/>
      <c r="H205" s="3" t="s">
        <v>2298</v>
      </c>
      <c r="I205" s="3" t="s">
        <v>2008</v>
      </c>
      <c r="J205" s="3" t="s">
        <v>1120</v>
      </c>
      <c r="K205" s="3" t="s">
        <v>2299</v>
      </c>
    </row>
    <row r="206" customFormat="false" ht="122.35" hidden="false" customHeight="false" outlineLevel="0" collapsed="false">
      <c r="A206" s="3" t="s">
        <v>2300</v>
      </c>
      <c r="B206" s="3" t="s">
        <v>2301</v>
      </c>
      <c r="C206" s="3" t="s">
        <v>2302</v>
      </c>
      <c r="D206" s="3" t="s">
        <v>2303</v>
      </c>
      <c r="E206" s="3" t="s">
        <v>2304</v>
      </c>
      <c r="F206" s="3"/>
      <c r="G206" s="3"/>
      <c r="H206" s="3" t="s">
        <v>2305</v>
      </c>
      <c r="I206" s="3" t="s">
        <v>2306</v>
      </c>
      <c r="J206" s="3" t="s">
        <v>1197</v>
      </c>
      <c r="K206" s="3" t="s">
        <v>2307</v>
      </c>
    </row>
    <row r="207" customFormat="false" ht="55.2" hidden="false" customHeight="false" outlineLevel="0" collapsed="false">
      <c r="A207" s="3" t="s">
        <v>2308</v>
      </c>
      <c r="B207" s="3" t="s">
        <v>2309</v>
      </c>
      <c r="C207" s="3" t="s">
        <v>2310</v>
      </c>
      <c r="D207" s="3" t="s">
        <v>2311</v>
      </c>
      <c r="E207" s="3" t="s">
        <v>2312</v>
      </c>
      <c r="F207" s="3"/>
      <c r="G207" s="3"/>
      <c r="H207" s="3" t="s">
        <v>2313</v>
      </c>
      <c r="I207" s="3" t="s">
        <v>2008</v>
      </c>
      <c r="J207" s="3" t="s">
        <v>2314</v>
      </c>
      <c r="K207" s="3" t="s">
        <v>2315</v>
      </c>
    </row>
    <row r="208" customFormat="false" ht="122.35" hidden="false" customHeight="false" outlineLevel="0" collapsed="false">
      <c r="A208" s="3" t="s">
        <v>2316</v>
      </c>
      <c r="B208" s="3" t="s">
        <v>2317</v>
      </c>
      <c r="C208" s="3" t="s">
        <v>2318</v>
      </c>
      <c r="D208" s="3" t="s">
        <v>2319</v>
      </c>
      <c r="E208" s="3" t="s">
        <v>2320</v>
      </c>
      <c r="F208" s="3"/>
      <c r="G208" s="3"/>
      <c r="H208" s="3" t="s">
        <v>2313</v>
      </c>
      <c r="I208" s="3" t="s">
        <v>2321</v>
      </c>
      <c r="J208" s="3" t="s">
        <v>1120</v>
      </c>
      <c r="K208" s="3" t="s">
        <v>2322</v>
      </c>
    </row>
    <row r="209" customFormat="false" ht="122.35" hidden="false" customHeight="false" outlineLevel="0" collapsed="false">
      <c r="A209" s="3" t="s">
        <v>2323</v>
      </c>
      <c r="B209" s="3" t="s">
        <v>2324</v>
      </c>
      <c r="C209" s="3" t="s">
        <v>2325</v>
      </c>
      <c r="D209" s="3" t="s">
        <v>2326</v>
      </c>
      <c r="E209" s="3" t="s">
        <v>2327</v>
      </c>
      <c r="F209" s="3"/>
      <c r="G209" s="3"/>
      <c r="H209" s="3" t="s">
        <v>1305</v>
      </c>
      <c r="I209" s="3" t="s">
        <v>1129</v>
      </c>
      <c r="J209" s="3" t="s">
        <v>2286</v>
      </c>
      <c r="K209" s="3" t="s">
        <v>2328</v>
      </c>
    </row>
    <row r="210" customFormat="false" ht="68.65" hidden="false" customHeight="false" outlineLevel="0" collapsed="false">
      <c r="A210" s="3" t="s">
        <v>2329</v>
      </c>
      <c r="B210" s="3" t="s">
        <v>2330</v>
      </c>
      <c r="C210" s="3" t="s">
        <v>2331</v>
      </c>
      <c r="D210" s="3" t="s">
        <v>2332</v>
      </c>
      <c r="E210" s="3" t="s">
        <v>2333</v>
      </c>
      <c r="F210" s="3"/>
      <c r="G210" s="3"/>
      <c r="H210" s="3" t="s">
        <v>1281</v>
      </c>
      <c r="I210" s="3" t="s">
        <v>1129</v>
      </c>
      <c r="J210" s="3" t="s">
        <v>2334</v>
      </c>
      <c r="K210" s="3" t="s">
        <v>1129</v>
      </c>
    </row>
    <row r="211" customFormat="false" ht="41.75" hidden="false" customHeight="false" outlineLevel="0" collapsed="false">
      <c r="A211" s="3" t="s">
        <v>2335</v>
      </c>
      <c r="B211" s="3" t="s">
        <v>2336</v>
      </c>
      <c r="C211" s="3" t="s">
        <v>2337</v>
      </c>
      <c r="D211" s="3" t="s">
        <v>2338</v>
      </c>
      <c r="E211" s="3" t="s">
        <v>2339</v>
      </c>
      <c r="F211" s="3"/>
      <c r="G211" s="3"/>
      <c r="H211" s="3" t="s">
        <v>2340</v>
      </c>
      <c r="I211" s="3" t="s">
        <v>1129</v>
      </c>
      <c r="J211" s="3" t="s">
        <v>2341</v>
      </c>
      <c r="K211" s="3" t="s">
        <v>1129</v>
      </c>
    </row>
    <row r="212" customFormat="false" ht="82.05" hidden="false" customHeight="false" outlineLevel="0" collapsed="false">
      <c r="A212" s="3" t="s">
        <v>2342</v>
      </c>
      <c r="B212" s="3" t="s">
        <v>2343</v>
      </c>
      <c r="C212" s="3" t="s">
        <v>2344</v>
      </c>
      <c r="D212" s="3" t="s">
        <v>2345</v>
      </c>
      <c r="E212" s="3" t="s">
        <v>2346</v>
      </c>
      <c r="F212" s="3"/>
      <c r="G212" s="3"/>
      <c r="H212" s="3" t="s">
        <v>1281</v>
      </c>
      <c r="I212" s="3" t="s">
        <v>1129</v>
      </c>
      <c r="J212" s="3" t="s">
        <v>2292</v>
      </c>
      <c r="K212" s="3" t="s">
        <v>2347</v>
      </c>
    </row>
    <row r="213" customFormat="false" ht="82.05" hidden="false" customHeight="false" outlineLevel="0" collapsed="false">
      <c r="A213" s="3" t="s">
        <v>2348</v>
      </c>
      <c r="B213" s="3" t="s">
        <v>2349</v>
      </c>
      <c r="C213" s="3" t="s">
        <v>2350</v>
      </c>
      <c r="D213" s="3" t="s">
        <v>2351</v>
      </c>
      <c r="E213" s="3" t="s">
        <v>2352</v>
      </c>
      <c r="F213" s="3"/>
      <c r="G213" s="3"/>
      <c r="H213" s="3" t="s">
        <v>2353</v>
      </c>
      <c r="I213" s="3" t="s">
        <v>1129</v>
      </c>
      <c r="J213" s="3" t="s">
        <v>2354</v>
      </c>
      <c r="K213" s="3" t="s">
        <v>2355</v>
      </c>
    </row>
    <row r="214" customFormat="false" ht="108.95" hidden="false" customHeight="false" outlineLevel="0" collapsed="false">
      <c r="A214" s="3" t="s">
        <v>2356</v>
      </c>
      <c r="B214" s="3" t="s">
        <v>2357</v>
      </c>
      <c r="C214" s="3" t="s">
        <v>2358</v>
      </c>
      <c r="D214" s="3" t="s">
        <v>2359</v>
      </c>
      <c r="E214" s="3" t="s">
        <v>2360</v>
      </c>
      <c r="F214" s="3"/>
      <c r="G214" s="3"/>
      <c r="H214" s="3" t="s">
        <v>2361</v>
      </c>
      <c r="I214" s="3" t="s">
        <v>2362</v>
      </c>
      <c r="J214" s="3" t="s">
        <v>2363</v>
      </c>
      <c r="K214" s="3" t="s">
        <v>2364</v>
      </c>
    </row>
    <row r="215" customFormat="false" ht="135.8" hidden="false" customHeight="false" outlineLevel="0" collapsed="false">
      <c r="A215" s="3" t="s">
        <v>2365</v>
      </c>
      <c r="B215" s="3" t="s">
        <v>2366</v>
      </c>
      <c r="C215" s="3" t="s">
        <v>2367</v>
      </c>
      <c r="D215" s="3" t="s">
        <v>2368</v>
      </c>
      <c r="E215" s="3" t="s">
        <v>2369</v>
      </c>
      <c r="F215" s="3"/>
      <c r="G215" s="3"/>
      <c r="H215" s="3" t="s">
        <v>2222</v>
      </c>
      <c r="I215" s="3" t="s">
        <v>2255</v>
      </c>
      <c r="J215" s="3" t="s">
        <v>2370</v>
      </c>
      <c r="K215" s="3" t="s">
        <v>1129</v>
      </c>
    </row>
    <row r="216" customFormat="false" ht="108.95" hidden="false" customHeight="false" outlineLevel="0" collapsed="false">
      <c r="A216" s="3" t="s">
        <v>2371</v>
      </c>
      <c r="B216" s="3" t="s">
        <v>2372</v>
      </c>
      <c r="C216" s="3" t="s">
        <v>2373</v>
      </c>
      <c r="D216" s="3" t="s">
        <v>2374</v>
      </c>
      <c r="E216" s="3" t="s">
        <v>2375</v>
      </c>
      <c r="F216" s="3"/>
      <c r="G216" s="3"/>
      <c r="H216" s="3" t="s">
        <v>933</v>
      </c>
      <c r="I216" s="3" t="s">
        <v>2376</v>
      </c>
      <c r="J216" s="3" t="s">
        <v>2377</v>
      </c>
      <c r="K216" s="3" t="s">
        <v>1129</v>
      </c>
    </row>
    <row r="217" customFormat="false" ht="82.05" hidden="false" customHeight="false" outlineLevel="0" collapsed="false">
      <c r="A217" s="3" t="s">
        <v>2378</v>
      </c>
      <c r="B217" s="3" t="s">
        <v>2379</v>
      </c>
      <c r="C217" s="3" t="s">
        <v>2380</v>
      </c>
      <c r="D217" s="3" t="s">
        <v>2381</v>
      </c>
      <c r="E217" s="3" t="s">
        <v>2382</v>
      </c>
      <c r="F217" s="3"/>
      <c r="G217" s="3"/>
      <c r="H217" s="3" t="s">
        <v>1808</v>
      </c>
      <c r="I217" s="3" t="s">
        <v>359</v>
      </c>
      <c r="J217" s="3" t="s">
        <v>2383</v>
      </c>
      <c r="K217" s="3" t="s">
        <v>2384</v>
      </c>
    </row>
    <row r="218" customFormat="false" ht="149.25" hidden="false" customHeight="false" outlineLevel="0" collapsed="false">
      <c r="A218" s="3" t="s">
        <v>2385</v>
      </c>
      <c r="B218" s="3" t="s">
        <v>2386</v>
      </c>
      <c r="C218" s="3" t="s">
        <v>2387</v>
      </c>
      <c r="D218" s="3" t="s">
        <v>2388</v>
      </c>
      <c r="E218" s="3" t="s">
        <v>2389</v>
      </c>
      <c r="F218" s="3"/>
      <c r="G218" s="3"/>
      <c r="H218" s="3" t="s">
        <v>933</v>
      </c>
      <c r="I218" s="3" t="s">
        <v>1129</v>
      </c>
      <c r="J218" s="3" t="s">
        <v>2390</v>
      </c>
      <c r="K218" s="3" t="s">
        <v>2257</v>
      </c>
    </row>
    <row r="219" customFormat="false" ht="95.5" hidden="false" customHeight="false" outlineLevel="0" collapsed="false">
      <c r="A219" s="3" t="s">
        <v>2391</v>
      </c>
      <c r="B219" s="3" t="s">
        <v>2392</v>
      </c>
      <c r="C219" s="3" t="s">
        <v>2393</v>
      </c>
      <c r="D219" s="3" t="s">
        <v>2394</v>
      </c>
      <c r="E219" s="3" t="s">
        <v>2395</v>
      </c>
      <c r="F219" s="3"/>
      <c r="G219" s="3"/>
      <c r="H219" s="3" t="s">
        <v>2215</v>
      </c>
      <c r="I219" s="3" t="s">
        <v>383</v>
      </c>
      <c r="J219" s="3" t="s">
        <v>1120</v>
      </c>
      <c r="K219" s="3" t="s">
        <v>1129</v>
      </c>
    </row>
    <row r="220" customFormat="false" ht="82.05" hidden="false" customHeight="false" outlineLevel="0" collapsed="false">
      <c r="A220" s="3" t="s">
        <v>2396</v>
      </c>
      <c r="B220" s="3" t="s">
        <v>2397</v>
      </c>
      <c r="C220" s="3" t="s">
        <v>2398</v>
      </c>
      <c r="D220" s="3" t="s">
        <v>2399</v>
      </c>
      <c r="E220" s="3" t="s">
        <v>2400</v>
      </c>
      <c r="F220" s="3"/>
      <c r="G220" s="3"/>
      <c r="H220" s="3" t="s">
        <v>2222</v>
      </c>
      <c r="I220" s="3" t="s">
        <v>383</v>
      </c>
      <c r="J220" s="3" t="s">
        <v>1120</v>
      </c>
      <c r="K220" s="3" t="s">
        <v>1129</v>
      </c>
    </row>
    <row r="221" customFormat="false" ht="95.5" hidden="false" customHeight="false" outlineLevel="0" collapsed="false">
      <c r="A221" s="3" t="s">
        <v>2401</v>
      </c>
      <c r="B221" s="3" t="s">
        <v>2402</v>
      </c>
      <c r="C221" s="3" t="s">
        <v>2403</v>
      </c>
      <c r="D221" s="3" t="s">
        <v>2404</v>
      </c>
      <c r="E221" s="3" t="s">
        <v>2405</v>
      </c>
      <c r="F221" s="3"/>
      <c r="G221" s="3"/>
      <c r="H221" s="3" t="s">
        <v>2406</v>
      </c>
      <c r="I221" s="3" t="s">
        <v>1129</v>
      </c>
      <c r="J221" s="3" t="s">
        <v>1120</v>
      </c>
      <c r="K221" s="3" t="s">
        <v>1129</v>
      </c>
    </row>
    <row r="222" customFormat="false" ht="122.35" hidden="false" customHeight="false" outlineLevel="0" collapsed="false">
      <c r="A222" s="3" t="s">
        <v>2407</v>
      </c>
      <c r="B222" s="3" t="s">
        <v>2408</v>
      </c>
      <c r="C222" s="3" t="s">
        <v>2409</v>
      </c>
      <c r="D222" s="3" t="s">
        <v>2410</v>
      </c>
      <c r="E222" s="3" t="s">
        <v>2411</v>
      </c>
      <c r="F222" s="3"/>
      <c r="G222" s="3"/>
      <c r="H222" s="3" t="s">
        <v>2412</v>
      </c>
      <c r="I222" s="3" t="s">
        <v>1129</v>
      </c>
      <c r="J222" s="3" t="s">
        <v>2413</v>
      </c>
      <c r="K222" s="3" t="s">
        <v>2414</v>
      </c>
    </row>
    <row r="223" customFormat="false" ht="95.5" hidden="false" customHeight="false" outlineLevel="0" collapsed="false">
      <c r="A223" s="3" t="s">
        <v>2415</v>
      </c>
      <c r="B223" s="3" t="s">
        <v>2416</v>
      </c>
      <c r="C223" s="3" t="s">
        <v>2417</v>
      </c>
      <c r="D223" s="3" t="s">
        <v>2418</v>
      </c>
      <c r="E223" s="3" t="s">
        <v>2419</v>
      </c>
      <c r="F223" s="3"/>
      <c r="G223" s="3"/>
      <c r="H223" s="3" t="s">
        <v>941</v>
      </c>
      <c r="I223" s="3" t="s">
        <v>1129</v>
      </c>
      <c r="J223" s="3" t="s">
        <v>2420</v>
      </c>
      <c r="K223" s="3" t="s">
        <v>2414</v>
      </c>
    </row>
    <row r="224" customFormat="false" ht="82.05" hidden="false" customHeight="false" outlineLevel="0" collapsed="false">
      <c r="A224" s="3" t="s">
        <v>2421</v>
      </c>
      <c r="B224" s="3" t="s">
        <v>2422</v>
      </c>
      <c r="C224" s="3" t="s">
        <v>2423</v>
      </c>
      <c r="D224" s="3" t="s">
        <v>2424</v>
      </c>
      <c r="E224" s="3" t="s">
        <v>2425</v>
      </c>
      <c r="F224" s="3"/>
      <c r="G224" s="3"/>
      <c r="H224" s="3" t="s">
        <v>1919</v>
      </c>
      <c r="I224" s="3" t="s">
        <v>1129</v>
      </c>
      <c r="J224" s="3" t="s">
        <v>2426</v>
      </c>
      <c r="K224" s="3" t="s">
        <v>2427</v>
      </c>
    </row>
    <row r="225" customFormat="false" ht="41.75" hidden="false" customHeight="false" outlineLevel="0" collapsed="false">
      <c r="A225" s="3" t="s">
        <v>2428</v>
      </c>
      <c r="B225" s="3" t="s">
        <v>2429</v>
      </c>
      <c r="C225" s="3" t="s">
        <v>2430</v>
      </c>
      <c r="D225" s="3" t="s">
        <v>2431</v>
      </c>
      <c r="E225" s="3" t="s">
        <v>2432</v>
      </c>
      <c r="F225" s="3"/>
      <c r="G225" s="3"/>
      <c r="H225" s="3" t="s">
        <v>941</v>
      </c>
      <c r="I225" s="3" t="s">
        <v>1129</v>
      </c>
      <c r="J225" s="3" t="s">
        <v>2433</v>
      </c>
      <c r="K225" s="3" t="s">
        <v>1129</v>
      </c>
    </row>
    <row r="226" customFormat="false" ht="41.75" hidden="false" customHeight="false" outlineLevel="0" collapsed="false">
      <c r="A226" s="3" t="s">
        <v>2434</v>
      </c>
      <c r="B226" s="3" t="s">
        <v>2435</v>
      </c>
      <c r="C226" s="3" t="s">
        <v>2436</v>
      </c>
      <c r="D226" s="3" t="s">
        <v>2437</v>
      </c>
      <c r="E226" s="3" t="s">
        <v>2438</v>
      </c>
      <c r="F226" s="3"/>
      <c r="G226" s="3"/>
      <c r="H226" s="3" t="s">
        <v>941</v>
      </c>
      <c r="I226" s="3" t="s">
        <v>1081</v>
      </c>
      <c r="J226" s="3" t="s">
        <v>2439</v>
      </c>
      <c r="K226" s="3" t="s">
        <v>2440</v>
      </c>
    </row>
    <row r="227" customFormat="false" ht="28.35" hidden="false" customHeight="false" outlineLevel="0" collapsed="false">
      <c r="A227" s="3" t="s">
        <v>2441</v>
      </c>
      <c r="B227" s="3" t="s">
        <v>2442</v>
      </c>
      <c r="C227" s="3" t="s">
        <v>2443</v>
      </c>
      <c r="D227" s="3" t="s">
        <v>2444</v>
      </c>
      <c r="E227" s="3" t="s">
        <v>2445</v>
      </c>
      <c r="F227" s="3"/>
      <c r="G227" s="3"/>
      <c r="H227" s="3" t="s">
        <v>941</v>
      </c>
      <c r="I227" s="3" t="s">
        <v>1081</v>
      </c>
      <c r="J227" s="3" t="s">
        <v>2131</v>
      </c>
      <c r="K227" s="3" t="s">
        <v>1129</v>
      </c>
    </row>
    <row r="228" customFormat="false" ht="28.35" hidden="false" customHeight="false" outlineLevel="0" collapsed="false">
      <c r="A228" s="3" t="s">
        <v>2446</v>
      </c>
      <c r="B228" s="3" t="s">
        <v>2447</v>
      </c>
      <c r="C228" s="3" t="s">
        <v>2448</v>
      </c>
      <c r="D228" s="3" t="s">
        <v>2449</v>
      </c>
      <c r="E228" s="3" t="s">
        <v>2450</v>
      </c>
      <c r="F228" s="3"/>
      <c r="G228" s="3"/>
      <c r="H228" s="3" t="s">
        <v>1919</v>
      </c>
      <c r="I228" s="3" t="s">
        <v>359</v>
      </c>
      <c r="J228" s="3" t="s">
        <v>2451</v>
      </c>
      <c r="K228" s="3" t="s">
        <v>2452</v>
      </c>
    </row>
    <row r="229" customFormat="false" ht="28.35" hidden="false" customHeight="false" outlineLevel="0" collapsed="false">
      <c r="A229" s="3" t="s">
        <v>2453</v>
      </c>
      <c r="B229" s="3" t="s">
        <v>2454</v>
      </c>
      <c r="C229" s="3" t="s">
        <v>2455</v>
      </c>
      <c r="D229" s="3" t="s">
        <v>2456</v>
      </c>
      <c r="E229" s="3" t="s">
        <v>2457</v>
      </c>
      <c r="F229" s="3"/>
      <c r="G229" s="3"/>
      <c r="H229" s="3" t="s">
        <v>941</v>
      </c>
      <c r="I229" s="3" t="s">
        <v>1129</v>
      </c>
      <c r="J229" s="3" t="s">
        <v>2458</v>
      </c>
      <c r="K229" s="3" t="s">
        <v>2459</v>
      </c>
    </row>
    <row r="230" customFormat="false" ht="68.65" hidden="false" customHeight="false" outlineLevel="0" collapsed="false">
      <c r="A230" s="3" t="s">
        <v>2460</v>
      </c>
      <c r="B230" s="3" t="s">
        <v>2461</v>
      </c>
      <c r="C230" s="3" t="s">
        <v>2462</v>
      </c>
      <c r="D230" s="3" t="s">
        <v>2463</v>
      </c>
      <c r="E230" s="3" t="s">
        <v>2464</v>
      </c>
      <c r="F230" s="3"/>
      <c r="G230" s="3"/>
      <c r="H230" s="3" t="s">
        <v>941</v>
      </c>
      <c r="I230" s="3" t="s">
        <v>2465</v>
      </c>
      <c r="J230" s="3" t="s">
        <v>1362</v>
      </c>
      <c r="K230" s="3" t="s">
        <v>2072</v>
      </c>
    </row>
    <row r="231" customFormat="false" ht="41.75" hidden="false" customHeight="false" outlineLevel="0" collapsed="false">
      <c r="A231" s="3" t="s">
        <v>2466</v>
      </c>
      <c r="B231" s="3" t="s">
        <v>2467</v>
      </c>
      <c r="C231" s="3" t="s">
        <v>2468</v>
      </c>
      <c r="D231" s="3" t="s">
        <v>2469</v>
      </c>
      <c r="E231" s="3" t="s">
        <v>1428</v>
      </c>
      <c r="F231" s="3" t="s">
        <v>2470</v>
      </c>
      <c r="G231" s="3" t="s">
        <v>2471</v>
      </c>
      <c r="H231" s="3" t="s">
        <v>2472</v>
      </c>
      <c r="I231" s="3" t="s">
        <v>2473</v>
      </c>
      <c r="J231" s="3" t="s">
        <v>1362</v>
      </c>
      <c r="K231" s="3" t="s">
        <v>2474</v>
      </c>
    </row>
    <row r="232" customFormat="false" ht="28.35" hidden="false" customHeight="false" outlineLevel="0" collapsed="false">
      <c r="A232" s="3" t="s">
        <v>2475</v>
      </c>
      <c r="B232" s="3" t="s">
        <v>2476</v>
      </c>
      <c r="C232" s="3" t="s">
        <v>2477</v>
      </c>
      <c r="D232" s="3" t="s">
        <v>2478</v>
      </c>
      <c r="E232" s="3" t="s">
        <v>2479</v>
      </c>
      <c r="F232" s="3" t="s">
        <v>1421</v>
      </c>
      <c r="G232" s="3" t="s">
        <v>2480</v>
      </c>
      <c r="H232" s="3" t="s">
        <v>2481</v>
      </c>
      <c r="I232" s="3" t="s">
        <v>1430</v>
      </c>
      <c r="J232" s="3" t="s">
        <v>1362</v>
      </c>
      <c r="K232" s="3" t="s">
        <v>2482</v>
      </c>
    </row>
    <row r="233" customFormat="false" ht="68.65" hidden="false" customHeight="false" outlineLevel="0" collapsed="false">
      <c r="A233" s="3" t="s">
        <v>2483</v>
      </c>
      <c r="B233" s="3" t="s">
        <v>2484</v>
      </c>
      <c r="C233" s="3" t="s">
        <v>2485</v>
      </c>
      <c r="D233" s="3" t="s">
        <v>2486</v>
      </c>
      <c r="E233" s="3" t="s">
        <v>2487</v>
      </c>
      <c r="F233" s="3" t="s">
        <v>2488</v>
      </c>
      <c r="G233" s="3" t="s">
        <v>2489</v>
      </c>
      <c r="H233" s="3" t="s">
        <v>2481</v>
      </c>
      <c r="I233" s="3" t="s">
        <v>1430</v>
      </c>
      <c r="J233" s="3" t="s">
        <v>1362</v>
      </c>
      <c r="K233" s="3" t="s">
        <v>2490</v>
      </c>
    </row>
    <row r="234" customFormat="false" ht="28.35" hidden="false" customHeight="false" outlineLevel="0" collapsed="false">
      <c r="A234" s="3" t="s">
        <v>2491</v>
      </c>
      <c r="B234" s="3" t="s">
        <v>2492</v>
      </c>
      <c r="C234" s="3" t="s">
        <v>2477</v>
      </c>
      <c r="D234" s="3" t="s">
        <v>2493</v>
      </c>
      <c r="E234" s="3" t="s">
        <v>2494</v>
      </c>
      <c r="F234" s="3" t="s">
        <v>2495</v>
      </c>
      <c r="G234" s="3" t="s">
        <v>2496</v>
      </c>
      <c r="H234" s="3" t="s">
        <v>2481</v>
      </c>
      <c r="I234" s="3" t="s">
        <v>2497</v>
      </c>
      <c r="J234" s="3" t="s">
        <v>2498</v>
      </c>
      <c r="K234" s="3" t="s">
        <v>2499</v>
      </c>
    </row>
    <row r="235" customFormat="false" ht="41.75" hidden="false" customHeight="false" outlineLevel="0" collapsed="false">
      <c r="A235" s="3" t="s">
        <v>2500</v>
      </c>
      <c r="B235" s="3" t="s">
        <v>2501</v>
      </c>
      <c r="C235" s="3" t="s">
        <v>2502</v>
      </c>
      <c r="D235" s="3" t="s">
        <v>2503</v>
      </c>
      <c r="E235" s="3" t="s">
        <v>2504</v>
      </c>
      <c r="F235" s="3" t="s">
        <v>2505</v>
      </c>
      <c r="G235" s="3" t="s">
        <v>2506</v>
      </c>
      <c r="H235" s="3" t="s">
        <v>2481</v>
      </c>
      <c r="I235" s="3" t="s">
        <v>1138</v>
      </c>
      <c r="J235" s="3" t="s">
        <v>1362</v>
      </c>
      <c r="K235" s="3" t="s">
        <v>2507</v>
      </c>
    </row>
    <row r="236" customFormat="false" ht="28.35" hidden="false" customHeight="false" outlineLevel="0" collapsed="false">
      <c r="A236" s="3" t="s">
        <v>2508</v>
      </c>
      <c r="B236" s="3" t="s">
        <v>2509</v>
      </c>
      <c r="C236" s="3" t="s">
        <v>2510</v>
      </c>
      <c r="D236" s="3" t="s">
        <v>2511</v>
      </c>
      <c r="E236" s="3" t="s">
        <v>2512</v>
      </c>
      <c r="F236" s="3" t="s">
        <v>1136</v>
      </c>
      <c r="G236" s="3" t="s">
        <v>2513</v>
      </c>
      <c r="H236" s="3" t="s">
        <v>2313</v>
      </c>
      <c r="I236" s="3" t="s">
        <v>2514</v>
      </c>
      <c r="J236" s="3" t="s">
        <v>2515</v>
      </c>
      <c r="K236" s="3" t="s">
        <v>2516</v>
      </c>
    </row>
    <row r="237" customFormat="false" ht="28.35" hidden="false" customHeight="false" outlineLevel="0" collapsed="false">
      <c r="A237" s="3" t="s">
        <v>2517</v>
      </c>
      <c r="B237" s="3" t="s">
        <v>2518</v>
      </c>
      <c r="C237" s="3" t="s">
        <v>2519</v>
      </c>
      <c r="D237" s="3" t="s">
        <v>2520</v>
      </c>
      <c r="E237" s="3" t="s">
        <v>2521</v>
      </c>
      <c r="F237" s="3" t="s">
        <v>1203</v>
      </c>
      <c r="G237" s="3" t="s">
        <v>2522</v>
      </c>
      <c r="H237" s="3" t="s">
        <v>2313</v>
      </c>
      <c r="I237" s="3" t="s">
        <v>2216</v>
      </c>
      <c r="J237" s="3" t="s">
        <v>2523</v>
      </c>
      <c r="K237" s="3" t="s">
        <v>2524</v>
      </c>
    </row>
    <row r="238" customFormat="false" ht="122.35" hidden="false" customHeight="false" outlineLevel="0" collapsed="false">
      <c r="A238" s="3" t="s">
        <v>2525</v>
      </c>
      <c r="B238" s="3" t="s">
        <v>2526</v>
      </c>
      <c r="C238" s="3" t="s">
        <v>2527</v>
      </c>
      <c r="D238" s="3" t="s">
        <v>2528</v>
      </c>
      <c r="E238" s="3" t="s">
        <v>2529</v>
      </c>
      <c r="F238" s="3" t="s">
        <v>2530</v>
      </c>
      <c r="G238" s="3" t="s">
        <v>2531</v>
      </c>
      <c r="H238" s="3" t="s">
        <v>941</v>
      </c>
      <c r="I238" s="3" t="s">
        <v>1129</v>
      </c>
      <c r="J238" s="3" t="s">
        <v>1120</v>
      </c>
      <c r="K238" s="3" t="s">
        <v>2532</v>
      </c>
    </row>
    <row r="239" customFormat="false" ht="28.35" hidden="false" customHeight="false" outlineLevel="0" collapsed="false">
      <c r="A239" s="3" t="s">
        <v>2533</v>
      </c>
      <c r="B239" s="3" t="s">
        <v>2534</v>
      </c>
      <c r="C239" s="3" t="s">
        <v>1170</v>
      </c>
      <c r="D239" s="3" t="s">
        <v>1171</v>
      </c>
      <c r="E239" s="3" t="s">
        <v>1172</v>
      </c>
      <c r="F239" s="3" t="s">
        <v>2535</v>
      </c>
      <c r="G239" s="3" t="s">
        <v>2536</v>
      </c>
      <c r="H239" s="3" t="s">
        <v>2313</v>
      </c>
      <c r="I239" s="3" t="s">
        <v>1129</v>
      </c>
      <c r="J239" s="3" t="s">
        <v>1120</v>
      </c>
      <c r="K239" s="3" t="s">
        <v>2537</v>
      </c>
    </row>
    <row r="240" customFormat="false" ht="95.5" hidden="false" customHeight="false" outlineLevel="0" collapsed="false">
      <c r="A240" s="3" t="s">
        <v>2538</v>
      </c>
      <c r="B240" s="3" t="s">
        <v>2539</v>
      </c>
      <c r="C240" s="3" t="s">
        <v>2540</v>
      </c>
      <c r="D240" s="3" t="s">
        <v>2541</v>
      </c>
      <c r="E240" s="3" t="s">
        <v>2542</v>
      </c>
      <c r="F240" s="3" t="s">
        <v>2543</v>
      </c>
      <c r="G240" s="3" t="s">
        <v>2544</v>
      </c>
      <c r="H240" s="3" t="s">
        <v>941</v>
      </c>
      <c r="I240" s="3" t="s">
        <v>1081</v>
      </c>
      <c r="J240" s="3" t="s">
        <v>1979</v>
      </c>
      <c r="K240" s="3" t="s">
        <v>2545</v>
      </c>
    </row>
    <row r="241" customFormat="false" ht="82.05" hidden="false" customHeight="false" outlineLevel="0" collapsed="false">
      <c r="A241" s="3" t="s">
        <v>2546</v>
      </c>
      <c r="B241" s="3" t="s">
        <v>2547</v>
      </c>
      <c r="C241" s="3" t="s">
        <v>2548</v>
      </c>
      <c r="D241" s="3" t="s">
        <v>2549</v>
      </c>
      <c r="E241" s="3" t="s">
        <v>2550</v>
      </c>
      <c r="F241" s="3" t="s">
        <v>2535</v>
      </c>
      <c r="G241" s="3" t="s">
        <v>2551</v>
      </c>
      <c r="H241" s="3" t="s">
        <v>941</v>
      </c>
      <c r="I241" s="3" t="s">
        <v>1081</v>
      </c>
      <c r="J241" s="3" t="s">
        <v>2552</v>
      </c>
      <c r="K241" s="3" t="s">
        <v>2553</v>
      </c>
    </row>
    <row r="242" customFormat="false" ht="41.75" hidden="false" customHeight="false" outlineLevel="0" collapsed="false">
      <c r="A242" s="3" t="s">
        <v>2554</v>
      </c>
      <c r="B242" s="3" t="s">
        <v>2555</v>
      </c>
      <c r="C242" s="3" t="s">
        <v>2556</v>
      </c>
      <c r="D242" s="3" t="s">
        <v>2557</v>
      </c>
      <c r="E242" s="3" t="s">
        <v>2558</v>
      </c>
      <c r="F242" s="3" t="s">
        <v>2559</v>
      </c>
      <c r="G242" s="3" t="s">
        <v>1129</v>
      </c>
      <c r="H242" s="3" t="s">
        <v>2560</v>
      </c>
      <c r="I242" s="3" t="s">
        <v>1129</v>
      </c>
      <c r="J242" s="3" t="s">
        <v>2561</v>
      </c>
      <c r="K242" s="3" t="s">
        <v>2562</v>
      </c>
    </row>
    <row r="243" customFormat="false" ht="68.65" hidden="false" customHeight="false" outlineLevel="0" collapsed="false">
      <c r="A243" s="3" t="s">
        <v>2563</v>
      </c>
      <c r="B243" s="3" t="s">
        <v>2564</v>
      </c>
      <c r="C243" s="3" t="s">
        <v>2565</v>
      </c>
      <c r="D243" s="3" t="s">
        <v>2566</v>
      </c>
      <c r="E243" s="3" t="s">
        <v>2567</v>
      </c>
      <c r="F243" s="3" t="s">
        <v>2568</v>
      </c>
      <c r="G243" s="3" t="s">
        <v>2569</v>
      </c>
      <c r="H243" s="3" t="s">
        <v>941</v>
      </c>
      <c r="I243" s="3" t="s">
        <v>2093</v>
      </c>
      <c r="J243" s="3" t="s">
        <v>1120</v>
      </c>
      <c r="K243" s="3" t="s">
        <v>1129</v>
      </c>
    </row>
    <row r="244" customFormat="false" ht="68.65" hidden="false" customHeight="false" outlineLevel="0" collapsed="false">
      <c r="A244" s="3" t="s">
        <v>2570</v>
      </c>
      <c r="B244" s="3" t="s">
        <v>2571</v>
      </c>
      <c r="C244" s="3" t="s">
        <v>2572</v>
      </c>
      <c r="D244" s="3" t="s">
        <v>2573</v>
      </c>
      <c r="E244" s="3" t="s">
        <v>2574</v>
      </c>
      <c r="F244" s="3" t="s">
        <v>2575</v>
      </c>
      <c r="G244" s="3" t="s">
        <v>2531</v>
      </c>
      <c r="H244" s="3" t="s">
        <v>941</v>
      </c>
      <c r="I244" s="3" t="s">
        <v>2093</v>
      </c>
      <c r="J244" s="3" t="s">
        <v>1175</v>
      </c>
      <c r="K244" s="3" t="s">
        <v>2576</v>
      </c>
    </row>
    <row r="245" customFormat="false" ht="28.35" hidden="false" customHeight="false" outlineLevel="0" collapsed="false">
      <c r="A245" s="3" t="s">
        <v>72</v>
      </c>
      <c r="B245" s="3" t="s">
        <v>2577</v>
      </c>
      <c r="C245" s="3" t="s">
        <v>2578</v>
      </c>
      <c r="D245" s="3" t="s">
        <v>2579</v>
      </c>
      <c r="E245" s="3" t="s">
        <v>2580</v>
      </c>
      <c r="F245" s="3" t="s">
        <v>2581</v>
      </c>
      <c r="G245" s="3" t="s">
        <v>2582</v>
      </c>
      <c r="H245" s="3" t="s">
        <v>1919</v>
      </c>
      <c r="I245" s="3" t="s">
        <v>1978</v>
      </c>
      <c r="J245" s="3" t="s">
        <v>1994</v>
      </c>
      <c r="K245" s="3" t="s">
        <v>2583</v>
      </c>
    </row>
    <row r="246" customFormat="false" ht="68.65" hidden="false" customHeight="false" outlineLevel="0" collapsed="false">
      <c r="A246" s="3" t="s">
        <v>2584</v>
      </c>
      <c r="B246" s="3" t="s">
        <v>2585</v>
      </c>
      <c r="C246" s="3" t="s">
        <v>2586</v>
      </c>
      <c r="D246" s="3" t="s">
        <v>2587</v>
      </c>
      <c r="E246" s="3" t="s">
        <v>2588</v>
      </c>
      <c r="F246" s="3" t="s">
        <v>2589</v>
      </c>
      <c r="G246" s="3" t="s">
        <v>2531</v>
      </c>
      <c r="H246" s="3" t="s">
        <v>2590</v>
      </c>
      <c r="I246" s="3" t="s">
        <v>1978</v>
      </c>
      <c r="J246" s="3" t="s">
        <v>1120</v>
      </c>
      <c r="K246" s="3" t="s">
        <v>1129</v>
      </c>
    </row>
    <row r="247" customFormat="false" ht="82.05" hidden="false" customHeight="false" outlineLevel="0" collapsed="false">
      <c r="A247" s="3" t="s">
        <v>2591</v>
      </c>
      <c r="B247" s="3" t="s">
        <v>2592</v>
      </c>
      <c r="C247" s="3" t="s">
        <v>2593</v>
      </c>
      <c r="D247" s="3" t="s">
        <v>2594</v>
      </c>
      <c r="E247" s="3" t="s">
        <v>2595</v>
      </c>
      <c r="F247" s="3" t="s">
        <v>1050</v>
      </c>
      <c r="G247" s="3" t="s">
        <v>2596</v>
      </c>
      <c r="H247" s="3" t="s">
        <v>1993</v>
      </c>
      <c r="I247" s="3" t="s">
        <v>1978</v>
      </c>
      <c r="J247" s="3" t="s">
        <v>1120</v>
      </c>
      <c r="K247" s="3" t="s">
        <v>1129</v>
      </c>
    </row>
    <row r="248" customFormat="false" ht="108.95" hidden="false" customHeight="false" outlineLevel="0" collapsed="false">
      <c r="A248" s="3" t="s">
        <v>82</v>
      </c>
      <c r="B248" s="3" t="s">
        <v>2597</v>
      </c>
      <c r="C248" s="3" t="s">
        <v>2598</v>
      </c>
      <c r="D248" s="3" t="s">
        <v>2599</v>
      </c>
      <c r="E248" s="3" t="s">
        <v>2600</v>
      </c>
      <c r="F248" s="3" t="s">
        <v>2601</v>
      </c>
      <c r="G248" s="3" t="s">
        <v>2602</v>
      </c>
      <c r="H248" s="3" t="s">
        <v>2603</v>
      </c>
      <c r="I248" s="3" t="s">
        <v>2604</v>
      </c>
      <c r="J248" s="3" t="s">
        <v>1120</v>
      </c>
      <c r="K248" s="3" t="s">
        <v>2605</v>
      </c>
    </row>
    <row r="249" customFormat="false" ht="68.65" hidden="false" customHeight="false" outlineLevel="0" collapsed="false">
      <c r="A249" s="3" t="s">
        <v>2606</v>
      </c>
      <c r="B249" s="3" t="s">
        <v>2607</v>
      </c>
      <c r="C249" s="3" t="s">
        <v>2608</v>
      </c>
      <c r="D249" s="3" t="s">
        <v>2609</v>
      </c>
      <c r="E249" s="3" t="s">
        <v>2610</v>
      </c>
      <c r="F249" s="3" t="s">
        <v>2543</v>
      </c>
      <c r="G249" s="3" t="s">
        <v>2611</v>
      </c>
      <c r="H249" s="3" t="s">
        <v>1919</v>
      </c>
      <c r="I249" s="3" t="s">
        <v>2158</v>
      </c>
      <c r="J249" s="3" t="s">
        <v>2451</v>
      </c>
      <c r="K249" s="3" t="s">
        <v>2160</v>
      </c>
    </row>
    <row r="250" customFormat="false" ht="55.2" hidden="false" customHeight="false" outlineLevel="0" collapsed="false">
      <c r="A250" s="3" t="s">
        <v>2612</v>
      </c>
      <c r="B250" s="3" t="s">
        <v>2613</v>
      </c>
      <c r="C250" s="3" t="s">
        <v>2614</v>
      </c>
      <c r="D250" s="3" t="s">
        <v>2615</v>
      </c>
      <c r="E250" s="3" t="s">
        <v>2616</v>
      </c>
      <c r="F250" s="3" t="s">
        <v>1050</v>
      </c>
      <c r="G250" s="3" t="s">
        <v>2617</v>
      </c>
      <c r="H250" s="3" t="s">
        <v>941</v>
      </c>
      <c r="I250" s="3" t="s">
        <v>2158</v>
      </c>
      <c r="J250" s="3" t="s">
        <v>2451</v>
      </c>
      <c r="K250" s="3" t="s">
        <v>2618</v>
      </c>
    </row>
    <row r="251" customFormat="false" ht="68.65" hidden="false" customHeight="false" outlineLevel="0" collapsed="false">
      <c r="A251" s="3" t="s">
        <v>94</v>
      </c>
      <c r="B251" s="3" t="s">
        <v>2619</v>
      </c>
      <c r="C251" s="3" t="s">
        <v>1922</v>
      </c>
      <c r="D251" s="3" t="s">
        <v>2620</v>
      </c>
      <c r="E251" s="3" t="s">
        <v>2621</v>
      </c>
      <c r="F251" s="3" t="s">
        <v>2622</v>
      </c>
      <c r="G251" s="3" t="s">
        <v>2623</v>
      </c>
      <c r="H251" s="3" t="s">
        <v>2624</v>
      </c>
      <c r="I251" s="3" t="s">
        <v>2625</v>
      </c>
      <c r="J251" s="3" t="s">
        <v>1362</v>
      </c>
      <c r="K251" s="3" t="s">
        <v>2626</v>
      </c>
    </row>
    <row r="252" customFormat="false" ht="55.2" hidden="false" customHeight="false" outlineLevel="0" collapsed="false">
      <c r="A252" s="3" t="s">
        <v>2627</v>
      </c>
      <c r="B252" s="3" t="s">
        <v>2628</v>
      </c>
      <c r="C252" s="3" t="s">
        <v>2629</v>
      </c>
      <c r="D252" s="3" t="s">
        <v>2630</v>
      </c>
      <c r="E252" s="3" t="s">
        <v>2631</v>
      </c>
      <c r="F252" s="3" t="s">
        <v>2632</v>
      </c>
      <c r="G252" s="3" t="s">
        <v>2633</v>
      </c>
      <c r="H252" s="3" t="s">
        <v>2222</v>
      </c>
      <c r="I252" s="3" t="s">
        <v>1138</v>
      </c>
      <c r="J252" s="3" t="s">
        <v>2634</v>
      </c>
      <c r="K252" s="3" t="s">
        <v>2635</v>
      </c>
    </row>
    <row r="253" customFormat="false" ht="68.65" hidden="false" customHeight="false" outlineLevel="0" collapsed="false">
      <c r="A253" s="3" t="s">
        <v>2636</v>
      </c>
      <c r="B253" s="3" t="s">
        <v>2637</v>
      </c>
      <c r="C253" s="3" t="s">
        <v>2638</v>
      </c>
      <c r="D253" s="3" t="s">
        <v>2639</v>
      </c>
      <c r="E253" s="3" t="s">
        <v>2640</v>
      </c>
      <c r="F253" s="3" t="s">
        <v>2641</v>
      </c>
      <c r="G253" s="3" t="s">
        <v>2642</v>
      </c>
      <c r="H253" s="3" t="s">
        <v>941</v>
      </c>
      <c r="I253" s="3" t="s">
        <v>1138</v>
      </c>
      <c r="J253" s="3" t="s">
        <v>1120</v>
      </c>
      <c r="K253" s="3" t="s">
        <v>2643</v>
      </c>
    </row>
    <row r="254" customFormat="false" ht="68.65" hidden="false" customHeight="false" outlineLevel="0" collapsed="false">
      <c r="A254" s="3" t="s">
        <v>161</v>
      </c>
      <c r="B254" s="3" t="s">
        <v>2644</v>
      </c>
      <c r="C254" s="3" t="s">
        <v>2645</v>
      </c>
      <c r="D254" s="3" t="s">
        <v>2646</v>
      </c>
      <c r="E254" s="3" t="s">
        <v>2647</v>
      </c>
      <c r="F254" s="3" t="s">
        <v>2648</v>
      </c>
      <c r="G254" s="3" t="s">
        <v>2531</v>
      </c>
      <c r="H254" s="3" t="s">
        <v>1919</v>
      </c>
      <c r="I254" s="3" t="s">
        <v>1129</v>
      </c>
      <c r="J254" s="3" t="s">
        <v>1120</v>
      </c>
      <c r="K254" s="3" t="s">
        <v>2180</v>
      </c>
    </row>
    <row r="255" customFormat="false" ht="55.2" hidden="false" customHeight="false" outlineLevel="0" collapsed="false">
      <c r="A255" s="3" t="s">
        <v>2649</v>
      </c>
      <c r="B255" s="3" t="s">
        <v>2650</v>
      </c>
      <c r="C255" s="3" t="s">
        <v>2651</v>
      </c>
      <c r="D255" s="3" t="s">
        <v>2652</v>
      </c>
      <c r="E255" s="3" t="s">
        <v>2653</v>
      </c>
      <c r="F255" s="3" t="s">
        <v>2543</v>
      </c>
      <c r="G255" s="3" t="s">
        <v>2654</v>
      </c>
      <c r="H255" s="3" t="s">
        <v>941</v>
      </c>
      <c r="I255" s="3" t="s">
        <v>2150</v>
      </c>
      <c r="J255" s="3" t="s">
        <v>1120</v>
      </c>
      <c r="K255" s="3" t="s">
        <v>1129</v>
      </c>
    </row>
    <row r="256" customFormat="false" ht="41.75" hidden="false" customHeight="false" outlineLevel="0" collapsed="false">
      <c r="A256" s="3" t="s">
        <v>2655</v>
      </c>
      <c r="B256" s="3" t="s">
        <v>2656</v>
      </c>
      <c r="C256" s="3" t="s">
        <v>2657</v>
      </c>
      <c r="D256" s="3" t="s">
        <v>2658</v>
      </c>
      <c r="E256" s="3" t="s">
        <v>2659</v>
      </c>
      <c r="F256" s="3" t="s">
        <v>2660</v>
      </c>
      <c r="G256" s="3" t="s">
        <v>2661</v>
      </c>
      <c r="H256" s="3" t="s">
        <v>2662</v>
      </c>
      <c r="I256" s="3" t="s">
        <v>2663</v>
      </c>
      <c r="J256" s="3" t="s">
        <v>2634</v>
      </c>
      <c r="K256" s="3" t="s">
        <v>2664</v>
      </c>
    </row>
    <row r="257" customFormat="false" ht="82.05" hidden="false" customHeight="false" outlineLevel="0" collapsed="false">
      <c r="A257" s="3" t="s">
        <v>65</v>
      </c>
      <c r="B257" s="3" t="s">
        <v>2665</v>
      </c>
      <c r="C257" s="3" t="s">
        <v>2666</v>
      </c>
      <c r="D257" s="3" t="s">
        <v>2667</v>
      </c>
      <c r="E257" s="3" t="s">
        <v>2668</v>
      </c>
      <c r="F257" s="3" t="s">
        <v>2669</v>
      </c>
      <c r="G257" s="3" t="s">
        <v>2667</v>
      </c>
      <c r="H257" s="3" t="s">
        <v>1919</v>
      </c>
      <c r="I257" s="3" t="s">
        <v>2114</v>
      </c>
      <c r="J257" s="3" t="s">
        <v>2670</v>
      </c>
      <c r="K257" s="3" t="s">
        <v>2671</v>
      </c>
    </row>
    <row r="258" customFormat="false" ht="55.2" hidden="false" customHeight="false" outlineLevel="0" collapsed="false">
      <c r="A258" s="3" t="s">
        <v>40</v>
      </c>
      <c r="B258" s="3" t="s">
        <v>2672</v>
      </c>
      <c r="C258" s="3" t="s">
        <v>2673</v>
      </c>
      <c r="D258" s="3" t="s">
        <v>2674</v>
      </c>
      <c r="E258" s="3" t="s">
        <v>2675</v>
      </c>
      <c r="F258" s="3" t="s">
        <v>2543</v>
      </c>
      <c r="G258" s="3" t="s">
        <v>2674</v>
      </c>
      <c r="H258" s="3" t="s">
        <v>941</v>
      </c>
      <c r="I258" s="3" t="s">
        <v>2676</v>
      </c>
      <c r="J258" s="3" t="s">
        <v>1120</v>
      </c>
      <c r="K258" s="3" t="s">
        <v>2677</v>
      </c>
    </row>
    <row r="259" customFormat="false" ht="41.75" hidden="false" customHeight="false" outlineLevel="0" collapsed="false">
      <c r="A259" s="3" t="s">
        <v>49</v>
      </c>
      <c r="B259" s="3" t="s">
        <v>2678</v>
      </c>
      <c r="C259" s="3" t="s">
        <v>2679</v>
      </c>
      <c r="D259" s="3" t="s">
        <v>2680</v>
      </c>
      <c r="E259" s="3" t="s">
        <v>2681</v>
      </c>
      <c r="F259" s="3" t="s">
        <v>2682</v>
      </c>
      <c r="G259" s="3" t="s">
        <v>2683</v>
      </c>
      <c r="H259" s="3" t="s">
        <v>941</v>
      </c>
      <c r="I259" s="3" t="s">
        <v>2684</v>
      </c>
      <c r="J259" s="3" t="s">
        <v>2685</v>
      </c>
      <c r="K259" s="3" t="s">
        <v>1129</v>
      </c>
    </row>
    <row r="260" customFormat="false" ht="41.75" hidden="false" customHeight="false" outlineLevel="0" collapsed="false">
      <c r="A260" s="3" t="s">
        <v>2686</v>
      </c>
      <c r="B260" s="3" t="s">
        <v>2687</v>
      </c>
      <c r="C260" s="3" t="s">
        <v>2082</v>
      </c>
      <c r="D260" s="3" t="s">
        <v>2688</v>
      </c>
      <c r="E260" s="3" t="s">
        <v>2689</v>
      </c>
      <c r="F260" s="3" t="s">
        <v>2690</v>
      </c>
      <c r="G260" s="3" t="s">
        <v>2691</v>
      </c>
      <c r="H260" s="3" t="s">
        <v>2692</v>
      </c>
      <c r="I260" s="3" t="s">
        <v>2086</v>
      </c>
      <c r="J260" s="3" t="s">
        <v>1362</v>
      </c>
      <c r="K260" s="3" t="s">
        <v>2693</v>
      </c>
    </row>
    <row r="261" customFormat="false" ht="28.35" hidden="false" customHeight="false" outlineLevel="0" collapsed="false">
      <c r="A261" s="3" t="s">
        <v>2694</v>
      </c>
      <c r="B261" s="3" t="s">
        <v>2695</v>
      </c>
      <c r="C261" s="3" t="s">
        <v>2696</v>
      </c>
      <c r="D261" s="3" t="s">
        <v>1129</v>
      </c>
      <c r="E261" s="3" t="s">
        <v>2697</v>
      </c>
      <c r="F261" s="3" t="s">
        <v>1157</v>
      </c>
      <c r="G261" s="3" t="s">
        <v>1129</v>
      </c>
      <c r="H261" s="3" t="s">
        <v>941</v>
      </c>
      <c r="I261" s="3" t="s">
        <v>48</v>
      </c>
      <c r="J261" s="3" t="s">
        <v>1095</v>
      </c>
      <c r="K261" s="3" t="s">
        <v>2562</v>
      </c>
    </row>
    <row r="262" customFormat="false" ht="41.75" hidden="false" customHeight="false" outlineLevel="0" collapsed="false">
      <c r="A262" s="3" t="s">
        <v>2698</v>
      </c>
      <c r="B262" s="3" t="s">
        <v>2699</v>
      </c>
      <c r="C262" s="3" t="s">
        <v>1922</v>
      </c>
      <c r="D262" s="3" t="s">
        <v>2700</v>
      </c>
      <c r="E262" s="3" t="s">
        <v>2701</v>
      </c>
      <c r="F262" s="3" t="s">
        <v>2660</v>
      </c>
      <c r="G262" s="3" t="s">
        <v>2702</v>
      </c>
      <c r="H262" s="3" t="s">
        <v>941</v>
      </c>
      <c r="I262" s="3" t="s">
        <v>2703</v>
      </c>
      <c r="J262" s="3" t="s">
        <v>2523</v>
      </c>
      <c r="K262" s="3" t="s">
        <v>1129</v>
      </c>
    </row>
    <row r="263" customFormat="false" ht="41.75" hidden="false" customHeight="false" outlineLevel="0" collapsed="false">
      <c r="A263" s="3" t="s">
        <v>2704</v>
      </c>
      <c r="B263" s="3" t="s">
        <v>2705</v>
      </c>
      <c r="C263" s="3" t="s">
        <v>2706</v>
      </c>
      <c r="D263" s="3" t="s">
        <v>2707</v>
      </c>
      <c r="E263" s="3" t="s">
        <v>2708</v>
      </c>
      <c r="F263" s="3" t="s">
        <v>2543</v>
      </c>
      <c r="G263" s="3" t="s">
        <v>2709</v>
      </c>
      <c r="H263" s="3" t="s">
        <v>941</v>
      </c>
      <c r="I263" s="3" t="s">
        <v>1978</v>
      </c>
      <c r="J263" s="3" t="s">
        <v>2523</v>
      </c>
      <c r="K263" s="3" t="s">
        <v>2710</v>
      </c>
    </row>
    <row r="264" customFormat="false" ht="55.2" hidden="false" customHeight="false" outlineLevel="0" collapsed="false">
      <c r="A264" s="3" t="s">
        <v>2711</v>
      </c>
      <c r="B264" s="3" t="s">
        <v>2712</v>
      </c>
      <c r="C264" s="3" t="s">
        <v>2713</v>
      </c>
      <c r="D264" s="3" t="s">
        <v>2714</v>
      </c>
      <c r="E264" s="3" t="s">
        <v>2715</v>
      </c>
      <c r="F264" s="3" t="s">
        <v>2716</v>
      </c>
      <c r="G264" s="3" t="s">
        <v>2717</v>
      </c>
      <c r="H264" s="3" t="s">
        <v>941</v>
      </c>
      <c r="I264" s="3" t="s">
        <v>2703</v>
      </c>
      <c r="J264" s="3" t="s">
        <v>2718</v>
      </c>
      <c r="K264" s="3" t="s">
        <v>2482</v>
      </c>
    </row>
    <row r="265" customFormat="false" ht="28.35" hidden="false" customHeight="false" outlineLevel="0" collapsed="false">
      <c r="A265" s="3" t="s">
        <v>2719</v>
      </c>
      <c r="B265" s="3" t="s">
        <v>2720</v>
      </c>
      <c r="C265" s="3" t="s">
        <v>2721</v>
      </c>
      <c r="D265" s="3" t="s">
        <v>2722</v>
      </c>
      <c r="E265" s="3" t="s">
        <v>2723</v>
      </c>
      <c r="F265" s="3" t="s">
        <v>2724</v>
      </c>
      <c r="G265" s="3" t="s">
        <v>2725</v>
      </c>
      <c r="H265" s="3" t="s">
        <v>941</v>
      </c>
      <c r="I265" s="3" t="s">
        <v>2703</v>
      </c>
      <c r="J265" s="3" t="s">
        <v>1362</v>
      </c>
      <c r="K265" s="3" t="s">
        <v>2726</v>
      </c>
    </row>
    <row r="266" customFormat="false" ht="108.95" hidden="false" customHeight="false" outlineLevel="0" collapsed="false">
      <c r="A266" s="3" t="s">
        <v>2727</v>
      </c>
      <c r="B266" s="3" t="s">
        <v>2728</v>
      </c>
      <c r="C266" s="3" t="s">
        <v>2729</v>
      </c>
      <c r="D266" s="3" t="s">
        <v>2730</v>
      </c>
      <c r="E266" s="3" t="s">
        <v>2731</v>
      </c>
      <c r="F266" s="3" t="s">
        <v>2732</v>
      </c>
      <c r="G266" s="3" t="s">
        <v>2531</v>
      </c>
      <c r="H266" s="3" t="s">
        <v>941</v>
      </c>
      <c r="I266" s="3" t="s">
        <v>2733</v>
      </c>
      <c r="J266" s="3" t="s">
        <v>2734</v>
      </c>
      <c r="K266" s="3" t="s">
        <v>2735</v>
      </c>
    </row>
    <row r="267" customFormat="false" ht="68.65" hidden="false" customHeight="false" outlineLevel="0" collapsed="false">
      <c r="A267" s="3" t="s">
        <v>2736</v>
      </c>
      <c r="B267" s="3" t="s">
        <v>2737</v>
      </c>
      <c r="C267" s="3" t="s">
        <v>2738</v>
      </c>
      <c r="D267" s="3" t="s">
        <v>2739</v>
      </c>
      <c r="E267" s="3" t="s">
        <v>2740</v>
      </c>
      <c r="F267" s="3" t="s">
        <v>2741</v>
      </c>
      <c r="G267" s="3" t="s">
        <v>2531</v>
      </c>
      <c r="H267" s="3" t="s">
        <v>941</v>
      </c>
      <c r="I267" s="3" t="s">
        <v>2742</v>
      </c>
      <c r="J267" s="3" t="s">
        <v>1120</v>
      </c>
      <c r="K267" s="3" t="s">
        <v>1129</v>
      </c>
    </row>
    <row r="268" customFormat="false" ht="55.2" hidden="false" customHeight="false" outlineLevel="0" collapsed="false">
      <c r="A268" s="3" t="s">
        <v>2743</v>
      </c>
      <c r="B268" s="3" t="s">
        <v>2744</v>
      </c>
      <c r="C268" s="3" t="s">
        <v>2745</v>
      </c>
      <c r="D268" s="3" t="s">
        <v>2746</v>
      </c>
      <c r="E268" s="3" t="s">
        <v>2747</v>
      </c>
      <c r="F268" s="3" t="s">
        <v>2748</v>
      </c>
      <c r="G268" s="3" t="s">
        <v>2531</v>
      </c>
      <c r="H268" s="3" t="s">
        <v>941</v>
      </c>
      <c r="I268" s="3" t="s">
        <v>2749</v>
      </c>
      <c r="J268" s="3" t="s">
        <v>1120</v>
      </c>
      <c r="K268" s="3" t="s">
        <v>1129</v>
      </c>
    </row>
    <row r="269" customFormat="false" ht="68.65" hidden="false" customHeight="false" outlineLevel="0" collapsed="false">
      <c r="A269" s="3" t="s">
        <v>2750</v>
      </c>
      <c r="B269" s="3" t="s">
        <v>2751</v>
      </c>
      <c r="C269" s="3" t="s">
        <v>2752</v>
      </c>
      <c r="D269" s="3" t="s">
        <v>2753</v>
      </c>
      <c r="E269" s="3" t="s">
        <v>2754</v>
      </c>
      <c r="F269" s="3" t="s">
        <v>2755</v>
      </c>
      <c r="G269" s="3" t="s">
        <v>2725</v>
      </c>
      <c r="H269" s="3" t="s">
        <v>941</v>
      </c>
      <c r="I269" s="3" t="s">
        <v>2756</v>
      </c>
      <c r="J269" s="3" t="s">
        <v>1362</v>
      </c>
      <c r="K269" s="3" t="s">
        <v>2757</v>
      </c>
    </row>
    <row r="270" customFormat="false" ht="68.65" hidden="false" customHeight="false" outlineLevel="0" collapsed="false">
      <c r="A270" s="3" t="s">
        <v>2758</v>
      </c>
      <c r="B270" s="3" t="s">
        <v>2759</v>
      </c>
      <c r="C270" s="3" t="s">
        <v>2760</v>
      </c>
      <c r="D270" s="3" t="s">
        <v>2761</v>
      </c>
      <c r="E270" s="3" t="s">
        <v>2762</v>
      </c>
      <c r="F270" s="3" t="s">
        <v>2530</v>
      </c>
      <c r="G270" s="3" t="s">
        <v>2763</v>
      </c>
      <c r="H270" s="3" t="s">
        <v>941</v>
      </c>
      <c r="I270" s="3" t="s">
        <v>2764</v>
      </c>
      <c r="J270" s="3" t="s">
        <v>2523</v>
      </c>
      <c r="K270" s="3" t="s">
        <v>2765</v>
      </c>
    </row>
    <row r="271" customFormat="false" ht="41.75" hidden="false" customHeight="false" outlineLevel="0" collapsed="false">
      <c r="A271" s="3" t="s">
        <v>2766</v>
      </c>
      <c r="B271" s="3" t="s">
        <v>2767</v>
      </c>
      <c r="C271" s="3" t="s">
        <v>2477</v>
      </c>
      <c r="D271" s="3" t="s">
        <v>2768</v>
      </c>
      <c r="E271" s="3" t="s">
        <v>2769</v>
      </c>
      <c r="F271" s="3" t="s">
        <v>2770</v>
      </c>
      <c r="G271" s="3" t="s">
        <v>2725</v>
      </c>
      <c r="H271" s="3" t="s">
        <v>2215</v>
      </c>
      <c r="I271" s="3" t="s">
        <v>2771</v>
      </c>
      <c r="J271" s="3" t="s">
        <v>2772</v>
      </c>
      <c r="K271" s="3" t="s">
        <v>2773</v>
      </c>
    </row>
    <row r="272" customFormat="false" ht="41.75" hidden="false" customHeight="false" outlineLevel="0" collapsed="false">
      <c r="A272" s="3" t="s">
        <v>266</v>
      </c>
      <c r="B272" s="3" t="s">
        <v>2774</v>
      </c>
      <c r="C272" s="3" t="s">
        <v>2477</v>
      </c>
      <c r="D272" s="3" t="s">
        <v>2775</v>
      </c>
      <c r="E272" s="3" t="s">
        <v>2776</v>
      </c>
      <c r="F272" s="3" t="s">
        <v>2777</v>
      </c>
      <c r="G272" s="3" t="s">
        <v>2725</v>
      </c>
      <c r="H272" s="3" t="s">
        <v>2481</v>
      </c>
      <c r="I272" s="3" t="s">
        <v>2216</v>
      </c>
      <c r="J272" s="3" t="s">
        <v>1362</v>
      </c>
      <c r="K272" s="3" t="s">
        <v>2773</v>
      </c>
    </row>
    <row r="273" customFormat="false" ht="28.35" hidden="false" customHeight="false" outlineLevel="0" collapsed="false">
      <c r="A273" s="3" t="s">
        <v>2778</v>
      </c>
      <c r="B273" s="3" t="s">
        <v>2779</v>
      </c>
      <c r="C273" s="3" t="s">
        <v>2477</v>
      </c>
      <c r="D273" s="3" t="s">
        <v>2780</v>
      </c>
      <c r="E273" s="3" t="s">
        <v>2781</v>
      </c>
      <c r="F273" s="3" t="s">
        <v>1482</v>
      </c>
      <c r="G273" s="3" t="s">
        <v>2725</v>
      </c>
      <c r="H273" s="3" t="s">
        <v>2481</v>
      </c>
      <c r="I273" s="3" t="s">
        <v>2782</v>
      </c>
      <c r="J273" s="3" t="s">
        <v>1362</v>
      </c>
      <c r="K273" s="3" t="s">
        <v>2783</v>
      </c>
    </row>
    <row r="274" customFormat="false" ht="28.35" hidden="false" customHeight="false" outlineLevel="0" collapsed="false">
      <c r="A274" s="3" t="s">
        <v>2784</v>
      </c>
      <c r="B274" s="3" t="s">
        <v>2785</v>
      </c>
      <c r="C274" s="3" t="s">
        <v>2082</v>
      </c>
      <c r="D274" s="3" t="s">
        <v>2786</v>
      </c>
      <c r="E274" s="3" t="s">
        <v>2787</v>
      </c>
      <c r="F274" s="3" t="s">
        <v>2788</v>
      </c>
      <c r="G274" s="3" t="s">
        <v>2789</v>
      </c>
      <c r="H274" s="3" t="s">
        <v>933</v>
      </c>
      <c r="I274" s="3" t="s">
        <v>2216</v>
      </c>
      <c r="J274" s="3" t="s">
        <v>1362</v>
      </c>
      <c r="K274" s="3" t="s">
        <v>2507</v>
      </c>
    </row>
    <row r="275" customFormat="false" ht="41.75" hidden="false" customHeight="false" outlineLevel="0" collapsed="false">
      <c r="A275" s="3" t="s">
        <v>2790</v>
      </c>
      <c r="B275" s="3" t="s">
        <v>2791</v>
      </c>
      <c r="C275" s="3" t="s">
        <v>2792</v>
      </c>
      <c r="D275" s="3" t="s">
        <v>2793</v>
      </c>
      <c r="E275" s="3" t="s">
        <v>2794</v>
      </c>
      <c r="F275" s="3" t="s">
        <v>2795</v>
      </c>
      <c r="G275" s="3" t="s">
        <v>2796</v>
      </c>
      <c r="H275" s="3" t="s">
        <v>2481</v>
      </c>
      <c r="I275" s="3" t="s">
        <v>2797</v>
      </c>
      <c r="J275" s="3" t="s">
        <v>1362</v>
      </c>
      <c r="K275" s="3" t="s">
        <v>2798</v>
      </c>
    </row>
    <row r="276" customFormat="false" ht="28.35" hidden="false" customHeight="false" outlineLevel="0" collapsed="false">
      <c r="A276" s="3" t="s">
        <v>2799</v>
      </c>
      <c r="B276" s="3" t="s">
        <v>2800</v>
      </c>
      <c r="C276" s="3" t="s">
        <v>2801</v>
      </c>
      <c r="D276" s="3" t="s">
        <v>2802</v>
      </c>
      <c r="E276" s="3" t="s">
        <v>2803</v>
      </c>
      <c r="F276" s="3" t="s">
        <v>1050</v>
      </c>
      <c r="G276" s="3" t="s">
        <v>2804</v>
      </c>
      <c r="H276" s="3" t="s">
        <v>2481</v>
      </c>
      <c r="I276" s="3" t="s">
        <v>2216</v>
      </c>
      <c r="J276" s="3" t="s">
        <v>1362</v>
      </c>
      <c r="K276" s="3" t="s">
        <v>2805</v>
      </c>
    </row>
    <row r="277" customFormat="false" ht="28.35" hidden="false" customHeight="false" outlineLevel="0" collapsed="false">
      <c r="A277" s="3" t="s">
        <v>2806</v>
      </c>
      <c r="B277" s="3" t="s">
        <v>2807</v>
      </c>
      <c r="C277" s="3" t="s">
        <v>2808</v>
      </c>
      <c r="D277" s="3" t="s">
        <v>2809</v>
      </c>
      <c r="E277" s="3" t="s">
        <v>2810</v>
      </c>
      <c r="F277" s="3" t="s">
        <v>991</v>
      </c>
      <c r="G277" s="3" t="s">
        <v>1129</v>
      </c>
      <c r="H277" s="3" t="s">
        <v>2222</v>
      </c>
      <c r="I277" s="3" t="s">
        <v>1129</v>
      </c>
      <c r="J277" s="3" t="s">
        <v>1362</v>
      </c>
      <c r="K277" s="3" t="s">
        <v>2811</v>
      </c>
    </row>
    <row r="278" customFormat="false" ht="68.65" hidden="false" customHeight="false" outlineLevel="0" collapsed="false">
      <c r="A278" s="3" t="s">
        <v>2812</v>
      </c>
      <c r="B278" s="3" t="s">
        <v>2813</v>
      </c>
      <c r="C278" s="3" t="s">
        <v>2814</v>
      </c>
      <c r="D278" s="3" t="s">
        <v>2815</v>
      </c>
      <c r="E278" s="3" t="s">
        <v>2816</v>
      </c>
      <c r="F278" s="3" t="s">
        <v>2660</v>
      </c>
      <c r="G278" s="3" t="s">
        <v>2531</v>
      </c>
      <c r="H278" s="3" t="s">
        <v>2215</v>
      </c>
      <c r="I278" s="3" t="s">
        <v>2216</v>
      </c>
      <c r="J278" s="3" t="s">
        <v>1120</v>
      </c>
      <c r="K278" s="3" t="s">
        <v>1129</v>
      </c>
    </row>
    <row r="279" customFormat="false" ht="68.65" hidden="false" customHeight="false" outlineLevel="0" collapsed="false">
      <c r="A279" s="3" t="s">
        <v>2817</v>
      </c>
      <c r="B279" s="3" t="s">
        <v>2818</v>
      </c>
      <c r="C279" s="3" t="s">
        <v>2819</v>
      </c>
      <c r="D279" s="3" t="s">
        <v>2820</v>
      </c>
      <c r="E279" s="3" t="s">
        <v>2821</v>
      </c>
      <c r="F279" s="3" t="s">
        <v>2822</v>
      </c>
      <c r="G279" s="3" t="s">
        <v>2569</v>
      </c>
      <c r="H279" s="3" t="s">
        <v>2222</v>
      </c>
      <c r="I279" s="3" t="s">
        <v>2223</v>
      </c>
      <c r="J279" s="3" t="s">
        <v>1120</v>
      </c>
      <c r="K279" s="3" t="s">
        <v>2823</v>
      </c>
    </row>
    <row r="280" customFormat="false" ht="82.05" hidden="false" customHeight="false" outlineLevel="0" collapsed="false">
      <c r="A280" s="3" t="s">
        <v>2824</v>
      </c>
      <c r="B280" s="3" t="s">
        <v>2825</v>
      </c>
      <c r="C280" s="3" t="s">
        <v>2826</v>
      </c>
      <c r="D280" s="3" t="s">
        <v>2827</v>
      </c>
      <c r="E280" s="3" t="s">
        <v>2828</v>
      </c>
      <c r="F280" s="3" t="s">
        <v>1203</v>
      </c>
      <c r="G280" s="3" t="s">
        <v>2531</v>
      </c>
      <c r="H280" s="3" t="s">
        <v>1281</v>
      </c>
      <c r="I280" s="3" t="s">
        <v>2829</v>
      </c>
      <c r="J280" s="3" t="s">
        <v>1120</v>
      </c>
      <c r="K280" s="3" t="s">
        <v>1129</v>
      </c>
    </row>
    <row r="281" customFormat="false" ht="28.35" hidden="false" customHeight="false" outlineLevel="0" collapsed="false">
      <c r="A281" s="3" t="s">
        <v>2830</v>
      </c>
      <c r="B281" s="3" t="s">
        <v>2831</v>
      </c>
      <c r="C281" s="3" t="s">
        <v>2832</v>
      </c>
      <c r="D281" s="3" t="s">
        <v>2833</v>
      </c>
      <c r="E281" s="3" t="s">
        <v>2834</v>
      </c>
      <c r="F281" s="3" t="s">
        <v>2835</v>
      </c>
      <c r="G281" s="3" t="s">
        <v>2569</v>
      </c>
      <c r="H281" s="3" t="s">
        <v>2836</v>
      </c>
      <c r="I281" s="3" t="s">
        <v>1129</v>
      </c>
      <c r="J281" s="3" t="s">
        <v>1120</v>
      </c>
      <c r="K281" s="3" t="s">
        <v>2837</v>
      </c>
    </row>
    <row r="282" customFormat="false" ht="68.65" hidden="false" customHeight="false" outlineLevel="0" collapsed="false">
      <c r="A282" s="3" t="s">
        <v>2838</v>
      </c>
      <c r="B282" s="3" t="s">
        <v>2839</v>
      </c>
      <c r="C282" s="3" t="s">
        <v>2840</v>
      </c>
      <c r="D282" s="3" t="s">
        <v>2841</v>
      </c>
      <c r="E282" s="3" t="s">
        <v>2842</v>
      </c>
      <c r="F282" s="3" t="s">
        <v>2741</v>
      </c>
      <c r="G282" s="3" t="s">
        <v>2569</v>
      </c>
      <c r="H282" s="3" t="s">
        <v>941</v>
      </c>
      <c r="I282" s="3" t="s">
        <v>2093</v>
      </c>
      <c r="J282" s="3" t="s">
        <v>2843</v>
      </c>
      <c r="K282" s="3" t="s">
        <v>1129</v>
      </c>
    </row>
    <row r="283" customFormat="false" ht="122.35" hidden="false" customHeight="false" outlineLevel="0" collapsed="false">
      <c r="A283" s="3" t="s">
        <v>2844</v>
      </c>
      <c r="B283" s="3" t="s">
        <v>2845</v>
      </c>
      <c r="C283" s="3" t="s">
        <v>2846</v>
      </c>
      <c r="D283" s="3" t="s">
        <v>2847</v>
      </c>
      <c r="E283" s="3" t="s">
        <v>2848</v>
      </c>
      <c r="F283" s="3" t="s">
        <v>2849</v>
      </c>
      <c r="G283" s="3" t="s">
        <v>2531</v>
      </c>
      <c r="H283" s="3" t="s">
        <v>941</v>
      </c>
      <c r="I283" s="3" t="s">
        <v>2093</v>
      </c>
      <c r="J283" s="3" t="s">
        <v>2843</v>
      </c>
      <c r="K283" s="3" t="s">
        <v>2850</v>
      </c>
    </row>
    <row r="284" customFormat="false" ht="55.2" hidden="false" customHeight="false" outlineLevel="0" collapsed="false">
      <c r="A284" s="3" t="s">
        <v>280</v>
      </c>
      <c r="B284" s="3" t="s">
        <v>2851</v>
      </c>
      <c r="C284" s="3" t="s">
        <v>2852</v>
      </c>
      <c r="D284" s="3" t="s">
        <v>2853</v>
      </c>
      <c r="E284" s="3" t="s">
        <v>2854</v>
      </c>
      <c r="F284" s="3" t="s">
        <v>1050</v>
      </c>
      <c r="G284" s="3" t="s">
        <v>2855</v>
      </c>
      <c r="H284" s="3" t="s">
        <v>941</v>
      </c>
      <c r="I284" s="3" t="s">
        <v>2093</v>
      </c>
      <c r="J284" s="3" t="s">
        <v>2523</v>
      </c>
      <c r="K284" s="3" t="s">
        <v>2562</v>
      </c>
    </row>
    <row r="285" customFormat="false" ht="41.75" hidden="false" customHeight="false" outlineLevel="0" collapsed="false">
      <c r="A285" s="3" t="s">
        <v>2856</v>
      </c>
      <c r="B285" s="3" t="s">
        <v>2857</v>
      </c>
      <c r="C285" s="3" t="s">
        <v>2858</v>
      </c>
      <c r="D285" s="3" t="s">
        <v>2859</v>
      </c>
      <c r="E285" s="3" t="s">
        <v>2860</v>
      </c>
      <c r="F285" s="3" t="s">
        <v>2861</v>
      </c>
      <c r="G285" s="3" t="s">
        <v>2709</v>
      </c>
      <c r="H285" s="3" t="s">
        <v>941</v>
      </c>
      <c r="I285" s="3" t="s">
        <v>2703</v>
      </c>
      <c r="J285" s="3" t="s">
        <v>1362</v>
      </c>
      <c r="K285" s="3" t="s">
        <v>2862</v>
      </c>
    </row>
    <row r="286" customFormat="false" ht="55.2" hidden="false" customHeight="false" outlineLevel="0" collapsed="false">
      <c r="A286" s="3" t="s">
        <v>2863</v>
      </c>
      <c r="B286" s="3" t="s">
        <v>2864</v>
      </c>
      <c r="C286" s="3" t="s">
        <v>2865</v>
      </c>
      <c r="D286" s="3" t="s">
        <v>2866</v>
      </c>
      <c r="E286" s="3" t="s">
        <v>2867</v>
      </c>
      <c r="F286" s="3" t="s">
        <v>2868</v>
      </c>
      <c r="G286" s="3" t="s">
        <v>2869</v>
      </c>
      <c r="H286" s="3" t="s">
        <v>2313</v>
      </c>
      <c r="I286" s="3" t="s">
        <v>1129</v>
      </c>
      <c r="J286" s="3" t="s">
        <v>1362</v>
      </c>
      <c r="K286" s="3" t="s">
        <v>2870</v>
      </c>
    </row>
    <row r="287" customFormat="false" ht="55.2" hidden="false" customHeight="false" outlineLevel="0" collapsed="false">
      <c r="A287" s="3" t="s">
        <v>328</v>
      </c>
      <c r="B287" s="3" t="s">
        <v>2871</v>
      </c>
      <c r="C287" s="3" t="s">
        <v>2872</v>
      </c>
      <c r="D287" s="3" t="s">
        <v>2873</v>
      </c>
      <c r="E287" s="3" t="s">
        <v>2874</v>
      </c>
      <c r="F287" s="3" t="s">
        <v>2875</v>
      </c>
      <c r="G287" s="3" t="s">
        <v>2876</v>
      </c>
      <c r="H287" s="3" t="s">
        <v>941</v>
      </c>
      <c r="I287" s="3" t="s">
        <v>2877</v>
      </c>
      <c r="J287" s="3" t="s">
        <v>2878</v>
      </c>
      <c r="K287" s="3" t="s">
        <v>2879</v>
      </c>
    </row>
    <row r="288" customFormat="false" ht="55.2" hidden="false" customHeight="false" outlineLevel="0" collapsed="false">
      <c r="A288" s="3" t="s">
        <v>339</v>
      </c>
      <c r="B288" s="3" t="s">
        <v>2880</v>
      </c>
      <c r="C288" s="3" t="s">
        <v>2881</v>
      </c>
      <c r="D288" s="3" t="s">
        <v>2882</v>
      </c>
      <c r="E288" s="3" t="s">
        <v>2883</v>
      </c>
      <c r="F288" s="3" t="s">
        <v>2884</v>
      </c>
      <c r="G288" s="3" t="s">
        <v>2725</v>
      </c>
      <c r="H288" s="3" t="s">
        <v>941</v>
      </c>
      <c r="I288" s="3" t="s">
        <v>335</v>
      </c>
      <c r="J288" s="3" t="s">
        <v>2885</v>
      </c>
      <c r="K288" s="3" t="s">
        <v>2507</v>
      </c>
    </row>
    <row r="289" customFormat="false" ht="55.2" hidden="false" customHeight="false" outlineLevel="0" collapsed="false">
      <c r="A289" s="3" t="s">
        <v>2886</v>
      </c>
      <c r="B289" s="3" t="s">
        <v>2887</v>
      </c>
      <c r="C289" s="3" t="s">
        <v>2888</v>
      </c>
      <c r="D289" s="3" t="s">
        <v>2889</v>
      </c>
      <c r="E289" s="3" t="s">
        <v>2890</v>
      </c>
      <c r="F289" s="3" t="s">
        <v>2575</v>
      </c>
      <c r="G289" s="3" t="s">
        <v>1129</v>
      </c>
      <c r="H289" s="3" t="s">
        <v>941</v>
      </c>
      <c r="I289" s="3" t="s">
        <v>2891</v>
      </c>
      <c r="J289" s="3" t="s">
        <v>2892</v>
      </c>
      <c r="K289" s="3" t="s">
        <v>2811</v>
      </c>
    </row>
    <row r="290" customFormat="false" ht="28.35" hidden="false" customHeight="false" outlineLevel="0" collapsed="false">
      <c r="A290" s="3" t="s">
        <v>193</v>
      </c>
      <c r="B290" s="3" t="s">
        <v>2893</v>
      </c>
      <c r="C290" s="3" t="s">
        <v>2894</v>
      </c>
      <c r="D290" s="3" t="s">
        <v>2895</v>
      </c>
      <c r="E290" s="3" t="s">
        <v>2896</v>
      </c>
      <c r="F290" s="3" t="s">
        <v>1280</v>
      </c>
      <c r="G290" s="3" t="s">
        <v>2897</v>
      </c>
      <c r="H290" s="3" t="s">
        <v>2313</v>
      </c>
      <c r="I290" s="3" t="s">
        <v>2898</v>
      </c>
      <c r="J290" s="3" t="s">
        <v>2899</v>
      </c>
      <c r="K290" s="3" t="s">
        <v>2900</v>
      </c>
    </row>
    <row r="291" customFormat="false" ht="55.2" hidden="false" customHeight="false" outlineLevel="0" collapsed="false">
      <c r="A291" s="3" t="s">
        <v>320</v>
      </c>
      <c r="B291" s="3" t="s">
        <v>2901</v>
      </c>
      <c r="C291" s="3" t="s">
        <v>2902</v>
      </c>
      <c r="D291" s="3" t="s">
        <v>2903</v>
      </c>
      <c r="E291" s="3" t="s">
        <v>2904</v>
      </c>
      <c r="F291" s="3" t="s">
        <v>2905</v>
      </c>
      <c r="G291" s="3" t="s">
        <v>2906</v>
      </c>
      <c r="H291" s="3" t="s">
        <v>933</v>
      </c>
      <c r="I291" s="3" t="s">
        <v>2907</v>
      </c>
      <c r="J291" s="3" t="s">
        <v>1362</v>
      </c>
      <c r="K291" s="3" t="s">
        <v>2908</v>
      </c>
    </row>
    <row r="292" customFormat="false" ht="41.75" hidden="false" customHeight="false" outlineLevel="0" collapsed="false">
      <c r="A292" s="3" t="s">
        <v>332</v>
      </c>
      <c r="B292" s="3" t="s">
        <v>2909</v>
      </c>
      <c r="C292" s="3" t="s">
        <v>2910</v>
      </c>
      <c r="D292" s="3" t="s">
        <v>2911</v>
      </c>
      <c r="E292" s="3" t="s">
        <v>2912</v>
      </c>
      <c r="F292" s="3" t="s">
        <v>2913</v>
      </c>
      <c r="G292" s="3" t="s">
        <v>2869</v>
      </c>
      <c r="H292" s="3" t="s">
        <v>2313</v>
      </c>
      <c r="I292" s="3" t="s">
        <v>2914</v>
      </c>
      <c r="J292" s="3" t="s">
        <v>1362</v>
      </c>
      <c r="K292" s="3" t="s">
        <v>2507</v>
      </c>
    </row>
    <row r="293" customFormat="false" ht="28.35" hidden="false" customHeight="false" outlineLevel="0" collapsed="false">
      <c r="A293" s="3" t="s">
        <v>2915</v>
      </c>
      <c r="B293" s="3" t="s">
        <v>2916</v>
      </c>
      <c r="C293" s="3" t="s">
        <v>2917</v>
      </c>
      <c r="D293" s="3" t="s">
        <v>2918</v>
      </c>
      <c r="E293" s="3" t="s">
        <v>2919</v>
      </c>
      <c r="F293" s="3" t="s">
        <v>2920</v>
      </c>
      <c r="G293" s="3" t="s">
        <v>1129</v>
      </c>
      <c r="H293" s="3" t="s">
        <v>941</v>
      </c>
      <c r="I293" s="3" t="s">
        <v>2914</v>
      </c>
      <c r="J293" s="3" t="s">
        <v>1455</v>
      </c>
      <c r="K293" s="3" t="s">
        <v>2921</v>
      </c>
    </row>
    <row r="294" customFormat="false" ht="28.35" hidden="false" customHeight="false" outlineLevel="0" collapsed="false">
      <c r="A294" s="3" t="s">
        <v>2922</v>
      </c>
      <c r="B294" s="3" t="s">
        <v>2923</v>
      </c>
      <c r="C294" s="3" t="s">
        <v>2865</v>
      </c>
      <c r="D294" s="3" t="s">
        <v>2924</v>
      </c>
      <c r="E294" s="3" t="s">
        <v>2925</v>
      </c>
      <c r="F294" s="3" t="s">
        <v>2660</v>
      </c>
      <c r="G294" s="3" t="s">
        <v>2926</v>
      </c>
      <c r="H294" s="3" t="s">
        <v>2313</v>
      </c>
      <c r="I294" s="3" t="s">
        <v>343</v>
      </c>
      <c r="J294" s="3" t="s">
        <v>1362</v>
      </c>
      <c r="K294" s="3" t="s">
        <v>2927</v>
      </c>
    </row>
    <row r="295" customFormat="false" ht="15" hidden="false" customHeight="false" outlineLevel="0" collapsed="false">
      <c r="A295" s="3" t="s">
        <v>2928</v>
      </c>
      <c r="B295" s="3" t="s">
        <v>2929</v>
      </c>
      <c r="C295" s="3" t="s">
        <v>2930</v>
      </c>
      <c r="D295" s="3" t="s">
        <v>2931</v>
      </c>
      <c r="E295" s="3" t="s">
        <v>2932</v>
      </c>
      <c r="F295" s="3" t="s">
        <v>991</v>
      </c>
      <c r="G295" s="3" t="s">
        <v>2933</v>
      </c>
      <c r="H295" s="3" t="s">
        <v>933</v>
      </c>
      <c r="I295" s="3" t="s">
        <v>343</v>
      </c>
      <c r="J295" s="3" t="s">
        <v>1362</v>
      </c>
      <c r="K295" s="3" t="s">
        <v>2934</v>
      </c>
    </row>
    <row r="296" customFormat="false" ht="41.75" hidden="false" customHeight="false" outlineLevel="0" collapsed="false">
      <c r="A296" s="3" t="s">
        <v>2935</v>
      </c>
      <c r="B296" s="3" t="s">
        <v>2936</v>
      </c>
      <c r="C296" s="3" t="s">
        <v>2937</v>
      </c>
      <c r="D296" s="3" t="s">
        <v>2938</v>
      </c>
      <c r="E296" s="3" t="s">
        <v>2939</v>
      </c>
      <c r="F296" s="3" t="s">
        <v>1050</v>
      </c>
      <c r="G296" s="3" t="s">
        <v>1158</v>
      </c>
      <c r="H296" s="3" t="s">
        <v>2940</v>
      </c>
      <c r="I296" s="3" t="s">
        <v>354</v>
      </c>
      <c r="J296" s="3" t="s">
        <v>2941</v>
      </c>
      <c r="K296" s="3" t="s">
        <v>2942</v>
      </c>
    </row>
    <row r="297" customFormat="false" ht="41.75" hidden="false" customHeight="false" outlineLevel="0" collapsed="false">
      <c r="A297" s="3" t="s">
        <v>2943</v>
      </c>
      <c r="B297" s="3" t="s">
        <v>2944</v>
      </c>
      <c r="C297" s="3" t="s">
        <v>2945</v>
      </c>
      <c r="D297" s="3" t="s">
        <v>2946</v>
      </c>
      <c r="E297" s="3" t="s">
        <v>2947</v>
      </c>
      <c r="F297" s="3" t="s">
        <v>2948</v>
      </c>
      <c r="G297" s="3" t="s">
        <v>1158</v>
      </c>
      <c r="H297" s="3" t="s">
        <v>1808</v>
      </c>
      <c r="I297" s="3" t="s">
        <v>2949</v>
      </c>
      <c r="J297" s="3" t="s">
        <v>2634</v>
      </c>
      <c r="K297" s="3" t="s">
        <v>2950</v>
      </c>
    </row>
    <row r="298" customFormat="false" ht="41.75" hidden="false" customHeight="false" outlineLevel="0" collapsed="false">
      <c r="A298" s="3" t="s">
        <v>2951</v>
      </c>
      <c r="B298" s="3" t="s">
        <v>2952</v>
      </c>
      <c r="C298" s="3" t="s">
        <v>2953</v>
      </c>
      <c r="D298" s="3" t="s">
        <v>2954</v>
      </c>
      <c r="E298" s="3" t="s">
        <v>2955</v>
      </c>
      <c r="F298" s="3" t="s">
        <v>2956</v>
      </c>
      <c r="G298" s="3" t="s">
        <v>2957</v>
      </c>
      <c r="H298" s="3" t="s">
        <v>2958</v>
      </c>
      <c r="I298" s="3" t="s">
        <v>2959</v>
      </c>
      <c r="J298" s="3" t="s">
        <v>2960</v>
      </c>
      <c r="K298" s="3" t="s">
        <v>2961</v>
      </c>
    </row>
    <row r="299" customFormat="false" ht="68.65" hidden="false" customHeight="false" outlineLevel="0" collapsed="false">
      <c r="A299" s="3" t="s">
        <v>355</v>
      </c>
      <c r="B299" s="3" t="s">
        <v>2962</v>
      </c>
      <c r="C299" s="3" t="s">
        <v>2963</v>
      </c>
      <c r="D299" s="3" t="s">
        <v>2964</v>
      </c>
      <c r="E299" s="3" t="s">
        <v>2965</v>
      </c>
      <c r="F299" s="3" t="s">
        <v>2966</v>
      </c>
      <c r="G299" s="3" t="s">
        <v>2967</v>
      </c>
      <c r="H299" s="3" t="s">
        <v>941</v>
      </c>
      <c r="I299" s="3" t="s">
        <v>354</v>
      </c>
      <c r="J299" s="3" t="s">
        <v>1455</v>
      </c>
      <c r="K299" s="3" t="s">
        <v>2968</v>
      </c>
    </row>
    <row r="300" customFormat="false" ht="55.2" hidden="false" customHeight="false" outlineLevel="0" collapsed="false">
      <c r="A300" s="3" t="s">
        <v>2969</v>
      </c>
      <c r="B300" s="3" t="s">
        <v>2970</v>
      </c>
      <c r="C300" s="3" t="s">
        <v>2971</v>
      </c>
      <c r="D300" s="3" t="s">
        <v>2972</v>
      </c>
      <c r="E300" s="3" t="s">
        <v>2973</v>
      </c>
      <c r="F300" s="3" t="s">
        <v>2974</v>
      </c>
      <c r="G300" s="3" t="s">
        <v>1118</v>
      </c>
      <c r="H300" s="3" t="s">
        <v>2313</v>
      </c>
      <c r="I300" s="3" t="s">
        <v>323</v>
      </c>
      <c r="J300" s="3" t="s">
        <v>1362</v>
      </c>
      <c r="K300" s="3" t="s">
        <v>2975</v>
      </c>
    </row>
    <row r="301" customFormat="false" ht="95.5" hidden="false" customHeight="false" outlineLevel="0" collapsed="false">
      <c r="A301" s="3" t="s">
        <v>2976</v>
      </c>
      <c r="B301" s="3" t="s">
        <v>2977</v>
      </c>
      <c r="C301" s="3" t="s">
        <v>2978</v>
      </c>
      <c r="D301" s="3" t="s">
        <v>2979</v>
      </c>
      <c r="E301" s="3" t="s">
        <v>2980</v>
      </c>
      <c r="F301" s="3" t="s">
        <v>2543</v>
      </c>
      <c r="G301" s="3" t="s">
        <v>2981</v>
      </c>
      <c r="H301" s="3" t="s">
        <v>2982</v>
      </c>
      <c r="I301" s="3" t="s">
        <v>2983</v>
      </c>
      <c r="J301" s="3" t="s">
        <v>1120</v>
      </c>
      <c r="K301" s="3" t="s">
        <v>2984</v>
      </c>
    </row>
    <row r="302" customFormat="false" ht="82.05" hidden="false" customHeight="false" outlineLevel="0" collapsed="false">
      <c r="A302" s="3" t="s">
        <v>2985</v>
      </c>
      <c r="B302" s="3" t="s">
        <v>2986</v>
      </c>
      <c r="C302" s="3" t="s">
        <v>2987</v>
      </c>
      <c r="D302" s="3" t="s">
        <v>2988</v>
      </c>
      <c r="E302" s="3" t="s">
        <v>2989</v>
      </c>
      <c r="F302" s="3" t="s">
        <v>2990</v>
      </c>
      <c r="G302" s="3" t="s">
        <v>2991</v>
      </c>
      <c r="H302" s="3" t="s">
        <v>941</v>
      </c>
      <c r="I302" s="3" t="s">
        <v>2093</v>
      </c>
      <c r="J302" s="3" t="s">
        <v>1455</v>
      </c>
      <c r="K302" s="3" t="s">
        <v>2992</v>
      </c>
    </row>
    <row r="303" customFormat="false" ht="149.25" hidden="false" customHeight="false" outlineLevel="0" collapsed="false">
      <c r="A303" s="3" t="s">
        <v>2993</v>
      </c>
      <c r="B303" s="3" t="s">
        <v>2994</v>
      </c>
      <c r="C303" s="3" t="s">
        <v>2995</v>
      </c>
      <c r="D303" s="3" t="s">
        <v>2996</v>
      </c>
      <c r="E303" s="3" t="s">
        <v>2997</v>
      </c>
      <c r="F303" s="3" t="s">
        <v>2998</v>
      </c>
      <c r="G303" s="3" t="s">
        <v>2999</v>
      </c>
      <c r="H303" s="3" t="s">
        <v>941</v>
      </c>
      <c r="I303" s="3" t="s">
        <v>3000</v>
      </c>
      <c r="J303" s="3" t="s">
        <v>1455</v>
      </c>
      <c r="K303" s="3" t="s">
        <v>3001</v>
      </c>
    </row>
    <row r="304" customFormat="false" ht="55.2" hidden="false" customHeight="false" outlineLevel="0" collapsed="false">
      <c r="A304" s="3" t="s">
        <v>3002</v>
      </c>
      <c r="B304" s="3" t="s">
        <v>3003</v>
      </c>
      <c r="C304" s="3" t="s">
        <v>3004</v>
      </c>
      <c r="D304" s="3" t="s">
        <v>3005</v>
      </c>
      <c r="E304" s="3" t="s">
        <v>3006</v>
      </c>
      <c r="F304" s="3" t="s">
        <v>3007</v>
      </c>
      <c r="G304" s="3" t="s">
        <v>2991</v>
      </c>
      <c r="H304" s="3" t="s">
        <v>3008</v>
      </c>
      <c r="I304" s="3" t="s">
        <v>1081</v>
      </c>
      <c r="J304" s="3" t="s">
        <v>1455</v>
      </c>
      <c r="K304" s="3" t="s">
        <v>2180</v>
      </c>
    </row>
    <row r="305" customFormat="false" ht="95.5" hidden="false" customHeight="false" outlineLevel="0" collapsed="false">
      <c r="A305" s="3" t="s">
        <v>3009</v>
      </c>
      <c r="B305" s="3" t="s">
        <v>3010</v>
      </c>
      <c r="C305" s="3" t="s">
        <v>3011</v>
      </c>
      <c r="D305" s="3" t="s">
        <v>3012</v>
      </c>
      <c r="E305" s="3" t="s">
        <v>3013</v>
      </c>
      <c r="F305" s="3" t="s">
        <v>3014</v>
      </c>
      <c r="G305" s="3" t="s">
        <v>2991</v>
      </c>
      <c r="H305" s="3" t="s">
        <v>3015</v>
      </c>
      <c r="I305" s="3" t="s">
        <v>1081</v>
      </c>
      <c r="J305" s="3" t="s">
        <v>1455</v>
      </c>
      <c r="K305" s="3" t="s">
        <v>3016</v>
      </c>
    </row>
    <row r="306" customFormat="false" ht="55.2" hidden="false" customHeight="false" outlineLevel="0" collapsed="false">
      <c r="A306" s="3" t="s">
        <v>3017</v>
      </c>
      <c r="B306" s="3" t="s">
        <v>3018</v>
      </c>
      <c r="C306" s="3" t="s">
        <v>3019</v>
      </c>
      <c r="D306" s="3" t="s">
        <v>3020</v>
      </c>
      <c r="E306" s="3" t="s">
        <v>3021</v>
      </c>
      <c r="F306" s="3" t="s">
        <v>3022</v>
      </c>
      <c r="G306" s="3" t="s">
        <v>969</v>
      </c>
      <c r="H306" s="3" t="s">
        <v>3023</v>
      </c>
      <c r="I306" s="3" t="s">
        <v>1081</v>
      </c>
      <c r="J306" s="3" t="s">
        <v>1455</v>
      </c>
      <c r="K306" s="3" t="s">
        <v>3024</v>
      </c>
    </row>
    <row r="307" customFormat="false" ht="41.75" hidden="false" customHeight="false" outlineLevel="0" collapsed="false">
      <c r="A307" s="3" t="s">
        <v>3025</v>
      </c>
      <c r="B307" s="3" t="s">
        <v>3026</v>
      </c>
      <c r="C307" s="3" t="s">
        <v>1577</v>
      </c>
      <c r="D307" s="3" t="s">
        <v>3027</v>
      </c>
      <c r="E307" s="3" t="s">
        <v>1579</v>
      </c>
      <c r="F307" s="3" t="s">
        <v>3028</v>
      </c>
      <c r="G307" s="3" t="s">
        <v>3029</v>
      </c>
      <c r="H307" s="3" t="s">
        <v>941</v>
      </c>
      <c r="I307" s="3" t="s">
        <v>1129</v>
      </c>
      <c r="J307" s="3" t="s">
        <v>1455</v>
      </c>
      <c r="K307" s="3" t="s">
        <v>2811</v>
      </c>
    </row>
    <row r="308" customFormat="false" ht="55.2" hidden="false" customHeight="false" outlineLevel="0" collapsed="false">
      <c r="A308" s="3" t="s">
        <v>3030</v>
      </c>
      <c r="B308" s="3" t="s">
        <v>3031</v>
      </c>
      <c r="C308" s="3" t="s">
        <v>3032</v>
      </c>
      <c r="D308" s="3" t="s">
        <v>3033</v>
      </c>
      <c r="E308" s="3" t="s">
        <v>3034</v>
      </c>
      <c r="F308" s="3" t="s">
        <v>3035</v>
      </c>
      <c r="G308" s="3" t="s">
        <v>3036</v>
      </c>
      <c r="H308" s="3" t="s">
        <v>941</v>
      </c>
      <c r="I308" s="3" t="s">
        <v>1129</v>
      </c>
      <c r="J308" s="3" t="s">
        <v>1455</v>
      </c>
      <c r="K308" s="3" t="s">
        <v>2507</v>
      </c>
    </row>
    <row r="309" customFormat="false" ht="55.2" hidden="false" customHeight="false" outlineLevel="0" collapsed="false">
      <c r="A309" s="3" t="s">
        <v>3037</v>
      </c>
      <c r="B309" s="3" t="s">
        <v>3038</v>
      </c>
      <c r="C309" s="3" t="s">
        <v>3039</v>
      </c>
      <c r="D309" s="3" t="s">
        <v>3040</v>
      </c>
      <c r="E309" s="3" t="s">
        <v>3041</v>
      </c>
      <c r="F309" s="3" t="s">
        <v>3042</v>
      </c>
      <c r="G309" s="3" t="s">
        <v>2551</v>
      </c>
      <c r="H309" s="3" t="s">
        <v>941</v>
      </c>
      <c r="I309" s="3" t="s">
        <v>1129</v>
      </c>
      <c r="J309" s="3" t="s">
        <v>1120</v>
      </c>
      <c r="K309" s="3" t="s">
        <v>1129</v>
      </c>
    </row>
    <row r="310" customFormat="false" ht="95.5" hidden="false" customHeight="false" outlineLevel="0" collapsed="false">
      <c r="A310" s="3" t="s">
        <v>3043</v>
      </c>
      <c r="B310" s="3" t="s">
        <v>3044</v>
      </c>
      <c r="C310" s="3" t="s">
        <v>3045</v>
      </c>
      <c r="D310" s="3" t="s">
        <v>3046</v>
      </c>
      <c r="E310" s="3" t="s">
        <v>3047</v>
      </c>
      <c r="F310" s="3" t="s">
        <v>2530</v>
      </c>
      <c r="G310" s="3" t="s">
        <v>1334</v>
      </c>
      <c r="H310" s="3" t="s">
        <v>941</v>
      </c>
      <c r="I310" s="3" t="s">
        <v>1129</v>
      </c>
      <c r="J310" s="3" t="s">
        <v>1120</v>
      </c>
      <c r="K310" s="3" t="s">
        <v>1129</v>
      </c>
    </row>
    <row r="311" customFormat="false" ht="68.65" hidden="false" customHeight="false" outlineLevel="0" collapsed="false">
      <c r="A311" s="3" t="s">
        <v>3048</v>
      </c>
      <c r="B311" s="3" t="s">
        <v>3049</v>
      </c>
      <c r="C311" s="3" t="s">
        <v>3050</v>
      </c>
      <c r="D311" s="3" t="s">
        <v>3051</v>
      </c>
      <c r="E311" s="3" t="s">
        <v>3052</v>
      </c>
      <c r="F311" s="3" t="s">
        <v>3053</v>
      </c>
      <c r="G311" s="3" t="s">
        <v>2531</v>
      </c>
      <c r="H311" s="3" t="s">
        <v>941</v>
      </c>
      <c r="I311" s="3" t="s">
        <v>1129</v>
      </c>
      <c r="J311" s="3" t="s">
        <v>1120</v>
      </c>
      <c r="K311" s="3" t="s">
        <v>1129</v>
      </c>
    </row>
    <row r="312" customFormat="false" ht="108.95" hidden="false" customHeight="false" outlineLevel="0" collapsed="false">
      <c r="A312" s="3" t="s">
        <v>3054</v>
      </c>
      <c r="B312" s="3" t="s">
        <v>3055</v>
      </c>
      <c r="C312" s="3" t="s">
        <v>3056</v>
      </c>
      <c r="D312" s="3" t="s">
        <v>3057</v>
      </c>
      <c r="E312" s="3" t="s">
        <v>3058</v>
      </c>
      <c r="F312" s="3" t="s">
        <v>2543</v>
      </c>
      <c r="G312" s="3" t="s">
        <v>3059</v>
      </c>
      <c r="H312" s="3" t="s">
        <v>2412</v>
      </c>
      <c r="I312" s="3" t="s">
        <v>1129</v>
      </c>
      <c r="J312" s="3" t="s">
        <v>1120</v>
      </c>
      <c r="K312" s="3" t="s">
        <v>3060</v>
      </c>
    </row>
    <row r="313" customFormat="false" ht="41.75" hidden="false" customHeight="false" outlineLevel="0" collapsed="false">
      <c r="A313" s="3" t="s">
        <v>3061</v>
      </c>
      <c r="B313" s="3" t="s">
        <v>3062</v>
      </c>
      <c r="C313" s="3" t="s">
        <v>3063</v>
      </c>
      <c r="D313" s="3" t="s">
        <v>3064</v>
      </c>
      <c r="E313" s="3" t="s">
        <v>3065</v>
      </c>
      <c r="F313" s="3" t="s">
        <v>1203</v>
      </c>
      <c r="G313" s="3" t="s">
        <v>2531</v>
      </c>
      <c r="H313" s="3" t="s">
        <v>941</v>
      </c>
      <c r="I313" s="3" t="s">
        <v>1129</v>
      </c>
      <c r="J313" s="3" t="s">
        <v>1175</v>
      </c>
      <c r="K313" s="3" t="s">
        <v>1129</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2026-09-14T16:12:35Z</dcterms:created>
  <dc:creator>openpyxl</dc:creator>
  <dc:description/>
  <dc:language>en-US</dc:language>
  <cp:lastModifiedBy/>
  <dcterms:modified xsi:type="dcterms:W3CDTF">2026-09-14T16:12:35Z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